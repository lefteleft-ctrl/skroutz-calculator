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Λευτέρης\Dropbox\Pricing Pharmaverse\"/>
    </mc:Choice>
  </mc:AlternateContent>
  <xr:revisionPtr revIDLastSave="0" documentId="13_ncr:1_{E341224D-0452-473E-9D03-CE7D369B81C1}" xr6:coauthVersionLast="47" xr6:coauthVersionMax="47" xr10:uidLastSave="{00000000-0000-0000-0000-000000000000}"/>
  <bookViews>
    <workbookView xWindow="45" yWindow="2340" windowWidth="28755" windowHeight="10155" firstSheet="37" activeTab="38" xr2:uid="{00000000-000D-0000-FFFF-FFFF00000000}"/>
  </bookViews>
  <sheets>
    <sheet name="ΦΥΛΛΟ 1" sheetId="1" r:id="rId1"/>
    <sheet name="AMINO ANIMO" sheetId="4" r:id="rId2"/>
    <sheet name="ΒΙΟΛΟΓΟΣ" sheetId="5" r:id="rId3"/>
    <sheet name="ACTIVO" sheetId="6" r:id="rId4"/>
    <sheet name="ALOE" sheetId="7" r:id="rId5"/>
    <sheet name="AM HEALTH SMILE" sheetId="8" r:id="rId6"/>
    <sheet name="AVGERINOS" sheetId="9" r:id="rId7"/>
    <sheet name="BAYER" sheetId="10" r:id="rId8"/>
    <sheet name="BEAUTY OF JOSEON" sheetId="11" r:id="rId9"/>
    <sheet name="ΒΕΝΝΕΤΤ" sheetId="12" r:id="rId10"/>
    <sheet name="BIFOLAC EIFRON" sheetId="13" r:id="rId11"/>
    <sheet name="BIOTECH" sheetId="14" r:id="rId12"/>
    <sheet name="ΒΙΟΝΑΤ" sheetId="15" r:id="rId13"/>
    <sheet name="CAMOMILLA" sheetId="16" r:id="rId14"/>
    <sheet name="CARROTEN" sheetId="17" r:id="rId15"/>
    <sheet name="CENTRUM" sheetId="18" r:id="rId16"/>
    <sheet name="CLINEA" sheetId="19" r:id="rId17"/>
    <sheet name="COMPEED" sheetId="20" r:id="rId18"/>
    <sheet name="COSRX" sheetId="21" r:id="rId19"/>
    <sheet name="DYMATIZE" sheetId="22" r:id="rId20"/>
    <sheet name="EPSILON HEALTH" sheetId="23" r:id="rId21"/>
    <sheet name="EVIOL" sheetId="24" r:id="rId22"/>
    <sheet name="FERTICEUTICALS" sheetId="3" r:id="rId23"/>
    <sheet name="FREZYDERM" sheetId="25" r:id="rId24"/>
    <sheet name="FROIKA" sheetId="26" r:id="rId25"/>
    <sheet name="GALENICA" sheetId="27" r:id="rId26"/>
    <sheet name="GEHWOL" sheetId="28" r:id="rId27"/>
    <sheet name="HEALTH PRO" sheetId="29" r:id="rId28"/>
    <sheet name="HEALTH SIGN" sheetId="30" r:id="rId29"/>
    <sheet name="INTERMED" sheetId="32" r:id="rId30"/>
    <sheet name="ITALFARMACO" sheetId="33" r:id="rId31"/>
    <sheet name="LAMBERTS" sheetId="34" r:id="rId32"/>
    <sheet name="MARVIS" sheetId="35" r:id="rId33"/>
    <sheet name="MEDICHROM" sheetId="36" r:id="rId34"/>
    <sheet name="MEETAB" sheetId="81" r:id="rId35"/>
    <sheet name="MOLLERS" sheetId="37" r:id="rId36"/>
    <sheet name="NATURAL DOCTOR" sheetId="71" r:id="rId37"/>
    <sheet name="NATURA SIBERICA" sheetId="39" r:id="rId38"/>
    <sheet name="NATURAL VITAMINS" sheetId="66" r:id="rId39"/>
    <sheet name="NATURES PLUS" sheetId="41" r:id="rId40"/>
    <sheet name="NOW" sheetId="2" r:id="rId41"/>
    <sheet name="OLONEA" sheetId="42" r:id="rId42"/>
    <sheet name="PHARMASEPT" sheetId="43" r:id="rId43"/>
    <sheet name="Φύλλο2" sheetId="82" r:id="rId44"/>
    <sheet name="SAMCOS" sheetId="44" r:id="rId45"/>
    <sheet name="SCHOLL" sheetId="45" r:id="rId46"/>
    <sheet name="SOLGAR" sheetId="46" r:id="rId47"/>
    <sheet name="SUPERFOODS" sheetId="80" r:id="rId48"/>
    <sheet name="MENARINI" sheetId="47" r:id="rId49"/>
    <sheet name="THANK YOU FARMER" sheetId="48" r:id="rId50"/>
    <sheet name="YADA" sheetId="49" r:id="rId51"/>
    <sheet name="VICAN" sheetId="54" r:id="rId52"/>
    <sheet name="VIOGENESIS" sheetId="65" r:id="rId53"/>
    <sheet name="UNI-PHARMA" sheetId="52" r:id="rId54"/>
    <sheet name="WINMEDICA" sheetId="53" r:id="rId55"/>
    <sheet name="Φύλλο1" sheetId="72" r:id="rId5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66" l="1"/>
  <c r="I2" i="66" s="1"/>
  <c r="J2" i="66" s="1"/>
  <c r="E3" i="66"/>
  <c r="I3" i="66" s="1"/>
  <c r="J3" i="66" s="1"/>
  <c r="F3" i="66"/>
  <c r="E4" i="66"/>
  <c r="F4" i="66"/>
  <c r="I4" i="66"/>
  <c r="J4" i="66"/>
  <c r="M4" i="66" s="1"/>
  <c r="E5" i="66"/>
  <c r="I5" i="66" s="1"/>
  <c r="J5" i="66" s="1"/>
  <c r="F5" i="66"/>
  <c r="E6" i="66"/>
  <c r="I6" i="66" s="1"/>
  <c r="J6" i="66" s="1"/>
  <c r="F6" i="66"/>
  <c r="E7" i="66"/>
  <c r="F7" i="66"/>
  <c r="I7" i="66"/>
  <c r="J7" i="66"/>
  <c r="L7" i="66" s="1"/>
  <c r="N7" i="66" s="1"/>
  <c r="M7" i="66"/>
  <c r="E8" i="66"/>
  <c r="F8" i="66"/>
  <c r="I8" i="66"/>
  <c r="J8" i="66" s="1"/>
  <c r="E9" i="66"/>
  <c r="F9" i="66"/>
  <c r="I9" i="66"/>
  <c r="J9" i="66"/>
  <c r="L9" i="66" s="1"/>
  <c r="E10" i="66"/>
  <c r="F10" i="66"/>
  <c r="I10" i="66"/>
  <c r="J10" i="66" s="1"/>
  <c r="E43" i="82"/>
  <c r="I43" i="82" s="1"/>
  <c r="F43" i="82"/>
  <c r="E44" i="82"/>
  <c r="I44" i="82" s="1"/>
  <c r="F44" i="82"/>
  <c r="E45" i="82"/>
  <c r="I45" i="82" s="1"/>
  <c r="F45" i="82"/>
  <c r="E46" i="82"/>
  <c r="I46" i="82" s="1"/>
  <c r="J46" i="82" s="1"/>
  <c r="F46" i="82"/>
  <c r="E47" i="82"/>
  <c r="I47" i="82" s="1"/>
  <c r="F47" i="82"/>
  <c r="E48" i="82"/>
  <c r="I48" i="82" s="1"/>
  <c r="F48" i="82"/>
  <c r="E49" i="82"/>
  <c r="I49" i="82" s="1"/>
  <c r="J49" i="82" s="1"/>
  <c r="F49" i="82"/>
  <c r="E50" i="82"/>
  <c r="I50" i="82" s="1"/>
  <c r="J50" i="82" s="1"/>
  <c r="F50" i="82"/>
  <c r="E51" i="82"/>
  <c r="I51" i="82" s="1"/>
  <c r="J51" i="82" s="1"/>
  <c r="F51" i="82"/>
  <c r="E52" i="82"/>
  <c r="I52" i="82" s="1"/>
  <c r="J52" i="82" s="1"/>
  <c r="F52" i="82"/>
  <c r="E53" i="82"/>
  <c r="I53" i="82" s="1"/>
  <c r="J53" i="82" s="1"/>
  <c r="F53" i="82"/>
  <c r="E54" i="82"/>
  <c r="I54" i="82" s="1"/>
  <c r="J54" i="82" s="1"/>
  <c r="F54" i="82"/>
  <c r="E55" i="82"/>
  <c r="I55" i="82" s="1"/>
  <c r="J55" i="82" s="1"/>
  <c r="F55" i="82"/>
  <c r="E56" i="82"/>
  <c r="I56" i="82" s="1"/>
  <c r="J56" i="82" s="1"/>
  <c r="F56" i="82"/>
  <c r="E57" i="82"/>
  <c r="I57" i="82" s="1"/>
  <c r="J57" i="82" s="1"/>
  <c r="F57" i="82"/>
  <c r="E58" i="82"/>
  <c r="I58" i="82" s="1"/>
  <c r="J58" i="82" s="1"/>
  <c r="F58" i="82"/>
  <c r="E59" i="82"/>
  <c r="I59" i="82" s="1"/>
  <c r="J59" i="82" s="1"/>
  <c r="F59" i="82"/>
  <c r="E60" i="82"/>
  <c r="I60" i="82" s="1"/>
  <c r="J60" i="82" s="1"/>
  <c r="F60" i="82"/>
  <c r="E61" i="82"/>
  <c r="I61" i="82" s="1"/>
  <c r="J61" i="82" s="1"/>
  <c r="F61" i="82"/>
  <c r="E62" i="82"/>
  <c r="F62" i="82"/>
  <c r="I62" i="82"/>
  <c r="J62" i="82" s="1"/>
  <c r="E63" i="82"/>
  <c r="I63" i="82" s="1"/>
  <c r="F63" i="82"/>
  <c r="E64" i="82"/>
  <c r="I64" i="82" s="1"/>
  <c r="F64" i="82"/>
  <c r="E65" i="82"/>
  <c r="F65" i="82"/>
  <c r="I65" i="82"/>
  <c r="E66" i="82"/>
  <c r="F66" i="82"/>
  <c r="I66" i="82"/>
  <c r="J66" i="82" s="1"/>
  <c r="E67" i="82"/>
  <c r="I67" i="82" s="1"/>
  <c r="F67" i="82"/>
  <c r="E68" i="82"/>
  <c r="I68" i="82" s="1"/>
  <c r="J68" i="82" s="1"/>
  <c r="F68" i="82"/>
  <c r="E69" i="82"/>
  <c r="I69" i="82" s="1"/>
  <c r="F69" i="82"/>
  <c r="E3" i="82"/>
  <c r="I3" i="82" s="1"/>
  <c r="F3" i="82"/>
  <c r="E4" i="82"/>
  <c r="I4" i="82" s="1"/>
  <c r="F4" i="82"/>
  <c r="E5" i="82"/>
  <c r="I5" i="82" s="1"/>
  <c r="F5" i="82"/>
  <c r="E6" i="82"/>
  <c r="I6" i="82" s="1"/>
  <c r="F6" i="82"/>
  <c r="E7" i="82"/>
  <c r="I7" i="82" s="1"/>
  <c r="F7" i="82"/>
  <c r="E8" i="82"/>
  <c r="I8" i="82" s="1"/>
  <c r="F8" i="82"/>
  <c r="E9" i="82"/>
  <c r="I9" i="82" s="1"/>
  <c r="F9" i="82"/>
  <c r="E10" i="82"/>
  <c r="I10" i="82" s="1"/>
  <c r="F10" i="82"/>
  <c r="E11" i="82"/>
  <c r="I11" i="82" s="1"/>
  <c r="F11" i="82"/>
  <c r="E12" i="82"/>
  <c r="I12" i="82" s="1"/>
  <c r="F12" i="82"/>
  <c r="E13" i="82"/>
  <c r="I13" i="82" s="1"/>
  <c r="J13" i="82" s="1"/>
  <c r="F13" i="82"/>
  <c r="E14" i="82"/>
  <c r="I14" i="82" s="1"/>
  <c r="F14" i="82"/>
  <c r="E15" i="82"/>
  <c r="I15" i="82" s="1"/>
  <c r="F15" i="82"/>
  <c r="E16" i="82"/>
  <c r="I16" i="82" s="1"/>
  <c r="F16" i="82"/>
  <c r="E17" i="82"/>
  <c r="I17" i="82" s="1"/>
  <c r="F17" i="82"/>
  <c r="E18" i="82"/>
  <c r="I18" i="82" s="1"/>
  <c r="J18" i="82" s="1"/>
  <c r="F18" i="82"/>
  <c r="E19" i="82"/>
  <c r="I19" i="82" s="1"/>
  <c r="J19" i="82" s="1"/>
  <c r="F19" i="82"/>
  <c r="E20" i="82"/>
  <c r="I20" i="82" s="1"/>
  <c r="F20" i="82"/>
  <c r="E21" i="82"/>
  <c r="I21" i="82" s="1"/>
  <c r="F21" i="82"/>
  <c r="E22" i="82"/>
  <c r="I22" i="82" s="1"/>
  <c r="F22" i="82"/>
  <c r="E23" i="82"/>
  <c r="I23" i="82" s="1"/>
  <c r="F23" i="82"/>
  <c r="E24" i="82"/>
  <c r="I24" i="82" s="1"/>
  <c r="J24" i="82" s="1"/>
  <c r="F24" i="82"/>
  <c r="E25" i="82"/>
  <c r="I25" i="82" s="1"/>
  <c r="J25" i="82" s="1"/>
  <c r="F25" i="82"/>
  <c r="E26" i="82"/>
  <c r="I26" i="82" s="1"/>
  <c r="F26" i="82"/>
  <c r="E27" i="82"/>
  <c r="I27" i="82" s="1"/>
  <c r="F27" i="82"/>
  <c r="E28" i="82"/>
  <c r="I28" i="82" s="1"/>
  <c r="F28" i="82"/>
  <c r="E29" i="82"/>
  <c r="I29" i="82" s="1"/>
  <c r="F29" i="82"/>
  <c r="E30" i="82"/>
  <c r="I30" i="82" s="1"/>
  <c r="F30" i="82"/>
  <c r="E31" i="82"/>
  <c r="I31" i="82" s="1"/>
  <c r="J31" i="82" s="1"/>
  <c r="F31" i="82"/>
  <c r="E32" i="82"/>
  <c r="I32" i="82" s="1"/>
  <c r="F32" i="82"/>
  <c r="E33" i="82"/>
  <c r="I33" i="82" s="1"/>
  <c r="F33" i="82"/>
  <c r="E34" i="82"/>
  <c r="I34" i="82" s="1"/>
  <c r="F34" i="82"/>
  <c r="E35" i="82"/>
  <c r="I35" i="82" s="1"/>
  <c r="F35" i="82"/>
  <c r="E36" i="82"/>
  <c r="I36" i="82" s="1"/>
  <c r="J36" i="82" s="1"/>
  <c r="F36" i="82"/>
  <c r="E37" i="82"/>
  <c r="I37" i="82" s="1"/>
  <c r="F37" i="82"/>
  <c r="E38" i="82"/>
  <c r="I38" i="82" s="1"/>
  <c r="F38" i="82"/>
  <c r="E39" i="82"/>
  <c r="I39" i="82" s="1"/>
  <c r="F39" i="82"/>
  <c r="E40" i="82"/>
  <c r="I40" i="82" s="1"/>
  <c r="F40" i="82"/>
  <c r="E41" i="82"/>
  <c r="I41" i="82" s="1"/>
  <c r="F41" i="82"/>
  <c r="E42" i="82"/>
  <c r="I42" i="82" s="1"/>
  <c r="J42" i="82" s="1"/>
  <c r="F42" i="82"/>
  <c r="F2" i="82"/>
  <c r="E2" i="82"/>
  <c r="I2" i="82" s="1"/>
  <c r="E3" i="81"/>
  <c r="I3" i="81" s="1"/>
  <c r="F3" i="81"/>
  <c r="E4" i="81"/>
  <c r="I4" i="81" s="1"/>
  <c r="F4" i="81"/>
  <c r="E5" i="81"/>
  <c r="I5" i="81" s="1"/>
  <c r="F5" i="81"/>
  <c r="E6" i="81"/>
  <c r="I6" i="81" s="1"/>
  <c r="F6" i="81"/>
  <c r="E7" i="81"/>
  <c r="I7" i="81" s="1"/>
  <c r="F7" i="81"/>
  <c r="E8" i="81"/>
  <c r="I8" i="81" s="1"/>
  <c r="F8" i="81"/>
  <c r="E9" i="81"/>
  <c r="F9" i="81"/>
  <c r="I9" i="81"/>
  <c r="E10" i="81"/>
  <c r="I10" i="81" s="1"/>
  <c r="F10" i="81"/>
  <c r="E11" i="81"/>
  <c r="F11" i="81"/>
  <c r="I11" i="81"/>
  <c r="J11" i="81" s="1"/>
  <c r="E12" i="81"/>
  <c r="I12" i="81" s="1"/>
  <c r="J12" i="81" s="1"/>
  <c r="F12" i="81"/>
  <c r="E13" i="81"/>
  <c r="I13" i="81" s="1"/>
  <c r="F13" i="81"/>
  <c r="E14" i="81"/>
  <c r="I14" i="81" s="1"/>
  <c r="F14" i="81"/>
  <c r="E15" i="81"/>
  <c r="I15" i="81" s="1"/>
  <c r="F15" i="81"/>
  <c r="E16" i="81"/>
  <c r="I16" i="81" s="1"/>
  <c r="F16" i="81"/>
  <c r="E17" i="81"/>
  <c r="I17" i="81" s="1"/>
  <c r="F17" i="81"/>
  <c r="E18" i="81"/>
  <c r="I18" i="81" s="1"/>
  <c r="F18" i="81"/>
  <c r="E19" i="81"/>
  <c r="I19" i="81" s="1"/>
  <c r="F19" i="81"/>
  <c r="E20" i="81"/>
  <c r="I20" i="81" s="1"/>
  <c r="F20" i="81"/>
  <c r="E21" i="81"/>
  <c r="F21" i="81"/>
  <c r="I21" i="81"/>
  <c r="J21" i="81" s="1"/>
  <c r="E22" i="81"/>
  <c r="I22" i="81" s="1"/>
  <c r="F22" i="81"/>
  <c r="E23" i="81"/>
  <c r="F23" i="81"/>
  <c r="I23" i="81"/>
  <c r="E24" i="81"/>
  <c r="I24" i="81" s="1"/>
  <c r="F24" i="81"/>
  <c r="E25" i="81"/>
  <c r="F25" i="81"/>
  <c r="I25" i="81"/>
  <c r="E26" i="81"/>
  <c r="I26" i="81" s="1"/>
  <c r="F26" i="81"/>
  <c r="E27" i="81"/>
  <c r="I27" i="81" s="1"/>
  <c r="F27" i="81"/>
  <c r="E28" i="81"/>
  <c r="F28" i="81"/>
  <c r="I28" i="81"/>
  <c r="E29" i="81"/>
  <c r="I29" i="81" s="1"/>
  <c r="F29" i="81"/>
  <c r="E30" i="81"/>
  <c r="I30" i="81" s="1"/>
  <c r="F30" i="81"/>
  <c r="E31" i="81"/>
  <c r="I31" i="81" s="1"/>
  <c r="F31" i="81"/>
  <c r="E32" i="81"/>
  <c r="I32" i="81" s="1"/>
  <c r="F32" i="81"/>
  <c r="E33" i="81"/>
  <c r="F33" i="81"/>
  <c r="I33" i="81"/>
  <c r="E34" i="81"/>
  <c r="I34" i="81" s="1"/>
  <c r="F34" i="81"/>
  <c r="E35" i="81"/>
  <c r="F35" i="81"/>
  <c r="I35" i="81"/>
  <c r="J35" i="81" s="1"/>
  <c r="E36" i="81"/>
  <c r="I36" i="81" s="1"/>
  <c r="F36" i="81"/>
  <c r="E37" i="81"/>
  <c r="F37" i="81"/>
  <c r="I37" i="81"/>
  <c r="E38" i="81"/>
  <c r="I38" i="81" s="1"/>
  <c r="F38" i="81"/>
  <c r="E39" i="81"/>
  <c r="I39" i="81" s="1"/>
  <c r="F39" i="81"/>
  <c r="E40" i="81"/>
  <c r="I40" i="81" s="1"/>
  <c r="F40" i="81"/>
  <c r="E41" i="81"/>
  <c r="I41" i="81" s="1"/>
  <c r="F41" i="81"/>
  <c r="E42" i="81"/>
  <c r="F42" i="81"/>
  <c r="I42" i="81"/>
  <c r="E43" i="81"/>
  <c r="I43" i="81" s="1"/>
  <c r="F43" i="81"/>
  <c r="E44" i="81"/>
  <c r="I44" i="81" s="1"/>
  <c r="J44" i="81" s="1"/>
  <c r="F44" i="81"/>
  <c r="E45" i="81"/>
  <c r="I45" i="81" s="1"/>
  <c r="F45" i="81"/>
  <c r="E46" i="81"/>
  <c r="I46" i="81" s="1"/>
  <c r="F46" i="81"/>
  <c r="E47" i="81"/>
  <c r="F47" i="81"/>
  <c r="I47" i="81"/>
  <c r="J47" i="81" s="1"/>
  <c r="E48" i="81"/>
  <c r="I48" i="81" s="1"/>
  <c r="F48" i="81"/>
  <c r="E49" i="81"/>
  <c r="I49" i="81" s="1"/>
  <c r="J49" i="81" s="1"/>
  <c r="F49" i="81"/>
  <c r="E50" i="81"/>
  <c r="I50" i="81" s="1"/>
  <c r="F50" i="81"/>
  <c r="E51" i="81"/>
  <c r="I51" i="81" s="1"/>
  <c r="J51" i="81" s="1"/>
  <c r="F51" i="81"/>
  <c r="E52" i="81"/>
  <c r="I52" i="81" s="1"/>
  <c r="F52" i="81"/>
  <c r="E53" i="81"/>
  <c r="I53" i="81" s="1"/>
  <c r="F53" i="81"/>
  <c r="E54" i="81"/>
  <c r="I54" i="81" s="1"/>
  <c r="F54" i="81"/>
  <c r="E55" i="81"/>
  <c r="I55" i="81" s="1"/>
  <c r="F55" i="81"/>
  <c r="E56" i="81"/>
  <c r="I56" i="81" s="1"/>
  <c r="F56" i="81"/>
  <c r="E57" i="81"/>
  <c r="I57" i="81" s="1"/>
  <c r="J57" i="81" s="1"/>
  <c r="F57" i="81"/>
  <c r="E58" i="81"/>
  <c r="I58" i="81" s="1"/>
  <c r="F58" i="81"/>
  <c r="E59" i="81"/>
  <c r="I59" i="81" s="1"/>
  <c r="F59" i="81"/>
  <c r="E60" i="81"/>
  <c r="I60" i="81" s="1"/>
  <c r="F60" i="81"/>
  <c r="E61" i="81"/>
  <c r="F61" i="81"/>
  <c r="I61" i="81"/>
  <c r="E62" i="81"/>
  <c r="I62" i="81" s="1"/>
  <c r="F62" i="81"/>
  <c r="E63" i="81"/>
  <c r="I63" i="81" s="1"/>
  <c r="F63" i="81"/>
  <c r="E64" i="81"/>
  <c r="I64" i="81" s="1"/>
  <c r="F64" i="81"/>
  <c r="E65" i="81"/>
  <c r="I65" i="81" s="1"/>
  <c r="F65" i="81"/>
  <c r="E66" i="81"/>
  <c r="F66" i="81"/>
  <c r="I66" i="81"/>
  <c r="E67" i="81"/>
  <c r="I67" i="81" s="1"/>
  <c r="F67" i="81"/>
  <c r="E68" i="81"/>
  <c r="F68" i="81"/>
  <c r="I68" i="81"/>
  <c r="E69" i="81"/>
  <c r="I69" i="81" s="1"/>
  <c r="F69" i="81"/>
  <c r="E70" i="81"/>
  <c r="I70" i="81" s="1"/>
  <c r="F70" i="81"/>
  <c r="E71" i="81"/>
  <c r="I71" i="81" s="1"/>
  <c r="F71" i="81"/>
  <c r="E72" i="81"/>
  <c r="I72" i="81" s="1"/>
  <c r="J72" i="81" s="1"/>
  <c r="F72" i="81"/>
  <c r="E73" i="81"/>
  <c r="I73" i="81" s="1"/>
  <c r="F73" i="81"/>
  <c r="E74" i="81"/>
  <c r="I74" i="81" s="1"/>
  <c r="F74" i="81"/>
  <c r="E75" i="81"/>
  <c r="I75" i="81" s="1"/>
  <c r="F75" i="81"/>
  <c r="E76" i="81"/>
  <c r="I76" i="81" s="1"/>
  <c r="F76" i="81"/>
  <c r="E77" i="81"/>
  <c r="I77" i="81" s="1"/>
  <c r="F77" i="81"/>
  <c r="E78" i="81"/>
  <c r="I78" i="81" s="1"/>
  <c r="J78" i="81" s="1"/>
  <c r="F78" i="81"/>
  <c r="E79" i="81"/>
  <c r="I79" i="81" s="1"/>
  <c r="F79" i="81"/>
  <c r="E80" i="81"/>
  <c r="I80" i="81" s="1"/>
  <c r="F80" i="81"/>
  <c r="E81" i="81"/>
  <c r="I81" i="81" s="1"/>
  <c r="F81" i="81"/>
  <c r="E82" i="81"/>
  <c r="I82" i="81" s="1"/>
  <c r="F82" i="81"/>
  <c r="E83" i="81"/>
  <c r="I83" i="81" s="1"/>
  <c r="F83" i="81"/>
  <c r="E84" i="81"/>
  <c r="I84" i="81" s="1"/>
  <c r="J84" i="81" s="1"/>
  <c r="F84" i="81"/>
  <c r="E85" i="81"/>
  <c r="F85" i="81"/>
  <c r="I85" i="81"/>
  <c r="E86" i="81"/>
  <c r="I86" i="81" s="1"/>
  <c r="J86" i="81" s="1"/>
  <c r="F86" i="81"/>
  <c r="E87" i="81"/>
  <c r="I87" i="81" s="1"/>
  <c r="F87" i="81"/>
  <c r="E88" i="81"/>
  <c r="I88" i="81" s="1"/>
  <c r="F88" i="81"/>
  <c r="E89" i="81"/>
  <c r="I89" i="81" s="1"/>
  <c r="F89" i="81"/>
  <c r="E90" i="81"/>
  <c r="I90" i="81" s="1"/>
  <c r="F90" i="81"/>
  <c r="E91" i="81"/>
  <c r="I91" i="81" s="1"/>
  <c r="F91" i="81"/>
  <c r="E92" i="81"/>
  <c r="I92" i="81" s="1"/>
  <c r="J92" i="81" s="1"/>
  <c r="F92" i="81"/>
  <c r="F2" i="81"/>
  <c r="E2" i="81"/>
  <c r="I2" i="81" s="1"/>
  <c r="F18" i="71"/>
  <c r="F19" i="71"/>
  <c r="H3" i="80"/>
  <c r="I3" i="80" s="1"/>
  <c r="H4" i="80"/>
  <c r="I4" i="80"/>
  <c r="K4" i="80" s="1"/>
  <c r="H5" i="80"/>
  <c r="I5" i="80" s="1"/>
  <c r="H6" i="80"/>
  <c r="I6" i="80"/>
  <c r="K6" i="80" s="1"/>
  <c r="J6" i="80"/>
  <c r="M6" i="80" s="1"/>
  <c r="H7" i="80"/>
  <c r="I7" i="80" s="1"/>
  <c r="H8" i="80"/>
  <c r="I8" i="80" s="1"/>
  <c r="H9" i="80"/>
  <c r="I9" i="80"/>
  <c r="K9" i="80" s="1"/>
  <c r="J9" i="80"/>
  <c r="M9" i="80" s="1"/>
  <c r="H10" i="80"/>
  <c r="I10" i="80" s="1"/>
  <c r="H11" i="80"/>
  <c r="I11" i="80"/>
  <c r="L11" i="80" s="1"/>
  <c r="J11" i="80"/>
  <c r="M11" i="80" s="1"/>
  <c r="K11" i="80"/>
  <c r="H12" i="80"/>
  <c r="I12" i="80"/>
  <c r="J12" i="80" s="1"/>
  <c r="H13" i="80"/>
  <c r="I13" i="80"/>
  <c r="J13" i="80" s="1"/>
  <c r="H14" i="80"/>
  <c r="I14" i="80"/>
  <c r="J14" i="80"/>
  <c r="K14" i="80"/>
  <c r="L14" i="80"/>
  <c r="M14" i="80"/>
  <c r="N14" i="80"/>
  <c r="H15" i="80"/>
  <c r="I15" i="80"/>
  <c r="J15" i="80" s="1"/>
  <c r="K15" i="80"/>
  <c r="H2" i="80"/>
  <c r="I2" i="80" s="1"/>
  <c r="E3" i="71"/>
  <c r="I3" i="71" s="1"/>
  <c r="F3" i="71"/>
  <c r="E4" i="71"/>
  <c r="I4" i="71" s="1"/>
  <c r="F4" i="71"/>
  <c r="E5" i="71"/>
  <c r="I5" i="71" s="1"/>
  <c r="F5" i="71"/>
  <c r="E6" i="71"/>
  <c r="I6" i="71" s="1"/>
  <c r="F6" i="71"/>
  <c r="E7" i="71"/>
  <c r="I7" i="71" s="1"/>
  <c r="F7" i="71"/>
  <c r="E8" i="71"/>
  <c r="I8" i="71" s="1"/>
  <c r="F8" i="71"/>
  <c r="E9" i="71"/>
  <c r="I9" i="71" s="1"/>
  <c r="F9" i="71"/>
  <c r="E10" i="71"/>
  <c r="I10" i="71" s="1"/>
  <c r="F10" i="71"/>
  <c r="E11" i="71"/>
  <c r="I11" i="71" s="1"/>
  <c r="F11" i="71"/>
  <c r="E12" i="71"/>
  <c r="I12" i="71" s="1"/>
  <c r="F12" i="71"/>
  <c r="E13" i="71"/>
  <c r="I13" i="71" s="1"/>
  <c r="F13" i="71"/>
  <c r="E14" i="71"/>
  <c r="I14" i="71" s="1"/>
  <c r="F14" i="71"/>
  <c r="E15" i="71"/>
  <c r="I15" i="71" s="1"/>
  <c r="F15" i="71"/>
  <c r="E16" i="71"/>
  <c r="I16" i="71" s="1"/>
  <c r="F16" i="71"/>
  <c r="E17" i="71"/>
  <c r="I17" i="71" s="1"/>
  <c r="F17" i="71"/>
  <c r="E18" i="71"/>
  <c r="I18" i="71" s="1"/>
  <c r="E19" i="71"/>
  <c r="I19" i="71" s="1"/>
  <c r="E20" i="71"/>
  <c r="I20" i="71" s="1"/>
  <c r="F20" i="71"/>
  <c r="E21" i="71"/>
  <c r="I21" i="71" s="1"/>
  <c r="F21" i="71"/>
  <c r="E22" i="71"/>
  <c r="I22" i="71" s="1"/>
  <c r="F22" i="71"/>
  <c r="E23" i="71"/>
  <c r="I23" i="71" s="1"/>
  <c r="F23" i="71"/>
  <c r="E24" i="71"/>
  <c r="I24" i="71" s="1"/>
  <c r="F24" i="71"/>
  <c r="E25" i="71"/>
  <c r="I25" i="71" s="1"/>
  <c r="F25" i="71"/>
  <c r="E26" i="71"/>
  <c r="I26" i="71" s="1"/>
  <c r="F26" i="71"/>
  <c r="E27" i="71"/>
  <c r="I27" i="71" s="1"/>
  <c r="F27" i="71"/>
  <c r="E28" i="71"/>
  <c r="I28" i="71" s="1"/>
  <c r="F28" i="71"/>
  <c r="E29" i="71"/>
  <c r="I29" i="71" s="1"/>
  <c r="F29" i="71"/>
  <c r="E30" i="71"/>
  <c r="I30" i="71" s="1"/>
  <c r="F30" i="71"/>
  <c r="E31" i="71"/>
  <c r="I31" i="71" s="1"/>
  <c r="F31" i="71"/>
  <c r="E32" i="71"/>
  <c r="I32" i="71" s="1"/>
  <c r="F32" i="71"/>
  <c r="E33" i="71"/>
  <c r="I33" i="71" s="1"/>
  <c r="F33" i="71"/>
  <c r="E34" i="71"/>
  <c r="I34" i="71" s="1"/>
  <c r="F34" i="71"/>
  <c r="E35" i="71"/>
  <c r="I35" i="71" s="1"/>
  <c r="F35" i="71"/>
  <c r="E36" i="71"/>
  <c r="I36" i="71" s="1"/>
  <c r="F36" i="71"/>
  <c r="E37" i="71"/>
  <c r="I37" i="71" s="1"/>
  <c r="F37" i="71"/>
  <c r="E38" i="71"/>
  <c r="I38" i="71" s="1"/>
  <c r="F38" i="71"/>
  <c r="E39" i="71"/>
  <c r="I39" i="71" s="1"/>
  <c r="F39" i="71"/>
  <c r="E40" i="71"/>
  <c r="I40" i="71" s="1"/>
  <c r="F40" i="71"/>
  <c r="E41" i="71"/>
  <c r="I41" i="71" s="1"/>
  <c r="F41" i="71"/>
  <c r="E42" i="71"/>
  <c r="I42" i="71" s="1"/>
  <c r="F42" i="71"/>
  <c r="E43" i="71"/>
  <c r="I43" i="71" s="1"/>
  <c r="F43" i="71"/>
  <c r="E44" i="71"/>
  <c r="I44" i="71" s="1"/>
  <c r="F44" i="71"/>
  <c r="E45" i="71"/>
  <c r="I45" i="71" s="1"/>
  <c r="F45" i="71"/>
  <c r="E46" i="71"/>
  <c r="I46" i="71" s="1"/>
  <c r="F46" i="71"/>
  <c r="E47" i="71"/>
  <c r="I47" i="71" s="1"/>
  <c r="F47" i="71"/>
  <c r="E48" i="71"/>
  <c r="I48" i="71" s="1"/>
  <c r="F48" i="71"/>
  <c r="E49" i="71"/>
  <c r="I49" i="71" s="1"/>
  <c r="F49" i="71"/>
  <c r="E50" i="71"/>
  <c r="I50" i="71" s="1"/>
  <c r="F50" i="71"/>
  <c r="E51" i="71"/>
  <c r="I51" i="71" s="1"/>
  <c r="F51" i="71"/>
  <c r="E52" i="71"/>
  <c r="I52" i="71" s="1"/>
  <c r="F52" i="71"/>
  <c r="E53" i="71"/>
  <c r="I53" i="71" s="1"/>
  <c r="F53" i="71"/>
  <c r="E54" i="71"/>
  <c r="I54" i="71" s="1"/>
  <c r="F54" i="71"/>
  <c r="E55" i="71"/>
  <c r="I55" i="71" s="1"/>
  <c r="F55" i="71"/>
  <c r="E56" i="71"/>
  <c r="I56" i="71" s="1"/>
  <c r="F56" i="71"/>
  <c r="E57" i="71"/>
  <c r="I57" i="71" s="1"/>
  <c r="F57" i="71"/>
  <c r="E58" i="71"/>
  <c r="I58" i="71" s="1"/>
  <c r="F58" i="71"/>
  <c r="E59" i="71"/>
  <c r="I59" i="71" s="1"/>
  <c r="F59" i="71"/>
  <c r="E60" i="71"/>
  <c r="I60" i="71" s="1"/>
  <c r="F60" i="71"/>
  <c r="E61" i="71"/>
  <c r="I61" i="71" s="1"/>
  <c r="F61" i="71"/>
  <c r="E62" i="71"/>
  <c r="I62" i="71" s="1"/>
  <c r="F62" i="71"/>
  <c r="E63" i="71"/>
  <c r="I63" i="71" s="1"/>
  <c r="F63" i="71"/>
  <c r="E64" i="71"/>
  <c r="I64" i="71" s="1"/>
  <c r="F64" i="71"/>
  <c r="E65" i="71"/>
  <c r="I65" i="71" s="1"/>
  <c r="F65" i="71"/>
  <c r="E66" i="71"/>
  <c r="I66" i="71" s="1"/>
  <c r="F66" i="71"/>
  <c r="E67" i="71"/>
  <c r="I67" i="71" s="1"/>
  <c r="F67" i="71"/>
  <c r="E68" i="71"/>
  <c r="I68" i="71" s="1"/>
  <c r="F68" i="71"/>
  <c r="E69" i="71"/>
  <c r="I69" i="71" s="1"/>
  <c r="F69" i="71"/>
  <c r="E70" i="71"/>
  <c r="I70" i="71" s="1"/>
  <c r="F70" i="71"/>
  <c r="F2" i="71"/>
  <c r="E2" i="71"/>
  <c r="I2" i="71" s="1"/>
  <c r="E11" i="66"/>
  <c r="I11" i="66" s="1"/>
  <c r="F11" i="66"/>
  <c r="E12" i="66"/>
  <c r="I12" i="66" s="1"/>
  <c r="F12" i="66"/>
  <c r="E13" i="66"/>
  <c r="I13" i="66" s="1"/>
  <c r="F13" i="66"/>
  <c r="E14" i="66"/>
  <c r="I14" i="66" s="1"/>
  <c r="F14" i="66"/>
  <c r="E15" i="66"/>
  <c r="I15" i="66" s="1"/>
  <c r="F15" i="66"/>
  <c r="E16" i="66"/>
  <c r="I16" i="66" s="1"/>
  <c r="F16" i="66"/>
  <c r="E17" i="66"/>
  <c r="I17" i="66" s="1"/>
  <c r="F17" i="66"/>
  <c r="E18" i="66"/>
  <c r="I18" i="66" s="1"/>
  <c r="F18" i="66"/>
  <c r="E19" i="66"/>
  <c r="I19" i="66" s="1"/>
  <c r="F19" i="66"/>
  <c r="E20" i="66"/>
  <c r="I20" i="66" s="1"/>
  <c r="F20" i="66"/>
  <c r="E21" i="66"/>
  <c r="I21" i="66" s="1"/>
  <c r="F21" i="66"/>
  <c r="E22" i="66"/>
  <c r="I22" i="66" s="1"/>
  <c r="F22" i="66"/>
  <c r="E23" i="66"/>
  <c r="I23" i="66" s="1"/>
  <c r="F23" i="66"/>
  <c r="E24" i="66"/>
  <c r="I24" i="66" s="1"/>
  <c r="F24" i="66"/>
  <c r="E25" i="66"/>
  <c r="I25" i="66" s="1"/>
  <c r="F25" i="66"/>
  <c r="E26" i="66"/>
  <c r="I26" i="66" s="1"/>
  <c r="F26" i="66"/>
  <c r="E27" i="66"/>
  <c r="I27" i="66" s="1"/>
  <c r="F27" i="66"/>
  <c r="E28" i="66"/>
  <c r="I28" i="66" s="1"/>
  <c r="F28" i="66"/>
  <c r="E29" i="66"/>
  <c r="I29" i="66" s="1"/>
  <c r="F29" i="66"/>
  <c r="E30" i="66"/>
  <c r="I30" i="66" s="1"/>
  <c r="F30" i="66"/>
  <c r="E31" i="66"/>
  <c r="I31" i="66" s="1"/>
  <c r="F31" i="66"/>
  <c r="E32" i="66"/>
  <c r="I32" i="66" s="1"/>
  <c r="F32" i="66"/>
  <c r="E33" i="66"/>
  <c r="I33" i="66" s="1"/>
  <c r="F33" i="66"/>
  <c r="E34" i="66"/>
  <c r="I34" i="66" s="1"/>
  <c r="F34" i="66"/>
  <c r="E35" i="66"/>
  <c r="I35" i="66" s="1"/>
  <c r="F35" i="66"/>
  <c r="E36" i="66"/>
  <c r="I36" i="66" s="1"/>
  <c r="F36" i="66"/>
  <c r="E37" i="66"/>
  <c r="I37" i="66" s="1"/>
  <c r="F37" i="66"/>
  <c r="E38" i="66"/>
  <c r="I38" i="66" s="1"/>
  <c r="F38" i="66"/>
  <c r="E39" i="66"/>
  <c r="I39" i="66" s="1"/>
  <c r="F39" i="66"/>
  <c r="E40" i="66"/>
  <c r="I40" i="66" s="1"/>
  <c r="F40" i="66"/>
  <c r="E41" i="66"/>
  <c r="I41" i="66" s="1"/>
  <c r="F41" i="66"/>
  <c r="E42" i="66"/>
  <c r="I42" i="66" s="1"/>
  <c r="F42" i="66"/>
  <c r="E43" i="66"/>
  <c r="I43" i="66" s="1"/>
  <c r="F43" i="66"/>
  <c r="E44" i="66"/>
  <c r="I44" i="66" s="1"/>
  <c r="F44" i="66"/>
  <c r="E45" i="66"/>
  <c r="I45" i="66" s="1"/>
  <c r="F45" i="66"/>
  <c r="E46" i="66"/>
  <c r="I46" i="66" s="1"/>
  <c r="F46" i="66"/>
  <c r="E47" i="66"/>
  <c r="I47" i="66" s="1"/>
  <c r="F47" i="66"/>
  <c r="E48" i="66"/>
  <c r="I48" i="66" s="1"/>
  <c r="F48" i="66"/>
  <c r="E49" i="66"/>
  <c r="I49" i="66" s="1"/>
  <c r="F49" i="66"/>
  <c r="E50" i="66"/>
  <c r="I50" i="66" s="1"/>
  <c r="F50" i="66"/>
  <c r="E51" i="66"/>
  <c r="I51" i="66" s="1"/>
  <c r="F51" i="66"/>
  <c r="E52" i="66"/>
  <c r="I52" i="66" s="1"/>
  <c r="F52" i="66"/>
  <c r="E53" i="66"/>
  <c r="I53" i="66" s="1"/>
  <c r="F53" i="66"/>
  <c r="E54" i="66"/>
  <c r="I54" i="66" s="1"/>
  <c r="F54" i="66"/>
  <c r="E55" i="66"/>
  <c r="I55" i="66" s="1"/>
  <c r="F55" i="66"/>
  <c r="E56" i="66"/>
  <c r="I56" i="66" s="1"/>
  <c r="F56" i="66"/>
  <c r="E57" i="66"/>
  <c r="I57" i="66" s="1"/>
  <c r="F57" i="66"/>
  <c r="E58" i="66"/>
  <c r="I58" i="66" s="1"/>
  <c r="F58" i="66"/>
  <c r="E59" i="66"/>
  <c r="I59" i="66" s="1"/>
  <c r="F59" i="66"/>
  <c r="E60" i="66"/>
  <c r="I60" i="66" s="1"/>
  <c r="F60" i="66"/>
  <c r="E61" i="66"/>
  <c r="I61" i="66" s="1"/>
  <c r="F61" i="66"/>
  <c r="E62" i="66"/>
  <c r="I62" i="66" s="1"/>
  <c r="F62" i="66"/>
  <c r="E63" i="66"/>
  <c r="I63" i="66" s="1"/>
  <c r="F63" i="66"/>
  <c r="E64" i="66"/>
  <c r="I64" i="66" s="1"/>
  <c r="F64" i="66"/>
  <c r="E65" i="66"/>
  <c r="I65" i="66" s="1"/>
  <c r="F65" i="66"/>
  <c r="E66" i="66"/>
  <c r="I66" i="66" s="1"/>
  <c r="F66" i="66"/>
  <c r="E67" i="66"/>
  <c r="I67" i="66" s="1"/>
  <c r="F67" i="66"/>
  <c r="E68" i="66"/>
  <c r="I68" i="66" s="1"/>
  <c r="F68" i="66"/>
  <c r="E69" i="66"/>
  <c r="I69" i="66" s="1"/>
  <c r="F69" i="66"/>
  <c r="E70" i="66"/>
  <c r="I70" i="66" s="1"/>
  <c r="F70" i="66"/>
  <c r="E71" i="66"/>
  <c r="I71" i="66" s="1"/>
  <c r="F71" i="66"/>
  <c r="E72" i="66"/>
  <c r="I72" i="66" s="1"/>
  <c r="F72" i="66"/>
  <c r="E73" i="66"/>
  <c r="I73" i="66" s="1"/>
  <c r="F73" i="66"/>
  <c r="E74" i="66"/>
  <c r="I74" i="66" s="1"/>
  <c r="F74" i="66"/>
  <c r="E75" i="66"/>
  <c r="I75" i="66" s="1"/>
  <c r="F75" i="66"/>
  <c r="E76" i="66"/>
  <c r="I76" i="66" s="1"/>
  <c r="F76" i="66"/>
  <c r="E77" i="66"/>
  <c r="I77" i="66" s="1"/>
  <c r="F77" i="66"/>
  <c r="E78" i="66"/>
  <c r="I78" i="66" s="1"/>
  <c r="F78" i="66"/>
  <c r="E79" i="66"/>
  <c r="I79" i="66" s="1"/>
  <c r="F79" i="66"/>
  <c r="E80" i="66"/>
  <c r="I80" i="66" s="1"/>
  <c r="F80" i="66"/>
  <c r="E81" i="66"/>
  <c r="I81" i="66" s="1"/>
  <c r="F81" i="66"/>
  <c r="E82" i="66"/>
  <c r="I82" i="66" s="1"/>
  <c r="F82" i="66"/>
  <c r="E83" i="66"/>
  <c r="I83" i="66" s="1"/>
  <c r="F83" i="66"/>
  <c r="E84" i="66"/>
  <c r="I84" i="66" s="1"/>
  <c r="F84" i="66"/>
  <c r="E85" i="66"/>
  <c r="I85" i="66" s="1"/>
  <c r="F85" i="66"/>
  <c r="E86" i="66"/>
  <c r="I86" i="66" s="1"/>
  <c r="F86" i="66"/>
  <c r="E87" i="66"/>
  <c r="I87" i="66" s="1"/>
  <c r="F87" i="66"/>
  <c r="E88" i="66"/>
  <c r="I88" i="66" s="1"/>
  <c r="F88" i="66"/>
  <c r="E89" i="66"/>
  <c r="I89" i="66" s="1"/>
  <c r="F89" i="66"/>
  <c r="E90" i="66"/>
  <c r="I90" i="66" s="1"/>
  <c r="F90" i="66"/>
  <c r="E91" i="66"/>
  <c r="I91" i="66" s="1"/>
  <c r="F91" i="66"/>
  <c r="E92" i="66"/>
  <c r="I92" i="66" s="1"/>
  <c r="F92" i="66"/>
  <c r="E93" i="66"/>
  <c r="I93" i="66" s="1"/>
  <c r="F93" i="66"/>
  <c r="E94" i="66"/>
  <c r="I94" i="66" s="1"/>
  <c r="F94" i="66"/>
  <c r="E95" i="66"/>
  <c r="I95" i="66" s="1"/>
  <c r="F95" i="66"/>
  <c r="E96" i="66"/>
  <c r="I96" i="66" s="1"/>
  <c r="F96" i="66"/>
  <c r="E97" i="66"/>
  <c r="I97" i="66" s="1"/>
  <c r="F97" i="66"/>
  <c r="E98" i="66"/>
  <c r="I98" i="66" s="1"/>
  <c r="F98" i="66"/>
  <c r="E99" i="66"/>
  <c r="I99" i="66" s="1"/>
  <c r="F99" i="66"/>
  <c r="E100" i="66"/>
  <c r="I100" i="66" s="1"/>
  <c r="F100" i="66"/>
  <c r="E101" i="66"/>
  <c r="I101" i="66" s="1"/>
  <c r="F101" i="66"/>
  <c r="E102" i="66"/>
  <c r="I102" i="66" s="1"/>
  <c r="F102" i="66"/>
  <c r="E103" i="66"/>
  <c r="I103" i="66" s="1"/>
  <c r="F103" i="66"/>
  <c r="E104" i="66"/>
  <c r="I104" i="66" s="1"/>
  <c r="F104" i="66"/>
  <c r="E105" i="66"/>
  <c r="I105" i="66" s="1"/>
  <c r="F105" i="66"/>
  <c r="E106" i="66"/>
  <c r="I106" i="66" s="1"/>
  <c r="F106" i="66"/>
  <c r="E107" i="66"/>
  <c r="I107" i="66" s="1"/>
  <c r="F107" i="66"/>
  <c r="E108" i="66"/>
  <c r="I108" i="66" s="1"/>
  <c r="F108" i="66"/>
  <c r="E109" i="66"/>
  <c r="I109" i="66" s="1"/>
  <c r="F109" i="66"/>
  <c r="E110" i="66"/>
  <c r="I110" i="66" s="1"/>
  <c r="F110" i="66"/>
  <c r="E111" i="66"/>
  <c r="I111" i="66" s="1"/>
  <c r="F111" i="66"/>
  <c r="E112" i="66"/>
  <c r="I112" i="66" s="1"/>
  <c r="F112" i="66"/>
  <c r="E113" i="66"/>
  <c r="I113" i="66" s="1"/>
  <c r="F113" i="66"/>
  <c r="E114" i="66"/>
  <c r="I114" i="66" s="1"/>
  <c r="F114" i="66"/>
  <c r="E115" i="66"/>
  <c r="I115" i="66" s="1"/>
  <c r="F115" i="66"/>
  <c r="E116" i="66"/>
  <c r="I116" i="66" s="1"/>
  <c r="F116" i="66"/>
  <c r="E117" i="66"/>
  <c r="I117" i="66" s="1"/>
  <c r="F117" i="66"/>
  <c r="E118" i="66"/>
  <c r="I118" i="66" s="1"/>
  <c r="F118" i="66"/>
  <c r="E119" i="66"/>
  <c r="I119" i="66" s="1"/>
  <c r="F119" i="66"/>
  <c r="E120" i="66"/>
  <c r="I120" i="66" s="1"/>
  <c r="F120" i="66"/>
  <c r="E121" i="66"/>
  <c r="I121" i="66" s="1"/>
  <c r="F121" i="66"/>
  <c r="E122" i="66"/>
  <c r="I122" i="66" s="1"/>
  <c r="F122" i="66"/>
  <c r="E123" i="66"/>
  <c r="I123" i="66" s="1"/>
  <c r="F123" i="66"/>
  <c r="E124" i="66"/>
  <c r="I124" i="66" s="1"/>
  <c r="F124" i="66"/>
  <c r="E125" i="66"/>
  <c r="I125" i="66" s="1"/>
  <c r="F125" i="66"/>
  <c r="E126" i="66"/>
  <c r="I126" i="66" s="1"/>
  <c r="F126" i="66"/>
  <c r="E127" i="66"/>
  <c r="I127" i="66" s="1"/>
  <c r="F127" i="66"/>
  <c r="E128" i="66"/>
  <c r="I128" i="66" s="1"/>
  <c r="F128" i="66"/>
  <c r="E129" i="66"/>
  <c r="I129" i="66" s="1"/>
  <c r="F129" i="66"/>
  <c r="E130" i="66"/>
  <c r="I130" i="66" s="1"/>
  <c r="F130" i="66"/>
  <c r="E131" i="66"/>
  <c r="I131" i="66" s="1"/>
  <c r="F131" i="66"/>
  <c r="E132" i="66"/>
  <c r="I132" i="66" s="1"/>
  <c r="F132" i="66"/>
  <c r="E133" i="66"/>
  <c r="I133" i="66" s="1"/>
  <c r="F133" i="66"/>
  <c r="E134" i="66"/>
  <c r="I134" i="66" s="1"/>
  <c r="F134" i="66"/>
  <c r="E135" i="66"/>
  <c r="I135" i="66" s="1"/>
  <c r="F135" i="66"/>
  <c r="E136" i="66"/>
  <c r="I136" i="66" s="1"/>
  <c r="F136" i="66"/>
  <c r="E137" i="66"/>
  <c r="I137" i="66" s="1"/>
  <c r="F137" i="66"/>
  <c r="E138" i="66"/>
  <c r="I138" i="66" s="1"/>
  <c r="F138" i="66"/>
  <c r="E139" i="66"/>
  <c r="I139" i="66" s="1"/>
  <c r="F139" i="66"/>
  <c r="E140" i="66"/>
  <c r="I140" i="66" s="1"/>
  <c r="F140" i="66"/>
  <c r="E141" i="66"/>
  <c r="I141" i="66" s="1"/>
  <c r="F141" i="66"/>
  <c r="E142" i="66"/>
  <c r="I142" i="66" s="1"/>
  <c r="F142" i="66"/>
  <c r="E143" i="66"/>
  <c r="I143" i="66" s="1"/>
  <c r="F143" i="66"/>
  <c r="E144" i="66"/>
  <c r="I144" i="66" s="1"/>
  <c r="F144" i="66"/>
  <c r="E145" i="66"/>
  <c r="I145" i="66" s="1"/>
  <c r="F145" i="66"/>
  <c r="E146" i="66"/>
  <c r="I146" i="66" s="1"/>
  <c r="F146" i="66"/>
  <c r="E147" i="66"/>
  <c r="I147" i="66" s="1"/>
  <c r="F147" i="66"/>
  <c r="E148" i="66"/>
  <c r="I148" i="66" s="1"/>
  <c r="F148" i="66"/>
  <c r="E149" i="66"/>
  <c r="I149" i="66" s="1"/>
  <c r="F149" i="66"/>
  <c r="E150" i="66"/>
  <c r="I150" i="66" s="1"/>
  <c r="F150" i="66"/>
  <c r="E151" i="66"/>
  <c r="I151" i="66" s="1"/>
  <c r="F151" i="66"/>
  <c r="E152" i="66"/>
  <c r="I152" i="66" s="1"/>
  <c r="F152" i="66"/>
  <c r="E153" i="66"/>
  <c r="I153" i="66" s="1"/>
  <c r="F153" i="66"/>
  <c r="E154" i="66"/>
  <c r="I154" i="66" s="1"/>
  <c r="F154" i="66"/>
  <c r="E155" i="66"/>
  <c r="I155" i="66" s="1"/>
  <c r="F155" i="66"/>
  <c r="E156" i="66"/>
  <c r="I156" i="66" s="1"/>
  <c r="F156" i="66"/>
  <c r="E157" i="66"/>
  <c r="I157" i="66" s="1"/>
  <c r="F157" i="66"/>
  <c r="E158" i="66"/>
  <c r="I158" i="66" s="1"/>
  <c r="F158" i="66"/>
  <c r="E159" i="66"/>
  <c r="I159" i="66" s="1"/>
  <c r="F159" i="66"/>
  <c r="E160" i="66"/>
  <c r="I160" i="66" s="1"/>
  <c r="F160" i="66"/>
  <c r="E161" i="66"/>
  <c r="I161" i="66" s="1"/>
  <c r="F161" i="66"/>
  <c r="E162" i="66"/>
  <c r="I162" i="66" s="1"/>
  <c r="F162" i="66"/>
  <c r="E163" i="66"/>
  <c r="I163" i="66" s="1"/>
  <c r="F163" i="66"/>
  <c r="E164" i="66"/>
  <c r="I164" i="66" s="1"/>
  <c r="F164" i="66"/>
  <c r="E165" i="66"/>
  <c r="I165" i="66" s="1"/>
  <c r="F165" i="66"/>
  <c r="E166" i="66"/>
  <c r="I166" i="66" s="1"/>
  <c r="F166" i="66"/>
  <c r="E167" i="66"/>
  <c r="I167" i="66" s="1"/>
  <c r="F167" i="66"/>
  <c r="E168" i="66"/>
  <c r="I168" i="66" s="1"/>
  <c r="F168" i="66"/>
  <c r="E169" i="66"/>
  <c r="I169" i="66" s="1"/>
  <c r="F169" i="66"/>
  <c r="E170" i="66"/>
  <c r="I170" i="66" s="1"/>
  <c r="F170" i="66"/>
  <c r="E171" i="66"/>
  <c r="I171" i="66" s="1"/>
  <c r="F171" i="66"/>
  <c r="E172" i="66"/>
  <c r="I172" i="66" s="1"/>
  <c r="F172" i="66"/>
  <c r="E173" i="66"/>
  <c r="I173" i="66" s="1"/>
  <c r="F173" i="66"/>
  <c r="E174" i="66"/>
  <c r="I174" i="66" s="1"/>
  <c r="F174" i="66"/>
  <c r="E175" i="66"/>
  <c r="I175" i="66" s="1"/>
  <c r="F175" i="66"/>
  <c r="E176" i="66"/>
  <c r="I176" i="66" s="1"/>
  <c r="F176" i="66"/>
  <c r="E177" i="66"/>
  <c r="I177" i="66" s="1"/>
  <c r="F177" i="66"/>
  <c r="E178" i="66"/>
  <c r="I178" i="66" s="1"/>
  <c r="F178" i="66"/>
  <c r="E179" i="66"/>
  <c r="I179" i="66" s="1"/>
  <c r="F179" i="66"/>
  <c r="E180" i="66"/>
  <c r="I180" i="66" s="1"/>
  <c r="F180" i="66"/>
  <c r="E181" i="66"/>
  <c r="I181" i="66" s="1"/>
  <c r="F181" i="66"/>
  <c r="E182" i="66"/>
  <c r="I182" i="66" s="1"/>
  <c r="F182" i="66"/>
  <c r="E183" i="66"/>
  <c r="I183" i="66" s="1"/>
  <c r="F183" i="66"/>
  <c r="E184" i="66"/>
  <c r="I184" i="66" s="1"/>
  <c r="F184" i="66"/>
  <c r="E185" i="66"/>
  <c r="I185" i="66" s="1"/>
  <c r="F185" i="66"/>
  <c r="E186" i="66"/>
  <c r="I186" i="66" s="1"/>
  <c r="F186" i="66"/>
  <c r="E187" i="66"/>
  <c r="I187" i="66" s="1"/>
  <c r="F187" i="66"/>
  <c r="E188" i="66"/>
  <c r="I188" i="66" s="1"/>
  <c r="F188" i="66"/>
  <c r="E189" i="66"/>
  <c r="I189" i="66" s="1"/>
  <c r="F189" i="66"/>
  <c r="E190" i="66"/>
  <c r="I190" i="66" s="1"/>
  <c r="F190" i="66"/>
  <c r="E191" i="66"/>
  <c r="I191" i="66" s="1"/>
  <c r="F191" i="66"/>
  <c r="E192" i="66"/>
  <c r="I192" i="66" s="1"/>
  <c r="F192" i="66"/>
  <c r="E193" i="66"/>
  <c r="I193" i="66" s="1"/>
  <c r="F193" i="66"/>
  <c r="E194" i="66"/>
  <c r="I194" i="66" s="1"/>
  <c r="F194" i="66"/>
  <c r="E195" i="66"/>
  <c r="I195" i="66" s="1"/>
  <c r="F195" i="66"/>
  <c r="E196" i="66"/>
  <c r="I196" i="66" s="1"/>
  <c r="F196" i="66"/>
  <c r="E197" i="66"/>
  <c r="I197" i="66" s="1"/>
  <c r="F197" i="66"/>
  <c r="E198" i="66"/>
  <c r="I198" i="66" s="1"/>
  <c r="F198" i="66"/>
  <c r="E199" i="66"/>
  <c r="I199" i="66" s="1"/>
  <c r="F199" i="66"/>
  <c r="E200" i="66"/>
  <c r="I200" i="66" s="1"/>
  <c r="F200" i="66"/>
  <c r="E201" i="66"/>
  <c r="I201" i="66" s="1"/>
  <c r="F201" i="66"/>
  <c r="E202" i="66"/>
  <c r="I202" i="66" s="1"/>
  <c r="F202" i="66"/>
  <c r="E203" i="66"/>
  <c r="I203" i="66" s="1"/>
  <c r="F203" i="66"/>
  <c r="E204" i="66"/>
  <c r="I204" i="66" s="1"/>
  <c r="F204" i="66"/>
  <c r="E205" i="66"/>
  <c r="I205" i="66" s="1"/>
  <c r="F205" i="66"/>
  <c r="E206" i="66"/>
  <c r="I206" i="66" s="1"/>
  <c r="F206" i="66"/>
  <c r="E207" i="66"/>
  <c r="I207" i="66" s="1"/>
  <c r="F207" i="66"/>
  <c r="E208" i="66"/>
  <c r="I208" i="66" s="1"/>
  <c r="F208" i="66"/>
  <c r="E209" i="66"/>
  <c r="I209" i="66" s="1"/>
  <c r="F209" i="66"/>
  <c r="E210" i="66"/>
  <c r="I210" i="66" s="1"/>
  <c r="F210" i="66"/>
  <c r="E211" i="66"/>
  <c r="I211" i="66" s="1"/>
  <c r="F211" i="66"/>
  <c r="E212" i="66"/>
  <c r="I212" i="66" s="1"/>
  <c r="F212" i="66"/>
  <c r="E213" i="66"/>
  <c r="I213" i="66" s="1"/>
  <c r="F213" i="66"/>
  <c r="E214" i="66"/>
  <c r="I214" i="66" s="1"/>
  <c r="F214" i="66"/>
  <c r="E215" i="66"/>
  <c r="I215" i="66" s="1"/>
  <c r="F215" i="66"/>
  <c r="E216" i="66"/>
  <c r="I216" i="66" s="1"/>
  <c r="F216" i="66"/>
  <c r="E217" i="66"/>
  <c r="I217" i="66" s="1"/>
  <c r="F217" i="66"/>
  <c r="E218" i="66"/>
  <c r="I218" i="66" s="1"/>
  <c r="F218" i="66"/>
  <c r="E219" i="66"/>
  <c r="I219" i="66" s="1"/>
  <c r="F219" i="66"/>
  <c r="E220" i="66"/>
  <c r="I220" i="66" s="1"/>
  <c r="F220" i="66"/>
  <c r="E221" i="66"/>
  <c r="I221" i="66" s="1"/>
  <c r="F221" i="66"/>
  <c r="E222" i="66"/>
  <c r="I222" i="66" s="1"/>
  <c r="F222" i="66"/>
  <c r="E223" i="66"/>
  <c r="I223" i="66" s="1"/>
  <c r="F223" i="66"/>
  <c r="E224" i="66"/>
  <c r="I224" i="66" s="1"/>
  <c r="F224" i="66"/>
  <c r="E225" i="66"/>
  <c r="I225" i="66" s="1"/>
  <c r="F225" i="66"/>
  <c r="E226" i="66"/>
  <c r="I226" i="66" s="1"/>
  <c r="F226" i="66"/>
  <c r="E227" i="66"/>
  <c r="I227" i="66" s="1"/>
  <c r="F227" i="66"/>
  <c r="E228" i="66"/>
  <c r="I228" i="66" s="1"/>
  <c r="F228" i="66"/>
  <c r="E229" i="66"/>
  <c r="I229" i="66" s="1"/>
  <c r="F229" i="66"/>
  <c r="E230" i="66"/>
  <c r="I230" i="66" s="1"/>
  <c r="F230" i="66"/>
  <c r="E231" i="66"/>
  <c r="I231" i="66" s="1"/>
  <c r="F231" i="66"/>
  <c r="E232" i="66"/>
  <c r="I232" i="66" s="1"/>
  <c r="F232" i="66"/>
  <c r="E233" i="66"/>
  <c r="I233" i="66" s="1"/>
  <c r="F233" i="66"/>
  <c r="E234" i="66"/>
  <c r="I234" i="66" s="1"/>
  <c r="F234" i="66"/>
  <c r="E235" i="66"/>
  <c r="I235" i="66" s="1"/>
  <c r="F235" i="66"/>
  <c r="E236" i="66"/>
  <c r="I236" i="66" s="1"/>
  <c r="F236" i="66"/>
  <c r="E237" i="66"/>
  <c r="I237" i="66" s="1"/>
  <c r="F237" i="66"/>
  <c r="E238" i="66"/>
  <c r="I238" i="66" s="1"/>
  <c r="F238" i="66"/>
  <c r="E239" i="66"/>
  <c r="I239" i="66" s="1"/>
  <c r="F239" i="66"/>
  <c r="E240" i="66"/>
  <c r="I240" i="66" s="1"/>
  <c r="F240" i="66"/>
  <c r="E241" i="66"/>
  <c r="I241" i="66" s="1"/>
  <c r="F241" i="66"/>
  <c r="E242" i="66"/>
  <c r="I242" i="66" s="1"/>
  <c r="F242" i="66"/>
  <c r="E243" i="66"/>
  <c r="I243" i="66" s="1"/>
  <c r="F243" i="66"/>
  <c r="E244" i="66"/>
  <c r="I244" i="66" s="1"/>
  <c r="F244" i="66"/>
  <c r="E245" i="66"/>
  <c r="I245" i="66" s="1"/>
  <c r="F245" i="66"/>
  <c r="E246" i="66"/>
  <c r="I246" i="66" s="1"/>
  <c r="F246" i="66"/>
  <c r="E247" i="66"/>
  <c r="I247" i="66" s="1"/>
  <c r="F247" i="66"/>
  <c r="E248" i="66"/>
  <c r="I248" i="66" s="1"/>
  <c r="F248" i="66"/>
  <c r="E249" i="66"/>
  <c r="I249" i="66" s="1"/>
  <c r="F249" i="66"/>
  <c r="E250" i="66"/>
  <c r="I250" i="66" s="1"/>
  <c r="F250" i="66"/>
  <c r="E251" i="66"/>
  <c r="I251" i="66" s="1"/>
  <c r="F251" i="66"/>
  <c r="E252" i="66"/>
  <c r="I252" i="66" s="1"/>
  <c r="F252" i="66"/>
  <c r="E253" i="66"/>
  <c r="I253" i="66" s="1"/>
  <c r="F253" i="66"/>
  <c r="E254" i="66"/>
  <c r="I254" i="66" s="1"/>
  <c r="F254" i="66"/>
  <c r="E255" i="66"/>
  <c r="I255" i="66" s="1"/>
  <c r="F255" i="66"/>
  <c r="E256" i="66"/>
  <c r="I256" i="66" s="1"/>
  <c r="F256" i="66"/>
  <c r="E257" i="66"/>
  <c r="I257" i="66" s="1"/>
  <c r="F257" i="66"/>
  <c r="E258" i="66"/>
  <c r="I258" i="66" s="1"/>
  <c r="F258" i="66"/>
  <c r="E259" i="66"/>
  <c r="I259" i="66" s="1"/>
  <c r="F259" i="66"/>
  <c r="E260" i="66"/>
  <c r="I260" i="66" s="1"/>
  <c r="F260" i="66"/>
  <c r="E261" i="66"/>
  <c r="I261" i="66" s="1"/>
  <c r="F261" i="66"/>
  <c r="E262" i="66"/>
  <c r="I262" i="66" s="1"/>
  <c r="F262" i="66"/>
  <c r="E263" i="66"/>
  <c r="I263" i="66" s="1"/>
  <c r="F263" i="66"/>
  <c r="E264" i="66"/>
  <c r="I264" i="66" s="1"/>
  <c r="F264" i="66"/>
  <c r="E265" i="66"/>
  <c r="I265" i="66" s="1"/>
  <c r="F265" i="66"/>
  <c r="E266" i="66"/>
  <c r="I266" i="66" s="1"/>
  <c r="F266" i="66"/>
  <c r="E267" i="66"/>
  <c r="I267" i="66" s="1"/>
  <c r="F267" i="66"/>
  <c r="E268" i="66"/>
  <c r="I268" i="66" s="1"/>
  <c r="F268" i="66"/>
  <c r="E269" i="66"/>
  <c r="I269" i="66" s="1"/>
  <c r="F269" i="66"/>
  <c r="E270" i="66"/>
  <c r="I270" i="66" s="1"/>
  <c r="F270" i="66"/>
  <c r="E271" i="66"/>
  <c r="I271" i="66" s="1"/>
  <c r="F271" i="66"/>
  <c r="E272" i="66"/>
  <c r="I272" i="66" s="1"/>
  <c r="F272" i="66"/>
  <c r="E273" i="66"/>
  <c r="I273" i="66" s="1"/>
  <c r="F273" i="66"/>
  <c r="E274" i="66"/>
  <c r="I274" i="66" s="1"/>
  <c r="F274" i="66"/>
  <c r="E275" i="66"/>
  <c r="I275" i="66" s="1"/>
  <c r="F275" i="66"/>
  <c r="E276" i="66"/>
  <c r="I276" i="66" s="1"/>
  <c r="F276" i="66"/>
  <c r="E277" i="66"/>
  <c r="I277" i="66" s="1"/>
  <c r="F277" i="66"/>
  <c r="E278" i="66"/>
  <c r="I278" i="66" s="1"/>
  <c r="F278" i="66"/>
  <c r="E279" i="66"/>
  <c r="I279" i="66" s="1"/>
  <c r="F279" i="66"/>
  <c r="E280" i="66"/>
  <c r="I280" i="66" s="1"/>
  <c r="F280" i="66"/>
  <c r="E281" i="66"/>
  <c r="I281" i="66" s="1"/>
  <c r="F281" i="66"/>
  <c r="E282" i="66"/>
  <c r="I282" i="66" s="1"/>
  <c r="F282" i="66"/>
  <c r="E283" i="66"/>
  <c r="I283" i="66" s="1"/>
  <c r="F283" i="66"/>
  <c r="E284" i="66"/>
  <c r="I284" i="66" s="1"/>
  <c r="F284" i="66"/>
  <c r="E285" i="66"/>
  <c r="I285" i="66" s="1"/>
  <c r="F285" i="66"/>
  <c r="E286" i="66"/>
  <c r="I286" i="66" s="1"/>
  <c r="F286" i="66"/>
  <c r="E287" i="66"/>
  <c r="I287" i="66" s="1"/>
  <c r="F287" i="66"/>
  <c r="E288" i="66"/>
  <c r="I288" i="66" s="1"/>
  <c r="F288" i="66"/>
  <c r="E289" i="66"/>
  <c r="I289" i="66" s="1"/>
  <c r="F289" i="66"/>
  <c r="E290" i="66"/>
  <c r="I290" i="66" s="1"/>
  <c r="F290" i="66"/>
  <c r="E291" i="66"/>
  <c r="I291" i="66" s="1"/>
  <c r="F291" i="66"/>
  <c r="E292" i="66"/>
  <c r="I292" i="66" s="1"/>
  <c r="F292" i="66"/>
  <c r="E293" i="66"/>
  <c r="I293" i="66" s="1"/>
  <c r="F293" i="66"/>
  <c r="E294" i="66"/>
  <c r="I294" i="66" s="1"/>
  <c r="F294" i="66"/>
  <c r="E295" i="66"/>
  <c r="I295" i="66" s="1"/>
  <c r="F295" i="66"/>
  <c r="E296" i="66"/>
  <c r="I296" i="66" s="1"/>
  <c r="F296" i="66"/>
  <c r="E297" i="66"/>
  <c r="I297" i="66" s="1"/>
  <c r="F297" i="66"/>
  <c r="E298" i="66"/>
  <c r="I298" i="66" s="1"/>
  <c r="F298" i="66"/>
  <c r="E299" i="66"/>
  <c r="I299" i="66" s="1"/>
  <c r="F299" i="66"/>
  <c r="E300" i="66"/>
  <c r="I300" i="66" s="1"/>
  <c r="F300" i="66"/>
  <c r="E301" i="66"/>
  <c r="I301" i="66" s="1"/>
  <c r="F301" i="66"/>
  <c r="E302" i="66"/>
  <c r="I302" i="66" s="1"/>
  <c r="F302" i="66"/>
  <c r="E303" i="66"/>
  <c r="I303" i="66" s="1"/>
  <c r="F303" i="66"/>
  <c r="E304" i="66"/>
  <c r="I304" i="66" s="1"/>
  <c r="F304" i="66"/>
  <c r="E305" i="66"/>
  <c r="I305" i="66" s="1"/>
  <c r="F305" i="66"/>
  <c r="E306" i="66"/>
  <c r="I306" i="66" s="1"/>
  <c r="F306" i="66"/>
  <c r="E307" i="66"/>
  <c r="I307" i="66" s="1"/>
  <c r="F307" i="66"/>
  <c r="E308" i="66"/>
  <c r="I308" i="66" s="1"/>
  <c r="F308" i="66"/>
  <c r="E309" i="66"/>
  <c r="I309" i="66" s="1"/>
  <c r="F309" i="66"/>
  <c r="E310" i="66"/>
  <c r="I310" i="66" s="1"/>
  <c r="F310" i="66"/>
  <c r="E311" i="66"/>
  <c r="I311" i="66" s="1"/>
  <c r="F311" i="66"/>
  <c r="E312" i="66"/>
  <c r="I312" i="66" s="1"/>
  <c r="F312" i="66"/>
  <c r="E313" i="66"/>
  <c r="I313" i="66" s="1"/>
  <c r="F313" i="66"/>
  <c r="E314" i="66"/>
  <c r="I314" i="66" s="1"/>
  <c r="F314" i="66"/>
  <c r="E315" i="66"/>
  <c r="I315" i="66" s="1"/>
  <c r="F315" i="66"/>
  <c r="E316" i="66"/>
  <c r="I316" i="66" s="1"/>
  <c r="F316" i="66"/>
  <c r="E317" i="66"/>
  <c r="I317" i="66" s="1"/>
  <c r="F317" i="66"/>
  <c r="E318" i="66"/>
  <c r="I318" i="66" s="1"/>
  <c r="F318" i="66"/>
  <c r="E319" i="66"/>
  <c r="I319" i="66" s="1"/>
  <c r="F319" i="66"/>
  <c r="E320" i="66"/>
  <c r="I320" i="66" s="1"/>
  <c r="F320" i="66"/>
  <c r="E321" i="66"/>
  <c r="I321" i="66" s="1"/>
  <c r="F321" i="66"/>
  <c r="E322" i="66"/>
  <c r="I322" i="66" s="1"/>
  <c r="F322" i="66"/>
  <c r="E323" i="66"/>
  <c r="I323" i="66" s="1"/>
  <c r="F323" i="66"/>
  <c r="E324" i="66"/>
  <c r="I324" i="66" s="1"/>
  <c r="F324" i="66"/>
  <c r="E325" i="66"/>
  <c r="I325" i="66" s="1"/>
  <c r="F325" i="66"/>
  <c r="E326" i="66"/>
  <c r="I326" i="66" s="1"/>
  <c r="F326" i="66"/>
  <c r="E327" i="66"/>
  <c r="I327" i="66" s="1"/>
  <c r="F327" i="66"/>
  <c r="E328" i="66"/>
  <c r="I328" i="66" s="1"/>
  <c r="F328" i="66"/>
  <c r="E329" i="66"/>
  <c r="I329" i="66" s="1"/>
  <c r="F329" i="66"/>
  <c r="E330" i="66"/>
  <c r="I330" i="66" s="1"/>
  <c r="F330" i="66"/>
  <c r="E331" i="66"/>
  <c r="I331" i="66" s="1"/>
  <c r="F331" i="66"/>
  <c r="E332" i="66"/>
  <c r="I332" i="66" s="1"/>
  <c r="F332" i="66"/>
  <c r="E333" i="66"/>
  <c r="I333" i="66" s="1"/>
  <c r="F333" i="66"/>
  <c r="E334" i="66"/>
  <c r="I334" i="66" s="1"/>
  <c r="F334" i="66"/>
  <c r="E335" i="66"/>
  <c r="I335" i="66" s="1"/>
  <c r="F335" i="66"/>
  <c r="E336" i="66"/>
  <c r="I336" i="66" s="1"/>
  <c r="F336" i="66"/>
  <c r="E337" i="66"/>
  <c r="I337" i="66" s="1"/>
  <c r="F337" i="66"/>
  <c r="E338" i="66"/>
  <c r="I338" i="66" s="1"/>
  <c r="F338" i="66"/>
  <c r="E339" i="66"/>
  <c r="I339" i="66" s="1"/>
  <c r="F339" i="66"/>
  <c r="E340" i="66"/>
  <c r="I340" i="66" s="1"/>
  <c r="F340" i="66"/>
  <c r="E341" i="66"/>
  <c r="I341" i="66" s="1"/>
  <c r="F341" i="66"/>
  <c r="E342" i="66"/>
  <c r="I342" i="66" s="1"/>
  <c r="F342" i="66"/>
  <c r="E343" i="66"/>
  <c r="I343" i="66" s="1"/>
  <c r="F343" i="66"/>
  <c r="E344" i="66"/>
  <c r="I344" i="66" s="1"/>
  <c r="F344" i="66"/>
  <c r="E345" i="66"/>
  <c r="I345" i="66" s="1"/>
  <c r="F345" i="66"/>
  <c r="E346" i="66"/>
  <c r="I346" i="66" s="1"/>
  <c r="F346" i="66"/>
  <c r="E347" i="66"/>
  <c r="I347" i="66" s="1"/>
  <c r="F347" i="66"/>
  <c r="E348" i="66"/>
  <c r="I348" i="66" s="1"/>
  <c r="F348" i="66"/>
  <c r="E349" i="66"/>
  <c r="I349" i="66" s="1"/>
  <c r="F349" i="66"/>
  <c r="E350" i="66"/>
  <c r="I350" i="66" s="1"/>
  <c r="F350" i="66"/>
  <c r="E351" i="66"/>
  <c r="I351" i="66" s="1"/>
  <c r="F351" i="66"/>
  <c r="E352" i="66"/>
  <c r="I352" i="66" s="1"/>
  <c r="F352" i="66"/>
  <c r="E353" i="66"/>
  <c r="I353" i="66" s="1"/>
  <c r="F353" i="66"/>
  <c r="E354" i="66"/>
  <c r="I354" i="66" s="1"/>
  <c r="F354" i="66"/>
  <c r="E355" i="66"/>
  <c r="I355" i="66" s="1"/>
  <c r="F355" i="66"/>
  <c r="E356" i="66"/>
  <c r="I356" i="66" s="1"/>
  <c r="F356" i="66"/>
  <c r="E357" i="66"/>
  <c r="I357" i="66" s="1"/>
  <c r="F357" i="66"/>
  <c r="E358" i="66"/>
  <c r="I358" i="66" s="1"/>
  <c r="F358" i="66"/>
  <c r="E359" i="66"/>
  <c r="I359" i="66" s="1"/>
  <c r="F359" i="66"/>
  <c r="E360" i="66"/>
  <c r="I360" i="66" s="1"/>
  <c r="F360" i="66"/>
  <c r="E361" i="66"/>
  <c r="I361" i="66" s="1"/>
  <c r="F361" i="66"/>
  <c r="E362" i="66"/>
  <c r="I362" i="66" s="1"/>
  <c r="F362" i="66"/>
  <c r="E363" i="66"/>
  <c r="I363" i="66" s="1"/>
  <c r="F363" i="66"/>
  <c r="E364" i="66"/>
  <c r="I364" i="66" s="1"/>
  <c r="F364" i="66"/>
  <c r="E365" i="66"/>
  <c r="I365" i="66" s="1"/>
  <c r="F365" i="66"/>
  <c r="E366" i="66"/>
  <c r="I366" i="66" s="1"/>
  <c r="F366" i="66"/>
  <c r="E367" i="66"/>
  <c r="I367" i="66" s="1"/>
  <c r="F367" i="66"/>
  <c r="E368" i="66"/>
  <c r="I368" i="66" s="1"/>
  <c r="F368" i="66"/>
  <c r="E369" i="66"/>
  <c r="I369" i="66" s="1"/>
  <c r="F369" i="66"/>
  <c r="E370" i="66"/>
  <c r="I370" i="66" s="1"/>
  <c r="F370" i="66"/>
  <c r="E371" i="66"/>
  <c r="I371" i="66" s="1"/>
  <c r="F371" i="66"/>
  <c r="E372" i="66"/>
  <c r="I372" i="66" s="1"/>
  <c r="F372" i="66"/>
  <c r="E373" i="66"/>
  <c r="I373" i="66" s="1"/>
  <c r="F373" i="66"/>
  <c r="E374" i="66"/>
  <c r="I374" i="66" s="1"/>
  <c r="F374" i="66"/>
  <c r="E375" i="66"/>
  <c r="I375" i="66" s="1"/>
  <c r="F375" i="66"/>
  <c r="E376" i="66"/>
  <c r="I376" i="66" s="1"/>
  <c r="F376" i="66"/>
  <c r="E377" i="66"/>
  <c r="I377" i="66" s="1"/>
  <c r="F377" i="66"/>
  <c r="E378" i="66"/>
  <c r="I378" i="66" s="1"/>
  <c r="F378" i="66"/>
  <c r="E379" i="66"/>
  <c r="I379" i="66" s="1"/>
  <c r="F379" i="66"/>
  <c r="E380" i="66"/>
  <c r="I380" i="66" s="1"/>
  <c r="F380" i="66"/>
  <c r="E381" i="66"/>
  <c r="I381" i="66" s="1"/>
  <c r="F381" i="66"/>
  <c r="E382" i="66"/>
  <c r="I382" i="66" s="1"/>
  <c r="F382" i="66"/>
  <c r="E383" i="66"/>
  <c r="I383" i="66" s="1"/>
  <c r="F383" i="66"/>
  <c r="E384" i="66"/>
  <c r="I384" i="66" s="1"/>
  <c r="F384" i="66"/>
  <c r="E385" i="66"/>
  <c r="I385" i="66" s="1"/>
  <c r="F385" i="66"/>
  <c r="E386" i="66"/>
  <c r="I386" i="66" s="1"/>
  <c r="F386" i="66"/>
  <c r="E387" i="66"/>
  <c r="I387" i="66" s="1"/>
  <c r="F387" i="66"/>
  <c r="E388" i="66"/>
  <c r="I388" i="66" s="1"/>
  <c r="F388" i="66"/>
  <c r="E389" i="66"/>
  <c r="I389" i="66" s="1"/>
  <c r="F389" i="66"/>
  <c r="E390" i="66"/>
  <c r="I390" i="66" s="1"/>
  <c r="F390" i="66"/>
  <c r="E391" i="66"/>
  <c r="I391" i="66" s="1"/>
  <c r="F391" i="66"/>
  <c r="E392" i="66"/>
  <c r="I392" i="66" s="1"/>
  <c r="F392" i="66"/>
  <c r="E393" i="66"/>
  <c r="I393" i="66" s="1"/>
  <c r="F393" i="66"/>
  <c r="E394" i="66"/>
  <c r="I394" i="66" s="1"/>
  <c r="F394" i="66"/>
  <c r="E395" i="66"/>
  <c r="I395" i="66" s="1"/>
  <c r="F395" i="66"/>
  <c r="E396" i="66"/>
  <c r="I396" i="66" s="1"/>
  <c r="F396" i="66"/>
  <c r="E397" i="66"/>
  <c r="I397" i="66" s="1"/>
  <c r="F397" i="66"/>
  <c r="E398" i="66"/>
  <c r="I398" i="66" s="1"/>
  <c r="F398" i="66"/>
  <c r="E399" i="66"/>
  <c r="I399" i="66" s="1"/>
  <c r="F399" i="66"/>
  <c r="E400" i="66"/>
  <c r="I400" i="66" s="1"/>
  <c r="F400" i="66"/>
  <c r="E401" i="66"/>
  <c r="I401" i="66" s="1"/>
  <c r="F401" i="66"/>
  <c r="E402" i="66"/>
  <c r="I402" i="66" s="1"/>
  <c r="F402" i="66"/>
  <c r="E403" i="66"/>
  <c r="I403" i="66" s="1"/>
  <c r="F403" i="66"/>
  <c r="F2" i="66"/>
  <c r="E7" i="65"/>
  <c r="M2" i="66" l="1"/>
  <c r="L2" i="66"/>
  <c r="N2" i="66" s="1"/>
  <c r="L6" i="66"/>
  <c r="M6" i="66"/>
  <c r="N6" i="66"/>
  <c r="M5" i="66"/>
  <c r="L5" i="66"/>
  <c r="N5" i="66" s="1"/>
  <c r="L8" i="66"/>
  <c r="N8" i="66" s="1"/>
  <c r="M8" i="66"/>
  <c r="M10" i="66"/>
  <c r="L10" i="66"/>
  <c r="N10" i="66"/>
  <c r="L3" i="66"/>
  <c r="M3" i="66"/>
  <c r="N3" i="66"/>
  <c r="M9" i="66"/>
  <c r="N9" i="66" s="1"/>
  <c r="L4" i="66"/>
  <c r="N4" i="66" s="1"/>
  <c r="J4" i="82"/>
  <c r="J76" i="81"/>
  <c r="J70" i="81"/>
  <c r="J32" i="81"/>
  <c r="J5" i="81"/>
  <c r="J40" i="82"/>
  <c r="J34" i="82"/>
  <c r="J28" i="82"/>
  <c r="J22" i="82"/>
  <c r="L22" i="82" s="1"/>
  <c r="J16" i="82"/>
  <c r="M16" i="82" s="1"/>
  <c r="J53" i="81"/>
  <c r="J48" i="82"/>
  <c r="L48" i="82" s="1"/>
  <c r="J77" i="81"/>
  <c r="J17" i="81"/>
  <c r="J6" i="81"/>
  <c r="J11" i="82"/>
  <c r="J48" i="81"/>
  <c r="J27" i="81"/>
  <c r="J81" i="81"/>
  <c r="J75" i="81"/>
  <c r="J69" i="81"/>
  <c r="L69" i="81" s="1"/>
  <c r="J25" i="81"/>
  <c r="L25" i="81" s="1"/>
  <c r="J4" i="81"/>
  <c r="J33" i="82"/>
  <c r="M33" i="82" s="1"/>
  <c r="J27" i="82"/>
  <c r="J21" i="82"/>
  <c r="J15" i="82"/>
  <c r="J9" i="82"/>
  <c r="J3" i="82"/>
  <c r="J83" i="81"/>
  <c r="J71" i="81"/>
  <c r="L71" i="81" s="1"/>
  <c r="J41" i="82"/>
  <c r="J17" i="82"/>
  <c r="L17" i="82" s="1"/>
  <c r="J54" i="81"/>
  <c r="L54" i="81" s="1"/>
  <c r="J47" i="82"/>
  <c r="J29" i="82"/>
  <c r="M29" i="82" s="1"/>
  <c r="J22" i="81"/>
  <c r="J82" i="81"/>
  <c r="J80" i="81"/>
  <c r="J74" i="81"/>
  <c r="J46" i="81"/>
  <c r="J30" i="81"/>
  <c r="J20" i="81"/>
  <c r="L20" i="81" s="1"/>
  <c r="J32" i="82"/>
  <c r="M32" i="82" s="1"/>
  <c r="J20" i="82"/>
  <c r="L20" i="82" s="1"/>
  <c r="J14" i="82"/>
  <c r="M14" i="82" s="1"/>
  <c r="J69" i="82"/>
  <c r="M69" i="82" s="1"/>
  <c r="N69" i="82" s="1"/>
  <c r="J64" i="82"/>
  <c r="L64" i="82" s="1"/>
  <c r="J2" i="82"/>
  <c r="J63" i="82"/>
  <c r="J73" i="81"/>
  <c r="J45" i="81"/>
  <c r="J29" i="81"/>
  <c r="J8" i="81"/>
  <c r="J61" i="81"/>
  <c r="M61" i="81" s="1"/>
  <c r="J56" i="81"/>
  <c r="M56" i="81" s="1"/>
  <c r="J39" i="81"/>
  <c r="M39" i="81" s="1"/>
  <c r="J34" i="81"/>
  <c r="L34" i="81" s="1"/>
  <c r="J23" i="81"/>
  <c r="L23" i="81" s="1"/>
  <c r="J45" i="82"/>
  <c r="L45" i="82" s="1"/>
  <c r="J66" i="81"/>
  <c r="J6" i="82"/>
  <c r="J44" i="82"/>
  <c r="J5" i="82"/>
  <c r="J43" i="82"/>
  <c r="L58" i="82"/>
  <c r="N58" i="82" s="1"/>
  <c r="M58" i="82"/>
  <c r="L63" i="82"/>
  <c r="M63" i="82"/>
  <c r="N63" i="82" s="1"/>
  <c r="J65" i="82"/>
  <c r="L65" i="82" s="1"/>
  <c r="J91" i="81"/>
  <c r="L91" i="81" s="1"/>
  <c r="J67" i="82"/>
  <c r="J26" i="82"/>
  <c r="L26" i="82" s="1"/>
  <c r="L62" i="82"/>
  <c r="M62" i="82"/>
  <c r="L47" i="82"/>
  <c r="M47" i="82"/>
  <c r="M64" i="82"/>
  <c r="M61" i="82"/>
  <c r="L61" i="82"/>
  <c r="N61" i="82" s="1"/>
  <c r="L68" i="82"/>
  <c r="M68" i="82"/>
  <c r="M60" i="82"/>
  <c r="L60" i="82"/>
  <c r="L52" i="82"/>
  <c r="M52" i="82"/>
  <c r="L46" i="82"/>
  <c r="N46" i="82" s="1"/>
  <c r="M46" i="82"/>
  <c r="L69" i="82"/>
  <c r="L53" i="82"/>
  <c r="M53" i="82"/>
  <c r="M57" i="82"/>
  <c r="L57" i="82"/>
  <c r="N57" i="82" s="1"/>
  <c r="M56" i="82"/>
  <c r="L56" i="82"/>
  <c r="M67" i="82"/>
  <c r="L67" i="82"/>
  <c r="N67" i="82" s="1"/>
  <c r="M51" i="82"/>
  <c r="L51" i="82"/>
  <c r="L59" i="82"/>
  <c r="M59" i="82"/>
  <c r="M44" i="82"/>
  <c r="L44" i="82"/>
  <c r="N44" i="82" s="1"/>
  <c r="L55" i="82"/>
  <c r="M55" i="82"/>
  <c r="L66" i="82"/>
  <c r="M66" i="82"/>
  <c r="L50" i="82"/>
  <c r="M50" i="82"/>
  <c r="L54" i="82"/>
  <c r="M54" i="82"/>
  <c r="M49" i="82"/>
  <c r="L49" i="82"/>
  <c r="L43" i="82"/>
  <c r="M43" i="82"/>
  <c r="J10" i="82"/>
  <c r="L10" i="82" s="1"/>
  <c r="J37" i="82"/>
  <c r="J12" i="82"/>
  <c r="L12" i="82" s="1"/>
  <c r="J7" i="82"/>
  <c r="L7" i="82" s="1"/>
  <c r="J35" i="82"/>
  <c r="L35" i="82" s="1"/>
  <c r="J30" i="82"/>
  <c r="M30" i="82" s="1"/>
  <c r="J39" i="82"/>
  <c r="L39" i="82" s="1"/>
  <c r="J38" i="82"/>
  <c r="L38" i="82" s="1"/>
  <c r="J23" i="82"/>
  <c r="L23" i="82" s="1"/>
  <c r="J8" i="82"/>
  <c r="L8" i="82" s="1"/>
  <c r="L19" i="82"/>
  <c r="N19" i="82" s="1"/>
  <c r="M19" i="82"/>
  <c r="L27" i="82"/>
  <c r="M27" i="82"/>
  <c r="L36" i="82"/>
  <c r="M36" i="82"/>
  <c r="L3" i="82"/>
  <c r="M3" i="82"/>
  <c r="L31" i="82"/>
  <c r="M31" i="82"/>
  <c r="L21" i="82"/>
  <c r="M21" i="82"/>
  <c r="M38" i="82"/>
  <c r="L15" i="82"/>
  <c r="M15" i="82"/>
  <c r="L14" i="82"/>
  <c r="L32" i="82"/>
  <c r="L25" i="82"/>
  <c r="M25" i="82"/>
  <c r="L11" i="82"/>
  <c r="M11" i="82"/>
  <c r="L6" i="82"/>
  <c r="M6" i="82"/>
  <c r="L29" i="82"/>
  <c r="L42" i="82"/>
  <c r="M42" i="82"/>
  <c r="M40" i="82"/>
  <c r="L40" i="82"/>
  <c r="L34" i="82"/>
  <c r="M34" i="82"/>
  <c r="L5" i="82"/>
  <c r="M5" i="82"/>
  <c r="L33" i="82"/>
  <c r="L24" i="82"/>
  <c r="M24" i="82"/>
  <c r="L9" i="82"/>
  <c r="M9" i="82"/>
  <c r="L37" i="82"/>
  <c r="M37" i="82"/>
  <c r="L41" i="82"/>
  <c r="M41" i="82"/>
  <c r="M28" i="82"/>
  <c r="L28" i="82"/>
  <c r="L18" i="82"/>
  <c r="M18" i="82"/>
  <c r="L13" i="82"/>
  <c r="M13" i="82"/>
  <c r="M4" i="82"/>
  <c r="L4" i="82"/>
  <c r="N4" i="82" s="1"/>
  <c r="M2" i="82"/>
  <c r="L2" i="82"/>
  <c r="J150" i="66"/>
  <c r="L150" i="66" s="1"/>
  <c r="J89" i="81"/>
  <c r="M89" i="81" s="1"/>
  <c r="J42" i="81"/>
  <c r="J37" i="81"/>
  <c r="M37" i="81" s="1"/>
  <c r="J33" i="81"/>
  <c r="J24" i="81"/>
  <c r="M24" i="81" s="1"/>
  <c r="J7" i="81"/>
  <c r="J65" i="81"/>
  <c r="J60" i="81"/>
  <c r="J79" i="81"/>
  <c r="L79" i="81" s="1"/>
  <c r="J28" i="81"/>
  <c r="M28" i="81" s="1"/>
  <c r="J10" i="81"/>
  <c r="J88" i="81"/>
  <c r="L88" i="81" s="1"/>
  <c r="J55" i="81"/>
  <c r="L55" i="81" s="1"/>
  <c r="J50" i="81"/>
  <c r="J41" i="81"/>
  <c r="L41" i="81" s="1"/>
  <c r="J36" i="81"/>
  <c r="L36" i="81" s="1"/>
  <c r="J15" i="81"/>
  <c r="M15" i="81" s="1"/>
  <c r="J19" i="81"/>
  <c r="J87" i="81"/>
  <c r="M87" i="81" s="1"/>
  <c r="J68" i="81"/>
  <c r="L68" i="81" s="1"/>
  <c r="J64" i="81"/>
  <c r="M64" i="81" s="1"/>
  <c r="J59" i="81"/>
  <c r="M59" i="81" s="1"/>
  <c r="J18" i="81"/>
  <c r="L18" i="81" s="1"/>
  <c r="J14" i="81"/>
  <c r="L14" i="81" s="1"/>
  <c r="J9" i="81"/>
  <c r="M9" i="81" s="1"/>
  <c r="J63" i="81"/>
  <c r="J58" i="81"/>
  <c r="L58" i="81" s="1"/>
  <c r="J40" i="81"/>
  <c r="M40" i="81" s="1"/>
  <c r="J31" i="81"/>
  <c r="M31" i="81" s="1"/>
  <c r="J13" i="81"/>
  <c r="J26" i="81"/>
  <c r="L26" i="81" s="1"/>
  <c r="J90" i="81"/>
  <c r="M90" i="81" s="1"/>
  <c r="J85" i="81"/>
  <c r="L85" i="81" s="1"/>
  <c r="J67" i="81"/>
  <c r="M67" i="81" s="1"/>
  <c r="J62" i="81"/>
  <c r="L62" i="81" s="1"/>
  <c r="J52" i="81"/>
  <c r="L52" i="81" s="1"/>
  <c r="J43" i="81"/>
  <c r="M43" i="81" s="1"/>
  <c r="J38" i="81"/>
  <c r="L38" i="81" s="1"/>
  <c r="J16" i="81"/>
  <c r="M16" i="81" s="1"/>
  <c r="J3" i="81"/>
  <c r="L3" i="81" s="1"/>
  <c r="L66" i="81"/>
  <c r="M66" i="81"/>
  <c r="L84" i="81"/>
  <c r="M84" i="81"/>
  <c r="L75" i="81"/>
  <c r="M75" i="81"/>
  <c r="L42" i="81"/>
  <c r="M42" i="81"/>
  <c r="L37" i="81"/>
  <c r="L33" i="81"/>
  <c r="N33" i="81" s="1"/>
  <c r="M33" i="81"/>
  <c r="L24" i="81"/>
  <c r="L7" i="81"/>
  <c r="M7" i="81"/>
  <c r="L47" i="81"/>
  <c r="M47" i="81"/>
  <c r="N47" i="81" s="1"/>
  <c r="L65" i="81"/>
  <c r="M65" i="81"/>
  <c r="L60" i="81"/>
  <c r="M60" i="81"/>
  <c r="L51" i="81"/>
  <c r="M51" i="81"/>
  <c r="L46" i="81"/>
  <c r="M46" i="81"/>
  <c r="L6" i="81"/>
  <c r="M6" i="81"/>
  <c r="L80" i="81"/>
  <c r="M80" i="81"/>
  <c r="N80" i="81" s="1"/>
  <c r="M76" i="81"/>
  <c r="L76" i="81"/>
  <c r="L61" i="81"/>
  <c r="L92" i="81"/>
  <c r="M92" i="81"/>
  <c r="L74" i="81"/>
  <c r="M74" i="81"/>
  <c r="L28" i="81"/>
  <c r="L10" i="81"/>
  <c r="M10" i="81"/>
  <c r="L78" i="81"/>
  <c r="M78" i="81"/>
  <c r="L32" i="81"/>
  <c r="M32" i="81"/>
  <c r="M23" i="81"/>
  <c r="M83" i="81"/>
  <c r="L83" i="81"/>
  <c r="L49" i="81"/>
  <c r="M49" i="81"/>
  <c r="L45" i="81"/>
  <c r="M45" i="81"/>
  <c r="L19" i="81"/>
  <c r="M19" i="81"/>
  <c r="L5" i="81"/>
  <c r="M5" i="81"/>
  <c r="L73" i="81"/>
  <c r="M73" i="81"/>
  <c r="L50" i="81"/>
  <c r="M50" i="81"/>
  <c r="L15" i="81"/>
  <c r="L87" i="81"/>
  <c r="M68" i="81"/>
  <c r="L86" i="81"/>
  <c r="M86" i="81"/>
  <c r="L82" i="81"/>
  <c r="M82" i="81"/>
  <c r="L77" i="81"/>
  <c r="M77" i="81"/>
  <c r="L72" i="81"/>
  <c r="M72" i="81"/>
  <c r="L35" i="81"/>
  <c r="M35" i="81"/>
  <c r="L27" i="81"/>
  <c r="M27" i="81"/>
  <c r="L22" i="81"/>
  <c r="M22" i="81"/>
  <c r="L81" i="81"/>
  <c r="M81" i="81"/>
  <c r="L63" i="81"/>
  <c r="M63" i="81"/>
  <c r="L53" i="81"/>
  <c r="N53" i="81" s="1"/>
  <c r="M53" i="81"/>
  <c r="L48" i="81"/>
  <c r="M48" i="81"/>
  <c r="L44" i="81"/>
  <c r="M44" i="81"/>
  <c r="L31" i="81"/>
  <c r="L13" i="81"/>
  <c r="M13" i="81"/>
  <c r="M4" i="81"/>
  <c r="L4" i="81"/>
  <c r="L57" i="81"/>
  <c r="M57" i="81"/>
  <c r="L30" i="81"/>
  <c r="M30" i="81"/>
  <c r="L17" i="81"/>
  <c r="M17" i="81"/>
  <c r="L12" i="81"/>
  <c r="M12" i="81"/>
  <c r="L8" i="81"/>
  <c r="M8" i="81"/>
  <c r="L90" i="81"/>
  <c r="L39" i="81"/>
  <c r="L21" i="81"/>
  <c r="M21" i="81"/>
  <c r="L70" i="81"/>
  <c r="M70" i="81"/>
  <c r="L56" i="81"/>
  <c r="M52" i="81"/>
  <c r="L29" i="81"/>
  <c r="M29" i="81"/>
  <c r="N29" i="81" s="1"/>
  <c r="L11" i="81"/>
  <c r="M11" i="81"/>
  <c r="M3" i="81"/>
  <c r="J2" i="81"/>
  <c r="L2" i="81" s="1"/>
  <c r="J339" i="66"/>
  <c r="L339" i="66" s="1"/>
  <c r="J116" i="66"/>
  <c r="M116" i="66" s="1"/>
  <c r="J211" i="66"/>
  <c r="L211" i="66" s="1"/>
  <c r="J384" i="66"/>
  <c r="M384" i="66" s="1"/>
  <c r="J123" i="66"/>
  <c r="M123" i="66" s="1"/>
  <c r="J246" i="66"/>
  <c r="L246" i="66" s="1"/>
  <c r="J210" i="66"/>
  <c r="L210" i="66" s="1"/>
  <c r="J202" i="66"/>
  <c r="L202" i="66" s="1"/>
  <c r="J35" i="71"/>
  <c r="L35" i="71" s="1"/>
  <c r="J18" i="66"/>
  <c r="L18" i="66" s="1"/>
  <c r="J21" i="66"/>
  <c r="L21" i="66" s="1"/>
  <c r="J24" i="66"/>
  <c r="J28" i="66"/>
  <c r="M28" i="66" s="1"/>
  <c r="J30" i="66"/>
  <c r="L30" i="66" s="1"/>
  <c r="J34" i="66"/>
  <c r="L34" i="66" s="1"/>
  <c r="J47" i="66"/>
  <c r="M47" i="66" s="1"/>
  <c r="J60" i="66"/>
  <c r="L60" i="66" s="1"/>
  <c r="J78" i="66"/>
  <c r="L78" i="66" s="1"/>
  <c r="J83" i="66"/>
  <c r="L83" i="66" s="1"/>
  <c r="J105" i="66"/>
  <c r="L105" i="66" s="1"/>
  <c r="J108" i="66"/>
  <c r="M108" i="66" s="1"/>
  <c r="J121" i="66"/>
  <c r="L121" i="66" s="1"/>
  <c r="J242" i="66"/>
  <c r="L242" i="66" s="1"/>
  <c r="J247" i="66"/>
  <c r="L247" i="66" s="1"/>
  <c r="J279" i="66"/>
  <c r="L279" i="66" s="1"/>
  <c r="J329" i="66"/>
  <c r="L329" i="66" s="1"/>
  <c r="J342" i="66"/>
  <c r="L342" i="66" s="1"/>
  <c r="J358" i="66"/>
  <c r="M358" i="66" s="1"/>
  <c r="J282" i="66"/>
  <c r="L282" i="66" s="1"/>
  <c r="J88" i="66"/>
  <c r="M88" i="66" s="1"/>
  <c r="J234" i="66"/>
  <c r="M234" i="66" s="1"/>
  <c r="J106" i="66"/>
  <c r="L106" i="66" s="1"/>
  <c r="J284" i="66"/>
  <c r="L284" i="66" s="1"/>
  <c r="J255" i="66"/>
  <c r="L255" i="66" s="1"/>
  <c r="J180" i="66"/>
  <c r="L180" i="66" s="1"/>
  <c r="J168" i="66"/>
  <c r="J307" i="66"/>
  <c r="L307" i="66" s="1"/>
  <c r="J177" i="66"/>
  <c r="J345" i="66"/>
  <c r="L345" i="66" s="1"/>
  <c r="J322" i="66"/>
  <c r="L322" i="66" s="1"/>
  <c r="J223" i="66"/>
  <c r="M223" i="66" s="1"/>
  <c r="J330" i="66"/>
  <c r="M330" i="66" s="1"/>
  <c r="J288" i="66"/>
  <c r="M288" i="66" s="1"/>
  <c r="J265" i="66"/>
  <c r="M265" i="66" s="1"/>
  <c r="L9" i="80"/>
  <c r="N9" i="80" s="1"/>
  <c r="J5" i="80"/>
  <c r="K5" i="80"/>
  <c r="K10" i="80"/>
  <c r="J10" i="80"/>
  <c r="L10" i="80"/>
  <c r="M13" i="80"/>
  <c r="M12" i="80"/>
  <c r="K7" i="80"/>
  <c r="J7" i="80"/>
  <c r="L15" i="80"/>
  <c r="N15" i="80" s="1"/>
  <c r="M15" i="80"/>
  <c r="J8" i="80"/>
  <c r="L8" i="80" s="1"/>
  <c r="K8" i="80"/>
  <c r="J3" i="80"/>
  <c r="K3" i="80"/>
  <c r="L3" i="80" s="1"/>
  <c r="J4" i="80"/>
  <c r="K12" i="80"/>
  <c r="L12" i="80" s="1"/>
  <c r="N12" i="80" s="1"/>
  <c r="L4" i="80"/>
  <c r="N11" i="80"/>
  <c r="K13" i="80"/>
  <c r="L13" i="80" s="1"/>
  <c r="N13" i="80" s="1"/>
  <c r="L6" i="80"/>
  <c r="N6" i="80" s="1"/>
  <c r="K2" i="80"/>
  <c r="J2" i="80"/>
  <c r="L2" i="80" s="1"/>
  <c r="J79" i="66"/>
  <c r="L79" i="66" s="1"/>
  <c r="J14" i="71"/>
  <c r="L14" i="71" s="1"/>
  <c r="J243" i="66"/>
  <c r="M243" i="66" s="1"/>
  <c r="J11" i="71"/>
  <c r="J296" i="66"/>
  <c r="L296" i="66" s="1"/>
  <c r="J290" i="66"/>
  <c r="L290" i="66" s="1"/>
  <c r="J285" i="66"/>
  <c r="L285" i="66" s="1"/>
  <c r="J257" i="66"/>
  <c r="L257" i="66" s="1"/>
  <c r="J166" i="66"/>
  <c r="L166" i="66" s="1"/>
  <c r="J305" i="66"/>
  <c r="L305" i="66" s="1"/>
  <c r="J293" i="66"/>
  <c r="L293" i="66" s="1"/>
  <c r="J238" i="66"/>
  <c r="L238" i="66" s="1"/>
  <c r="J197" i="66"/>
  <c r="L197" i="66" s="1"/>
  <c r="J230" i="66"/>
  <c r="L230" i="66" s="1"/>
  <c r="J161" i="66"/>
  <c r="L161" i="66" s="1"/>
  <c r="J132" i="66"/>
  <c r="M132" i="66" s="1"/>
  <c r="J375" i="66"/>
  <c r="L375" i="66" s="1"/>
  <c r="J250" i="66"/>
  <c r="L250" i="66" s="1"/>
  <c r="J267" i="66"/>
  <c r="L267" i="66" s="1"/>
  <c r="J357" i="66"/>
  <c r="L357" i="66" s="1"/>
  <c r="J135" i="66"/>
  <c r="M135" i="66" s="1"/>
  <c r="J385" i="66"/>
  <c r="M385" i="66" s="1"/>
  <c r="J317" i="66"/>
  <c r="L317" i="66" s="1"/>
  <c r="J146" i="66"/>
  <c r="L146" i="66" s="1"/>
  <c r="J268" i="66"/>
  <c r="L268" i="66" s="1"/>
  <c r="J162" i="66"/>
  <c r="L162" i="66" s="1"/>
  <c r="J396" i="66"/>
  <c r="M396" i="66" s="1"/>
  <c r="J138" i="66"/>
  <c r="L138" i="66" s="1"/>
  <c r="J308" i="66"/>
  <c r="L308" i="66" s="1"/>
  <c r="J154" i="66"/>
  <c r="L154" i="66" s="1"/>
  <c r="J393" i="66"/>
  <c r="L393" i="66" s="1"/>
  <c r="J325" i="66"/>
  <c r="M325" i="66" s="1"/>
  <c r="J209" i="66"/>
  <c r="L209" i="66" s="1"/>
  <c r="J198" i="66"/>
  <c r="L198" i="66" s="1"/>
  <c r="J19" i="71"/>
  <c r="L19" i="71" s="1"/>
  <c r="J273" i="66"/>
  <c r="M273" i="66" s="1"/>
  <c r="J96" i="66"/>
  <c r="M96" i="66" s="1"/>
  <c r="J10" i="71"/>
  <c r="L10" i="71" s="1"/>
  <c r="J32" i="66"/>
  <c r="J26" i="66"/>
  <c r="M26" i="66" s="1"/>
  <c r="J31" i="66"/>
  <c r="L31" i="66" s="1"/>
  <c r="J164" i="66"/>
  <c r="M164" i="66" s="1"/>
  <c r="J153" i="66"/>
  <c r="L153" i="66" s="1"/>
  <c r="J361" i="66"/>
  <c r="M361" i="66" s="1"/>
  <c r="J356" i="66"/>
  <c r="L356" i="66" s="1"/>
  <c r="J252" i="66"/>
  <c r="J74" i="66"/>
  <c r="L74" i="66" s="1"/>
  <c r="J69" i="66"/>
  <c r="L69" i="66" s="1"/>
  <c r="J318" i="66"/>
  <c r="M318" i="66" s="1"/>
  <c r="J312" i="66"/>
  <c r="L312" i="66" s="1"/>
  <c r="J174" i="66"/>
  <c r="J115" i="66"/>
  <c r="L115" i="66" s="1"/>
  <c r="J387" i="66"/>
  <c r="M387" i="66" s="1"/>
  <c r="J280" i="66"/>
  <c r="L280" i="66" s="1"/>
  <c r="J216" i="66"/>
  <c r="L216" i="66" s="1"/>
  <c r="J178" i="66"/>
  <c r="L178" i="66" s="1"/>
  <c r="J124" i="66"/>
  <c r="M124" i="66" s="1"/>
  <c r="J326" i="66"/>
  <c r="L326" i="66" s="1"/>
  <c r="J189" i="66"/>
  <c r="L189" i="66" s="1"/>
  <c r="J294" i="66"/>
  <c r="L294" i="66" s="1"/>
  <c r="J226" i="66"/>
  <c r="L226" i="66" s="1"/>
  <c r="J129" i="66"/>
  <c r="L129" i="66" s="1"/>
  <c r="J336" i="66"/>
  <c r="L336" i="66" s="1"/>
  <c r="J194" i="66"/>
  <c r="L194" i="66" s="1"/>
  <c r="J139" i="66"/>
  <c r="L139" i="66" s="1"/>
  <c r="J304" i="66"/>
  <c r="L304" i="66" s="1"/>
  <c r="J225" i="66"/>
  <c r="M225" i="66" s="1"/>
  <c r="J149" i="66"/>
  <c r="M149" i="66" s="1"/>
  <c r="J19" i="66"/>
  <c r="L19" i="66" s="1"/>
  <c r="J253" i="66"/>
  <c r="L253" i="66" s="1"/>
  <c r="J297" i="66"/>
  <c r="M297" i="66" s="1"/>
  <c r="J287" i="66"/>
  <c r="L287" i="66" s="1"/>
  <c r="J23" i="66"/>
  <c r="M23" i="66" s="1"/>
  <c r="J57" i="66"/>
  <c r="L57" i="66" s="1"/>
  <c r="J51" i="66"/>
  <c r="L51" i="66" s="1"/>
  <c r="J399" i="66"/>
  <c r="L399" i="66" s="1"/>
  <c r="J388" i="66"/>
  <c r="M388" i="66" s="1"/>
  <c r="J360" i="66"/>
  <c r="L360" i="66" s="1"/>
  <c r="J281" i="66"/>
  <c r="L281" i="66" s="1"/>
  <c r="J271" i="66"/>
  <c r="M271" i="66" s="1"/>
  <c r="J262" i="66"/>
  <c r="M262" i="66" s="1"/>
  <c r="J68" i="66"/>
  <c r="L68" i="66" s="1"/>
  <c r="J33" i="66"/>
  <c r="L33" i="66" s="1"/>
  <c r="J156" i="66"/>
  <c r="M156" i="66" s="1"/>
  <c r="J81" i="66"/>
  <c r="L81" i="66" s="1"/>
  <c r="J54" i="66"/>
  <c r="L54" i="66" s="1"/>
  <c r="J344" i="66"/>
  <c r="M344" i="66" s="1"/>
  <c r="J354" i="66"/>
  <c r="M354" i="66" s="1"/>
  <c r="J348" i="66"/>
  <c r="M348" i="66" s="1"/>
  <c r="J338" i="66"/>
  <c r="L338" i="66" s="1"/>
  <c r="J334" i="66"/>
  <c r="L334" i="66" s="1"/>
  <c r="J228" i="66"/>
  <c r="M228" i="66" s="1"/>
  <c r="J218" i="66"/>
  <c r="M218" i="66" s="1"/>
  <c r="J171" i="66"/>
  <c r="L171" i="66" s="1"/>
  <c r="J141" i="66"/>
  <c r="L141" i="66" s="1"/>
  <c r="J136" i="66"/>
  <c r="M136" i="66" s="1"/>
  <c r="J127" i="66"/>
  <c r="L127" i="66" s="1"/>
  <c r="J86" i="66"/>
  <c r="L86" i="66" s="1"/>
  <c r="J315" i="66"/>
  <c r="L315" i="66" s="1"/>
  <c r="J274" i="66"/>
  <c r="L274" i="66" s="1"/>
  <c r="J176" i="66"/>
  <c r="L176" i="66" s="1"/>
  <c r="J319" i="66"/>
  <c r="M319" i="66" s="1"/>
  <c r="J259" i="66"/>
  <c r="L259" i="66" s="1"/>
  <c r="J227" i="66"/>
  <c r="L227" i="66" s="1"/>
  <c r="J186" i="66"/>
  <c r="L186" i="66" s="1"/>
  <c r="J170" i="66"/>
  <c r="M170" i="66" s="1"/>
  <c r="J165" i="66"/>
  <c r="L165" i="66" s="1"/>
  <c r="J85" i="66"/>
  <c r="L85" i="66" s="1"/>
  <c r="J400" i="66"/>
  <c r="L400" i="66" s="1"/>
  <c r="J191" i="66"/>
  <c r="L191" i="66" s="1"/>
  <c r="J145" i="66"/>
  <c r="L145" i="66" s="1"/>
  <c r="J373" i="66"/>
  <c r="L373" i="66" s="1"/>
  <c r="J346" i="66"/>
  <c r="L346" i="66" s="1"/>
  <c r="J341" i="66"/>
  <c r="L341" i="66" s="1"/>
  <c r="J332" i="66"/>
  <c r="L332" i="66" s="1"/>
  <c r="J299" i="66"/>
  <c r="L299" i="66" s="1"/>
  <c r="J264" i="66"/>
  <c r="M264" i="66" s="1"/>
  <c r="J258" i="66"/>
  <c r="L258" i="66" s="1"/>
  <c r="J245" i="66"/>
  <c r="L245" i="66" s="1"/>
  <c r="J241" i="66"/>
  <c r="L241" i="66" s="1"/>
  <c r="J206" i="66"/>
  <c r="M206" i="66" s="1"/>
  <c r="J201" i="66"/>
  <c r="L201" i="66" s="1"/>
  <c r="J185" i="66"/>
  <c r="L185" i="66" s="1"/>
  <c r="J131" i="66"/>
  <c r="L131" i="66" s="1"/>
  <c r="J110" i="66"/>
  <c r="L110" i="66" s="1"/>
  <c r="J49" i="71"/>
  <c r="M49" i="71" s="1"/>
  <c r="J349" i="66"/>
  <c r="M349" i="66" s="1"/>
  <c r="J320" i="66"/>
  <c r="L320" i="66" s="1"/>
  <c r="J302" i="66"/>
  <c r="L302" i="66" s="1"/>
  <c r="J152" i="66"/>
  <c r="M152" i="66" s="1"/>
  <c r="J137" i="66"/>
  <c r="L137" i="66" s="1"/>
  <c r="J372" i="66"/>
  <c r="M372" i="66" s="1"/>
  <c r="J277" i="66"/>
  <c r="M277" i="66" s="1"/>
  <c r="J263" i="66"/>
  <c r="L263" i="66" s="1"/>
  <c r="J249" i="66"/>
  <c r="L249" i="66" s="1"/>
  <c r="J240" i="66"/>
  <c r="L240" i="66" s="1"/>
  <c r="J195" i="66"/>
  <c r="L195" i="66" s="1"/>
  <c r="J130" i="66"/>
  <c r="M130" i="66" s="1"/>
  <c r="J120" i="66"/>
  <c r="L120" i="66" s="1"/>
  <c r="J63" i="66"/>
  <c r="L63" i="66" s="1"/>
  <c r="J158" i="66"/>
  <c r="M158" i="66" s="1"/>
  <c r="J134" i="66"/>
  <c r="L134" i="66" s="1"/>
  <c r="J99" i="66"/>
  <c r="M99" i="66" s="1"/>
  <c r="J118" i="66"/>
  <c r="L118" i="66" s="1"/>
  <c r="J67" i="66"/>
  <c r="L67" i="66" s="1"/>
  <c r="J276" i="66"/>
  <c r="M276" i="66" s="1"/>
  <c r="J27" i="66"/>
  <c r="L27" i="66" s="1"/>
  <c r="J113" i="66"/>
  <c r="L113" i="66" s="1"/>
  <c r="J98" i="66"/>
  <c r="L98" i="66" s="1"/>
  <c r="J66" i="66"/>
  <c r="L66" i="66" s="1"/>
  <c r="J55" i="66"/>
  <c r="L55" i="66" s="1"/>
  <c r="J103" i="66"/>
  <c r="L103" i="66" s="1"/>
  <c r="J314" i="66"/>
  <c r="L314" i="66" s="1"/>
  <c r="J266" i="66"/>
  <c r="L266" i="66" s="1"/>
  <c r="J351" i="66"/>
  <c r="L351" i="66" s="1"/>
  <c r="J283" i="66"/>
  <c r="L283" i="66" s="1"/>
  <c r="J270" i="66"/>
  <c r="L270" i="66" s="1"/>
  <c r="J140" i="66"/>
  <c r="L140" i="66" s="1"/>
  <c r="J93" i="66"/>
  <c r="L93" i="66" s="1"/>
  <c r="J291" i="66"/>
  <c r="J126" i="66"/>
  <c r="L126" i="66" s="1"/>
  <c r="J214" i="66"/>
  <c r="L214" i="66" s="1"/>
  <c r="J343" i="66"/>
  <c r="L343" i="66" s="1"/>
  <c r="J148" i="66"/>
  <c r="M148" i="66" s="1"/>
  <c r="J143" i="66"/>
  <c r="L143" i="66" s="1"/>
  <c r="J254" i="66"/>
  <c r="L254" i="66" s="1"/>
  <c r="J213" i="66"/>
  <c r="L213" i="66" s="1"/>
  <c r="J75" i="66"/>
  <c r="M75" i="66" s="1"/>
  <c r="J70" i="66"/>
  <c r="M70" i="66" s="1"/>
  <c r="J133" i="66"/>
  <c r="M133" i="66" s="1"/>
  <c r="J309" i="66"/>
  <c r="M309" i="66" s="1"/>
  <c r="J327" i="66"/>
  <c r="L327" i="66" s="1"/>
  <c r="J122" i="66"/>
  <c r="M122" i="66" s="1"/>
  <c r="J376" i="66"/>
  <c r="L376" i="66" s="1"/>
  <c r="J269" i="66"/>
  <c r="L269" i="66" s="1"/>
  <c r="J381" i="66"/>
  <c r="L381" i="66" s="1"/>
  <c r="J306" i="66"/>
  <c r="M306" i="66" s="1"/>
  <c r="L288" i="66"/>
  <c r="J337" i="66"/>
  <c r="M337" i="66" s="1"/>
  <c r="J333" i="66"/>
  <c r="L333" i="66" s="1"/>
  <c r="J310" i="66"/>
  <c r="L310" i="66" s="1"/>
  <c r="J231" i="66"/>
  <c r="M231" i="66" s="1"/>
  <c r="J94" i="66"/>
  <c r="J45" i="66"/>
  <c r="L45" i="66" s="1"/>
  <c r="J56" i="66"/>
  <c r="L56" i="66" s="1"/>
  <c r="J91" i="66"/>
  <c r="L91" i="66" s="1"/>
  <c r="J26" i="71"/>
  <c r="L26" i="71" s="1"/>
  <c r="J261" i="66"/>
  <c r="M261" i="66" s="1"/>
  <c r="J193" i="66"/>
  <c r="L193" i="66" s="1"/>
  <c r="J128" i="66"/>
  <c r="M128" i="66" s="1"/>
  <c r="J379" i="66"/>
  <c r="L379" i="66" s="1"/>
  <c r="J374" i="66"/>
  <c r="M374" i="66" s="1"/>
  <c r="J300" i="66"/>
  <c r="M300" i="66" s="1"/>
  <c r="J289" i="66"/>
  <c r="J275" i="66"/>
  <c r="L275" i="66" s="1"/>
  <c r="J159" i="66"/>
  <c r="L159" i="66" s="1"/>
  <c r="J383" i="66"/>
  <c r="M383" i="66" s="1"/>
  <c r="J363" i="66"/>
  <c r="L363" i="66" s="1"/>
  <c r="J221" i="66"/>
  <c r="L221" i="66" s="1"/>
  <c r="J167" i="66"/>
  <c r="M167" i="66" s="1"/>
  <c r="J163" i="66"/>
  <c r="L163" i="66" s="1"/>
  <c r="J104" i="66"/>
  <c r="L104" i="66" s="1"/>
  <c r="J87" i="66"/>
  <c r="L87" i="66" s="1"/>
  <c r="J402" i="66"/>
  <c r="M402" i="66" s="1"/>
  <c r="J397" i="66"/>
  <c r="L397" i="66" s="1"/>
  <c r="J292" i="66"/>
  <c r="L292" i="66" s="1"/>
  <c r="J256" i="66"/>
  <c r="L256" i="66" s="1"/>
  <c r="J233" i="66"/>
  <c r="L233" i="66" s="1"/>
  <c r="J76" i="66"/>
  <c r="M76" i="66" s="1"/>
  <c r="J71" i="66"/>
  <c r="L71" i="66" s="1"/>
  <c r="J35" i="66"/>
  <c r="L35" i="66" s="1"/>
  <c r="J2" i="71"/>
  <c r="M2" i="71" s="1"/>
  <c r="J66" i="71"/>
  <c r="L66" i="71" s="1"/>
  <c r="J313" i="66"/>
  <c r="L313" i="66" s="1"/>
  <c r="J301" i="66"/>
  <c r="L301" i="66" s="1"/>
  <c r="J278" i="66"/>
  <c r="L278" i="66" s="1"/>
  <c r="J239" i="66"/>
  <c r="L239" i="66" s="1"/>
  <c r="J160" i="66"/>
  <c r="M160" i="66" s="1"/>
  <c r="J155" i="66"/>
  <c r="L155" i="66" s="1"/>
  <c r="J151" i="66"/>
  <c r="L151" i="66" s="1"/>
  <c r="J117" i="66"/>
  <c r="L117" i="66" s="1"/>
  <c r="J112" i="66"/>
  <c r="M112" i="66" s="1"/>
  <c r="J321" i="66"/>
  <c r="M321" i="66" s="1"/>
  <c r="J324" i="66"/>
  <c r="L324" i="66" s="1"/>
  <c r="J311" i="66"/>
  <c r="L311" i="66" s="1"/>
  <c r="J295" i="66"/>
  <c r="M295" i="66" s="1"/>
  <c r="J237" i="66"/>
  <c r="L237" i="66" s="1"/>
  <c r="J196" i="66"/>
  <c r="M196" i="66" s="1"/>
  <c r="J331" i="66"/>
  <c r="L331" i="66" s="1"/>
  <c r="J298" i="66"/>
  <c r="M298" i="66" s="1"/>
  <c r="J248" i="66"/>
  <c r="M248" i="66" s="1"/>
  <c r="J244" i="66"/>
  <c r="M244" i="66" s="1"/>
  <c r="J224" i="66"/>
  <c r="J205" i="66"/>
  <c r="L205" i="66" s="1"/>
  <c r="J190" i="66"/>
  <c r="L190" i="66" s="1"/>
  <c r="J175" i="66"/>
  <c r="L175" i="66" s="1"/>
  <c r="J157" i="66"/>
  <c r="L157" i="66" s="1"/>
  <c r="J119" i="66"/>
  <c r="M119" i="66" s="1"/>
  <c r="J80" i="66"/>
  <c r="M80" i="66" s="1"/>
  <c r="J29" i="66"/>
  <c r="L29" i="66" s="1"/>
  <c r="J12" i="66"/>
  <c r="M12" i="66" s="1"/>
  <c r="J59" i="71"/>
  <c r="L59" i="71" s="1"/>
  <c r="J97" i="66"/>
  <c r="L97" i="66" s="1"/>
  <c r="J89" i="66"/>
  <c r="M89" i="66" s="1"/>
  <c r="J84" i="66"/>
  <c r="M84" i="66" s="1"/>
  <c r="J39" i="66"/>
  <c r="L39" i="66" s="1"/>
  <c r="J22" i="66"/>
  <c r="L22" i="66" s="1"/>
  <c r="J17" i="66"/>
  <c r="L17" i="66" s="1"/>
  <c r="J11" i="66"/>
  <c r="L11" i="66" s="1"/>
  <c r="J64" i="71"/>
  <c r="L64" i="71" s="1"/>
  <c r="J34" i="71"/>
  <c r="L34" i="71" s="1"/>
  <c r="J64" i="66"/>
  <c r="M64" i="66" s="1"/>
  <c r="J38" i="66"/>
  <c r="L38" i="66" s="1"/>
  <c r="J69" i="71"/>
  <c r="L69" i="71" s="1"/>
  <c r="J63" i="71"/>
  <c r="M63" i="71" s="1"/>
  <c r="J27" i="71"/>
  <c r="L27" i="71" s="1"/>
  <c r="J82" i="66"/>
  <c r="M82" i="66" s="1"/>
  <c r="J77" i="66"/>
  <c r="L77" i="66" s="1"/>
  <c r="J72" i="66"/>
  <c r="L72" i="66" s="1"/>
  <c r="J53" i="66"/>
  <c r="L53" i="66" s="1"/>
  <c r="J25" i="66"/>
  <c r="L25" i="66" s="1"/>
  <c r="J20" i="66"/>
  <c r="L20" i="66" s="1"/>
  <c r="J68" i="71"/>
  <c r="L68" i="71" s="1"/>
  <c r="J111" i="66"/>
  <c r="L111" i="66" s="1"/>
  <c r="J100" i="66"/>
  <c r="M100" i="66" s="1"/>
  <c r="J48" i="66"/>
  <c r="L48" i="66" s="1"/>
  <c r="J378" i="66"/>
  <c r="M378" i="66" s="1"/>
  <c r="J368" i="66"/>
  <c r="M368" i="66" s="1"/>
  <c r="J217" i="66"/>
  <c r="L217" i="66" s="1"/>
  <c r="J208" i="66"/>
  <c r="L208" i="66" s="1"/>
  <c r="J203" i="66"/>
  <c r="L203" i="66" s="1"/>
  <c r="J199" i="66"/>
  <c r="L199" i="66" s="1"/>
  <c r="J401" i="66"/>
  <c r="L401" i="66" s="1"/>
  <c r="J382" i="66"/>
  <c r="M382" i="66" s="1"/>
  <c r="J350" i="66"/>
  <c r="M350" i="66" s="1"/>
  <c r="J260" i="66"/>
  <c r="L260" i="66" s="1"/>
  <c r="J212" i="66"/>
  <c r="M212" i="66" s="1"/>
  <c r="J377" i="66"/>
  <c r="L377" i="66" s="1"/>
  <c r="J362" i="66"/>
  <c r="M362" i="66" s="1"/>
  <c r="J236" i="66"/>
  <c r="L236" i="66" s="1"/>
  <c r="J220" i="66"/>
  <c r="M220" i="66" s="1"/>
  <c r="J391" i="66"/>
  <c r="M391" i="66" s="1"/>
  <c r="J386" i="66"/>
  <c r="L386" i="66" s="1"/>
  <c r="J101" i="66"/>
  <c r="L101" i="66" s="1"/>
  <c r="J395" i="66"/>
  <c r="L395" i="66" s="1"/>
  <c r="J390" i="66"/>
  <c r="M390" i="66" s="1"/>
  <c r="J366" i="66"/>
  <c r="L366" i="66" s="1"/>
  <c r="J353" i="66"/>
  <c r="L353" i="66" s="1"/>
  <c r="J272" i="66"/>
  <c r="L272" i="66" s="1"/>
  <c r="J235" i="66"/>
  <c r="J215" i="66"/>
  <c r="M215" i="66" s="1"/>
  <c r="J188" i="66"/>
  <c r="M188" i="66" s="1"/>
  <c r="J371" i="66"/>
  <c r="L371" i="66" s="1"/>
  <c r="J219" i="66"/>
  <c r="J173" i="66"/>
  <c r="L173" i="66" s="1"/>
  <c r="J169" i="66"/>
  <c r="L169" i="66" s="1"/>
  <c r="J394" i="66"/>
  <c r="M394" i="66" s="1"/>
  <c r="J389" i="66"/>
  <c r="L389" i="66" s="1"/>
  <c r="J365" i="66"/>
  <c r="L365" i="66" s="1"/>
  <c r="J62" i="66"/>
  <c r="M62" i="66" s="1"/>
  <c r="J370" i="66"/>
  <c r="M370" i="66" s="1"/>
  <c r="J182" i="66"/>
  <c r="L182" i="66" s="1"/>
  <c r="J172" i="66"/>
  <c r="L172" i="66" s="1"/>
  <c r="J364" i="66"/>
  <c r="M364" i="66" s="1"/>
  <c r="J347" i="66"/>
  <c r="L347" i="66" s="1"/>
  <c r="J340" i="66"/>
  <c r="L340" i="66" s="1"/>
  <c r="J286" i="66"/>
  <c r="L286" i="66" s="1"/>
  <c r="J144" i="66"/>
  <c r="M144" i="66" s="1"/>
  <c r="J369" i="66"/>
  <c r="L369" i="66" s="1"/>
  <c r="J359" i="66"/>
  <c r="L359" i="66" s="1"/>
  <c r="J251" i="66"/>
  <c r="L251" i="66" s="1"/>
  <c r="J229" i="66"/>
  <c r="L229" i="66" s="1"/>
  <c r="J204" i="66"/>
  <c r="L204" i="66" s="1"/>
  <c r="J200" i="66"/>
  <c r="M200" i="66" s="1"/>
  <c r="J181" i="66"/>
  <c r="M181" i="66" s="1"/>
  <c r="J147" i="66"/>
  <c r="L147" i="66" s="1"/>
  <c r="J125" i="66"/>
  <c r="J107" i="66"/>
  <c r="L107" i="66" s="1"/>
  <c r="J65" i="66"/>
  <c r="J46" i="66"/>
  <c r="L46" i="66" s="1"/>
  <c r="J142" i="66"/>
  <c r="M142" i="66" s="1"/>
  <c r="J114" i="66"/>
  <c r="L114" i="66" s="1"/>
  <c r="J73" i="66"/>
  <c r="M73" i="66" s="1"/>
  <c r="J303" i="66"/>
  <c r="L303" i="66" s="1"/>
  <c r="J232" i="66"/>
  <c r="J207" i="66"/>
  <c r="J184" i="66"/>
  <c r="M184" i="66" s="1"/>
  <c r="J179" i="66"/>
  <c r="L179" i="66" s="1"/>
  <c r="L123" i="66"/>
  <c r="N123" i="66" s="1"/>
  <c r="J90" i="66"/>
  <c r="L90" i="66" s="1"/>
  <c r="J59" i="66"/>
  <c r="L59" i="66" s="1"/>
  <c r="J43" i="66"/>
  <c r="L43" i="66" s="1"/>
  <c r="J37" i="66"/>
  <c r="M37" i="66" s="1"/>
  <c r="J54" i="71"/>
  <c r="L54" i="71" s="1"/>
  <c r="J192" i="66"/>
  <c r="M192" i="66" s="1"/>
  <c r="J183" i="66"/>
  <c r="L183" i="66" s="1"/>
  <c r="J403" i="66"/>
  <c r="M403" i="66" s="1"/>
  <c r="J398" i="66"/>
  <c r="M398" i="66" s="1"/>
  <c r="J352" i="66"/>
  <c r="L352" i="66" s="1"/>
  <c r="J335" i="66"/>
  <c r="L335" i="66" s="1"/>
  <c r="J323" i="66"/>
  <c r="L323" i="66" s="1"/>
  <c r="J187" i="66"/>
  <c r="L187" i="66" s="1"/>
  <c r="J52" i="66"/>
  <c r="M52" i="66" s="1"/>
  <c r="J42" i="66"/>
  <c r="L42" i="66" s="1"/>
  <c r="J36" i="66"/>
  <c r="L36" i="66" s="1"/>
  <c r="J16" i="66"/>
  <c r="M16" i="66" s="1"/>
  <c r="J47" i="71"/>
  <c r="L47" i="71" s="1"/>
  <c r="J23" i="71"/>
  <c r="L23" i="71" s="1"/>
  <c r="J41" i="66"/>
  <c r="L41" i="66" s="1"/>
  <c r="J61" i="66"/>
  <c r="L61" i="66" s="1"/>
  <c r="J58" i="66"/>
  <c r="M58" i="66" s="1"/>
  <c r="J15" i="66"/>
  <c r="L15" i="66" s="1"/>
  <c r="J58" i="71"/>
  <c r="L58" i="71" s="1"/>
  <c r="J52" i="71"/>
  <c r="M52" i="71" s="1"/>
  <c r="J46" i="71"/>
  <c r="L46" i="71" s="1"/>
  <c r="J40" i="66"/>
  <c r="M40" i="66" s="1"/>
  <c r="J40" i="71"/>
  <c r="M40" i="71" s="1"/>
  <c r="J28" i="71"/>
  <c r="M28" i="71" s="1"/>
  <c r="J109" i="66"/>
  <c r="L109" i="66" s="1"/>
  <c r="J102" i="66"/>
  <c r="L102" i="66" s="1"/>
  <c r="J95" i="66"/>
  <c r="L95" i="66" s="1"/>
  <c r="J92" i="66"/>
  <c r="L92" i="66" s="1"/>
  <c r="J50" i="66"/>
  <c r="M50" i="66" s="1"/>
  <c r="J14" i="66"/>
  <c r="L14" i="66" s="1"/>
  <c r="J57" i="71"/>
  <c r="L57" i="71" s="1"/>
  <c r="J51" i="71"/>
  <c r="L51" i="71" s="1"/>
  <c r="J45" i="71"/>
  <c r="L45" i="71" s="1"/>
  <c r="J39" i="71"/>
  <c r="L39" i="71" s="1"/>
  <c r="J49" i="66"/>
  <c r="M49" i="66" s="1"/>
  <c r="J13" i="66"/>
  <c r="L13" i="66" s="1"/>
  <c r="J56" i="71"/>
  <c r="L56" i="71" s="1"/>
  <c r="J61" i="71"/>
  <c r="L61" i="71" s="1"/>
  <c r="J43" i="71"/>
  <c r="L43" i="71" s="1"/>
  <c r="J38" i="71"/>
  <c r="L38" i="71" s="1"/>
  <c r="J70" i="71"/>
  <c r="L70" i="71" s="1"/>
  <c r="J55" i="71"/>
  <c r="M55" i="71" s="1"/>
  <c r="J8" i="71"/>
  <c r="L8" i="71" s="1"/>
  <c r="J22" i="71"/>
  <c r="L22" i="71" s="1"/>
  <c r="J16" i="71"/>
  <c r="M16" i="71" s="1"/>
  <c r="J33" i="71"/>
  <c r="L33" i="71" s="1"/>
  <c r="J21" i="71"/>
  <c r="L21" i="71" s="1"/>
  <c r="J37" i="71"/>
  <c r="M37" i="71" s="1"/>
  <c r="J20" i="71"/>
  <c r="L20" i="71" s="1"/>
  <c r="J15" i="71"/>
  <c r="L15" i="71" s="1"/>
  <c r="J31" i="71"/>
  <c r="L31" i="71" s="1"/>
  <c r="J25" i="71"/>
  <c r="L25" i="71" s="1"/>
  <c r="J7" i="71"/>
  <c r="L7" i="71" s="1"/>
  <c r="J42" i="71"/>
  <c r="L42" i="71" s="1"/>
  <c r="J67" i="71"/>
  <c r="L67" i="71" s="1"/>
  <c r="J50" i="71"/>
  <c r="L50" i="71" s="1"/>
  <c r="J41" i="71"/>
  <c r="L41" i="71" s="1"/>
  <c r="J32" i="71"/>
  <c r="L32" i="71" s="1"/>
  <c r="J6" i="71"/>
  <c r="L6" i="71" s="1"/>
  <c r="J36" i="71"/>
  <c r="L36" i="71" s="1"/>
  <c r="J9" i="71"/>
  <c r="L9" i="71" s="1"/>
  <c r="J18" i="71"/>
  <c r="L18" i="71" s="1"/>
  <c r="J62" i="71"/>
  <c r="L62" i="71" s="1"/>
  <c r="J53" i="71"/>
  <c r="M53" i="71" s="1"/>
  <c r="J48" i="71"/>
  <c r="M48" i="71" s="1"/>
  <c r="J44" i="71"/>
  <c r="L44" i="71" s="1"/>
  <c r="J30" i="71"/>
  <c r="L30" i="71" s="1"/>
  <c r="J17" i="71"/>
  <c r="L17" i="71" s="1"/>
  <c r="J13" i="71"/>
  <c r="L13" i="71" s="1"/>
  <c r="J4" i="71"/>
  <c r="M4" i="71" s="1"/>
  <c r="J29" i="71"/>
  <c r="L29" i="71" s="1"/>
  <c r="J12" i="71"/>
  <c r="L12" i="71" s="1"/>
  <c r="J65" i="71"/>
  <c r="L65" i="71" s="1"/>
  <c r="J60" i="71"/>
  <c r="L60" i="71" s="1"/>
  <c r="J24" i="71"/>
  <c r="M24" i="71" s="1"/>
  <c r="J5" i="71"/>
  <c r="L5" i="71" s="1"/>
  <c r="J3" i="71"/>
  <c r="L3" i="71" s="1"/>
  <c r="L11" i="71"/>
  <c r="M11" i="71"/>
  <c r="J44" i="66"/>
  <c r="L44" i="66" s="1"/>
  <c r="L248" i="66"/>
  <c r="J355" i="66"/>
  <c r="L355" i="66" s="1"/>
  <c r="J328" i="66"/>
  <c r="L328" i="66" s="1"/>
  <c r="J380" i="66"/>
  <c r="L380" i="66" s="1"/>
  <c r="J222" i="66"/>
  <c r="L222" i="66" s="1"/>
  <c r="J367" i="66"/>
  <c r="L367" i="66" s="1"/>
  <c r="J392" i="66"/>
  <c r="L392" i="66" s="1"/>
  <c r="J316" i="66"/>
  <c r="L316" i="66" s="1"/>
  <c r="M339" i="66"/>
  <c r="N339" i="66" s="1"/>
  <c r="M375" i="66"/>
  <c r="M247" i="66"/>
  <c r="N247" i="66" s="1"/>
  <c r="M290" i="66"/>
  <c r="N290" i="66" s="1"/>
  <c r="M329" i="66"/>
  <c r="N329" i="66" s="1"/>
  <c r="L218" i="66"/>
  <c r="M211" i="66"/>
  <c r="N211" i="66" s="1"/>
  <c r="L177" i="66"/>
  <c r="M177" i="66"/>
  <c r="L174" i="66"/>
  <c r="M174" i="66"/>
  <c r="L170" i="66"/>
  <c r="L168" i="66"/>
  <c r="M168" i="66"/>
  <c r="L133" i="66"/>
  <c r="L116" i="66"/>
  <c r="L32" i="66"/>
  <c r="M32" i="66"/>
  <c r="L24" i="66"/>
  <c r="M24" i="66"/>
  <c r="M138" i="66"/>
  <c r="N138" i="66" s="1"/>
  <c r="M30" i="66"/>
  <c r="N30" i="66" s="1"/>
  <c r="E3" i="65"/>
  <c r="I3" i="65" s="1"/>
  <c r="F3" i="65"/>
  <c r="E4" i="65"/>
  <c r="I4" i="65" s="1"/>
  <c r="F4" i="65"/>
  <c r="E5" i="65"/>
  <c r="I5" i="65" s="1"/>
  <c r="F5" i="65"/>
  <c r="E6" i="65"/>
  <c r="I6" i="65" s="1"/>
  <c r="F6" i="65"/>
  <c r="I7" i="65"/>
  <c r="F7" i="65"/>
  <c r="E8" i="65"/>
  <c r="I8" i="65" s="1"/>
  <c r="F8" i="65"/>
  <c r="E9" i="65"/>
  <c r="I9" i="65" s="1"/>
  <c r="F9" i="65"/>
  <c r="E10" i="65"/>
  <c r="I10" i="65" s="1"/>
  <c r="F10" i="65"/>
  <c r="E11" i="65"/>
  <c r="I11" i="65" s="1"/>
  <c r="F11" i="65"/>
  <c r="E12" i="65"/>
  <c r="I12" i="65" s="1"/>
  <c r="F12" i="65"/>
  <c r="E13" i="65"/>
  <c r="I13" i="65" s="1"/>
  <c r="F13" i="65"/>
  <c r="E14" i="65"/>
  <c r="I14" i="65" s="1"/>
  <c r="F14" i="65"/>
  <c r="E15" i="65"/>
  <c r="I15" i="65" s="1"/>
  <c r="F15" i="65"/>
  <c r="E16" i="65"/>
  <c r="I16" i="65" s="1"/>
  <c r="F16" i="65"/>
  <c r="E17" i="65"/>
  <c r="I17" i="65" s="1"/>
  <c r="F17" i="65"/>
  <c r="E18" i="65"/>
  <c r="I18" i="65" s="1"/>
  <c r="F18" i="65"/>
  <c r="E19" i="65"/>
  <c r="I19" i="65" s="1"/>
  <c r="F19" i="65"/>
  <c r="E20" i="65"/>
  <c r="I20" i="65" s="1"/>
  <c r="F20" i="65"/>
  <c r="E21" i="65"/>
  <c r="I21" i="65" s="1"/>
  <c r="F21" i="65"/>
  <c r="E22" i="65"/>
  <c r="I22" i="65" s="1"/>
  <c r="F22" i="65"/>
  <c r="E23" i="65"/>
  <c r="I23" i="65" s="1"/>
  <c r="F23" i="65"/>
  <c r="E24" i="65"/>
  <c r="I24" i="65" s="1"/>
  <c r="F24" i="65"/>
  <c r="E25" i="65"/>
  <c r="I25" i="65" s="1"/>
  <c r="F25" i="65"/>
  <c r="E26" i="65"/>
  <c r="I26" i="65" s="1"/>
  <c r="F26" i="65"/>
  <c r="E27" i="65"/>
  <c r="I27" i="65" s="1"/>
  <c r="F27" i="65"/>
  <c r="E28" i="65"/>
  <c r="I28" i="65" s="1"/>
  <c r="F28" i="65"/>
  <c r="E29" i="65"/>
  <c r="I29" i="65" s="1"/>
  <c r="F29" i="65"/>
  <c r="E30" i="65"/>
  <c r="I30" i="65" s="1"/>
  <c r="F30" i="65"/>
  <c r="E31" i="65"/>
  <c r="I31" i="65" s="1"/>
  <c r="F31" i="65"/>
  <c r="E32" i="65"/>
  <c r="I32" i="65" s="1"/>
  <c r="F32" i="65"/>
  <c r="E33" i="65"/>
  <c r="I33" i="65" s="1"/>
  <c r="F33" i="65"/>
  <c r="E34" i="65"/>
  <c r="I34" i="65" s="1"/>
  <c r="F34" i="65"/>
  <c r="E35" i="65"/>
  <c r="I35" i="65" s="1"/>
  <c r="F35" i="65"/>
  <c r="E36" i="65"/>
  <c r="I36" i="65" s="1"/>
  <c r="F36" i="65"/>
  <c r="E37" i="65"/>
  <c r="I37" i="65" s="1"/>
  <c r="F37" i="65"/>
  <c r="E38" i="65"/>
  <c r="I38" i="65" s="1"/>
  <c r="F38" i="65"/>
  <c r="E39" i="65"/>
  <c r="I39" i="65" s="1"/>
  <c r="F39" i="65"/>
  <c r="E40" i="65"/>
  <c r="I40" i="65" s="1"/>
  <c r="F40" i="65"/>
  <c r="E41" i="65"/>
  <c r="I41" i="65" s="1"/>
  <c r="F41" i="65"/>
  <c r="E42" i="65"/>
  <c r="I42" i="65" s="1"/>
  <c r="F42" i="65"/>
  <c r="E43" i="65"/>
  <c r="I43" i="65" s="1"/>
  <c r="F43" i="65"/>
  <c r="E44" i="65"/>
  <c r="I44" i="65" s="1"/>
  <c r="F44" i="65"/>
  <c r="E45" i="65"/>
  <c r="I45" i="65" s="1"/>
  <c r="F45" i="65"/>
  <c r="E46" i="65"/>
  <c r="I46" i="65" s="1"/>
  <c r="F46" i="65"/>
  <c r="E47" i="65"/>
  <c r="I47" i="65" s="1"/>
  <c r="F47" i="65"/>
  <c r="E48" i="65"/>
  <c r="I48" i="65" s="1"/>
  <c r="F48" i="65"/>
  <c r="E49" i="65"/>
  <c r="I49" i="65" s="1"/>
  <c r="F49" i="65"/>
  <c r="E50" i="65"/>
  <c r="I50" i="65" s="1"/>
  <c r="F50" i="65"/>
  <c r="E51" i="65"/>
  <c r="I51" i="65" s="1"/>
  <c r="F51" i="65"/>
  <c r="E52" i="65"/>
  <c r="I52" i="65" s="1"/>
  <c r="F52" i="65"/>
  <c r="E53" i="65"/>
  <c r="I53" i="65" s="1"/>
  <c r="F53" i="65"/>
  <c r="E54" i="65"/>
  <c r="I54" i="65" s="1"/>
  <c r="F54" i="65"/>
  <c r="E55" i="65"/>
  <c r="I55" i="65" s="1"/>
  <c r="F55" i="65"/>
  <c r="E56" i="65"/>
  <c r="I56" i="65" s="1"/>
  <c r="F56" i="65"/>
  <c r="E57" i="65"/>
  <c r="I57" i="65" s="1"/>
  <c r="F57" i="65"/>
  <c r="E58" i="65"/>
  <c r="I58" i="65" s="1"/>
  <c r="F58" i="65"/>
  <c r="E59" i="65"/>
  <c r="I59" i="65" s="1"/>
  <c r="F59" i="65"/>
  <c r="E60" i="65"/>
  <c r="I60" i="65" s="1"/>
  <c r="F60" i="65"/>
  <c r="E61" i="65"/>
  <c r="I61" i="65" s="1"/>
  <c r="F61" i="65"/>
  <c r="E62" i="65"/>
  <c r="I62" i="65" s="1"/>
  <c r="F62" i="65"/>
  <c r="E63" i="65"/>
  <c r="I63" i="65" s="1"/>
  <c r="F63" i="65"/>
  <c r="E64" i="65"/>
  <c r="I64" i="65" s="1"/>
  <c r="F64" i="65"/>
  <c r="E65" i="65"/>
  <c r="I65" i="65" s="1"/>
  <c r="F65" i="65"/>
  <c r="E66" i="65"/>
  <c r="I66" i="65" s="1"/>
  <c r="F66" i="65"/>
  <c r="E67" i="65"/>
  <c r="I67" i="65" s="1"/>
  <c r="F67" i="65"/>
  <c r="E68" i="65"/>
  <c r="I68" i="65" s="1"/>
  <c r="F68" i="65"/>
  <c r="E69" i="65"/>
  <c r="I69" i="65" s="1"/>
  <c r="F69" i="65"/>
  <c r="F2" i="65"/>
  <c r="E2" i="65"/>
  <c r="I2" i="65" s="1"/>
  <c r="F20" i="47"/>
  <c r="E20" i="47"/>
  <c r="I20" i="47" s="1"/>
  <c r="F19" i="47"/>
  <c r="E19" i="47"/>
  <c r="I19" i="47" s="1"/>
  <c r="F18" i="47"/>
  <c r="E18" i="47"/>
  <c r="I18" i="47" s="1"/>
  <c r="F17" i="47"/>
  <c r="E17" i="47"/>
  <c r="I17" i="47" s="1"/>
  <c r="F16" i="47"/>
  <c r="E16" i="47"/>
  <c r="I16" i="47" s="1"/>
  <c r="F15" i="47"/>
  <c r="E15" i="47"/>
  <c r="I15" i="47" s="1"/>
  <c r="F14" i="47"/>
  <c r="E14" i="47"/>
  <c r="I14" i="47" s="1"/>
  <c r="F13" i="47"/>
  <c r="E13" i="47"/>
  <c r="I13" i="47" s="1"/>
  <c r="F12" i="47"/>
  <c r="E12" i="47"/>
  <c r="I12" i="47" s="1"/>
  <c r="F11" i="47"/>
  <c r="E11" i="47"/>
  <c r="I11" i="47" s="1"/>
  <c r="F10" i="47"/>
  <c r="E10" i="47"/>
  <c r="I10" i="47" s="1"/>
  <c r="F9" i="47"/>
  <c r="E9" i="47"/>
  <c r="I9" i="47" s="1"/>
  <c r="F8" i="47"/>
  <c r="E8" i="47"/>
  <c r="I8" i="47" s="1"/>
  <c r="F7" i="47"/>
  <c r="E7" i="47"/>
  <c r="I7" i="47" s="1"/>
  <c r="F6" i="47"/>
  <c r="E6" i="47"/>
  <c r="I6" i="47" s="1"/>
  <c r="F5" i="47"/>
  <c r="E5" i="47"/>
  <c r="I5" i="47" s="1"/>
  <c r="F4" i="47"/>
  <c r="E4" i="47"/>
  <c r="I4" i="47" s="1"/>
  <c r="F3" i="47"/>
  <c r="E3" i="47"/>
  <c r="I3" i="47" s="1"/>
  <c r="F2" i="47"/>
  <c r="E2" i="47"/>
  <c r="I2" i="47" s="1"/>
  <c r="E2" i="46"/>
  <c r="I2" i="46" s="1"/>
  <c r="I50" i="54"/>
  <c r="F49" i="54"/>
  <c r="E49" i="54"/>
  <c r="I49" i="54" s="1"/>
  <c r="F48" i="54"/>
  <c r="E48" i="54"/>
  <c r="I48" i="54" s="1"/>
  <c r="F47" i="54"/>
  <c r="E47" i="54"/>
  <c r="I47" i="54" s="1"/>
  <c r="F46" i="54"/>
  <c r="E46" i="54"/>
  <c r="I46" i="54" s="1"/>
  <c r="F45" i="54"/>
  <c r="E45" i="54"/>
  <c r="I45" i="54" s="1"/>
  <c r="F44" i="54"/>
  <c r="E44" i="54"/>
  <c r="I44" i="54" s="1"/>
  <c r="F43" i="54"/>
  <c r="E43" i="54"/>
  <c r="I43" i="54" s="1"/>
  <c r="F42" i="54"/>
  <c r="E42" i="54"/>
  <c r="I42" i="54" s="1"/>
  <c r="F41" i="54"/>
  <c r="E41" i="54"/>
  <c r="I41" i="54" s="1"/>
  <c r="F40" i="54"/>
  <c r="E40" i="54"/>
  <c r="I40" i="54" s="1"/>
  <c r="F39" i="54"/>
  <c r="E39" i="54"/>
  <c r="I39" i="54" s="1"/>
  <c r="F38" i="54"/>
  <c r="E38" i="54"/>
  <c r="I38" i="54" s="1"/>
  <c r="F37" i="54"/>
  <c r="E37" i="54"/>
  <c r="I37" i="54" s="1"/>
  <c r="F36" i="54"/>
  <c r="E36" i="54"/>
  <c r="I36" i="54" s="1"/>
  <c r="F35" i="54"/>
  <c r="E35" i="54"/>
  <c r="I35" i="54" s="1"/>
  <c r="F34" i="54"/>
  <c r="E34" i="54"/>
  <c r="I34" i="54" s="1"/>
  <c r="F33" i="54"/>
  <c r="E33" i="54"/>
  <c r="I33" i="54" s="1"/>
  <c r="F32" i="54"/>
  <c r="E32" i="54"/>
  <c r="I32" i="54" s="1"/>
  <c r="F31" i="54"/>
  <c r="E31" i="54"/>
  <c r="I31" i="54" s="1"/>
  <c r="F30" i="54"/>
  <c r="E30" i="54"/>
  <c r="I30" i="54" s="1"/>
  <c r="F29" i="54"/>
  <c r="E29" i="54"/>
  <c r="I29" i="54" s="1"/>
  <c r="F28" i="54"/>
  <c r="E28" i="54"/>
  <c r="I28" i="54" s="1"/>
  <c r="F27" i="54"/>
  <c r="E27" i="54"/>
  <c r="I27" i="54" s="1"/>
  <c r="F26" i="54"/>
  <c r="E26" i="54"/>
  <c r="I26" i="54" s="1"/>
  <c r="F25" i="54"/>
  <c r="E25" i="54"/>
  <c r="I25" i="54" s="1"/>
  <c r="F24" i="54"/>
  <c r="E24" i="54"/>
  <c r="I24" i="54" s="1"/>
  <c r="F23" i="54"/>
  <c r="E23" i="54"/>
  <c r="I23" i="54" s="1"/>
  <c r="F22" i="54"/>
  <c r="E22" i="54"/>
  <c r="I22" i="54" s="1"/>
  <c r="F21" i="54"/>
  <c r="E21" i="54"/>
  <c r="I21" i="54" s="1"/>
  <c r="F20" i="54"/>
  <c r="E20" i="54"/>
  <c r="I20" i="54" s="1"/>
  <c r="F19" i="54"/>
  <c r="E19" i="54"/>
  <c r="I19" i="54" s="1"/>
  <c r="F18" i="54"/>
  <c r="E18" i="54"/>
  <c r="I18" i="54" s="1"/>
  <c r="J18" i="54" s="1"/>
  <c r="F17" i="54"/>
  <c r="E17" i="54"/>
  <c r="I17" i="54" s="1"/>
  <c r="F16" i="54"/>
  <c r="E16" i="54"/>
  <c r="I16" i="54" s="1"/>
  <c r="F15" i="54"/>
  <c r="E15" i="54"/>
  <c r="I15" i="54" s="1"/>
  <c r="F14" i="54"/>
  <c r="E14" i="54"/>
  <c r="I14" i="54" s="1"/>
  <c r="F13" i="54"/>
  <c r="E13" i="54"/>
  <c r="I13" i="54" s="1"/>
  <c r="F12" i="54"/>
  <c r="E12" i="54"/>
  <c r="I12" i="54" s="1"/>
  <c r="F11" i="54"/>
  <c r="E11" i="54"/>
  <c r="I11" i="54" s="1"/>
  <c r="F10" i="54"/>
  <c r="E10" i="54"/>
  <c r="I10" i="54" s="1"/>
  <c r="F9" i="54"/>
  <c r="E9" i="54"/>
  <c r="I9" i="54" s="1"/>
  <c r="F8" i="54"/>
  <c r="E8" i="54"/>
  <c r="I8" i="54" s="1"/>
  <c r="F7" i="54"/>
  <c r="E7" i="54"/>
  <c r="I7" i="54" s="1"/>
  <c r="F6" i="54"/>
  <c r="E6" i="54"/>
  <c r="I6" i="54" s="1"/>
  <c r="F5" i="54"/>
  <c r="E5" i="54"/>
  <c r="I5" i="54" s="1"/>
  <c r="F4" i="54"/>
  <c r="E4" i="54"/>
  <c r="I4" i="54" s="1"/>
  <c r="F3" i="54"/>
  <c r="E3" i="54"/>
  <c r="I3" i="54" s="1"/>
  <c r="F2" i="54"/>
  <c r="E2" i="54"/>
  <c r="I2" i="54" s="1"/>
  <c r="F15" i="46"/>
  <c r="F6" i="46"/>
  <c r="F7" i="46"/>
  <c r="F8" i="46"/>
  <c r="F9" i="46"/>
  <c r="F10" i="46"/>
  <c r="F11" i="46"/>
  <c r="F12" i="46"/>
  <c r="F13" i="46"/>
  <c r="F14" i="46"/>
  <c r="F16" i="46"/>
  <c r="F17" i="46"/>
  <c r="F18" i="46"/>
  <c r="F3" i="46"/>
  <c r="F4" i="46"/>
  <c r="F5" i="46"/>
  <c r="F19" i="46"/>
  <c r="F20" i="46"/>
  <c r="F21" i="46"/>
  <c r="F22" i="46"/>
  <c r="F23" i="46"/>
  <c r="F24" i="46"/>
  <c r="F25" i="46"/>
  <c r="F26" i="46"/>
  <c r="F27" i="46"/>
  <c r="F28" i="46"/>
  <c r="F29" i="46"/>
  <c r="F30" i="46"/>
  <c r="F31" i="46"/>
  <c r="F32" i="46"/>
  <c r="F33" i="46"/>
  <c r="F34" i="46"/>
  <c r="F35" i="46"/>
  <c r="F36" i="46"/>
  <c r="F37" i="46"/>
  <c r="F38" i="46"/>
  <c r="F39" i="46"/>
  <c r="F40" i="46"/>
  <c r="F41" i="46"/>
  <c r="F42" i="46"/>
  <c r="F43" i="46"/>
  <c r="F44" i="46"/>
  <c r="F45" i="46"/>
  <c r="F46" i="46"/>
  <c r="F47" i="46"/>
  <c r="F48" i="46"/>
  <c r="F49" i="46"/>
  <c r="F50" i="46"/>
  <c r="F2" i="46"/>
  <c r="E3" i="46"/>
  <c r="I3" i="46" s="1"/>
  <c r="J3" i="46" s="1"/>
  <c r="E4" i="46"/>
  <c r="I4" i="46" s="1"/>
  <c r="J4" i="46" s="1"/>
  <c r="E5" i="46"/>
  <c r="I5" i="46" s="1"/>
  <c r="J5" i="46" s="1"/>
  <c r="E6" i="46"/>
  <c r="I6" i="46" s="1"/>
  <c r="E7" i="46"/>
  <c r="I7" i="46" s="1"/>
  <c r="E8" i="46"/>
  <c r="I8" i="46" s="1"/>
  <c r="E9" i="46"/>
  <c r="I9" i="46" s="1"/>
  <c r="E10" i="46"/>
  <c r="I10" i="46" s="1"/>
  <c r="E11" i="46"/>
  <c r="I11" i="46" s="1"/>
  <c r="E12" i="46"/>
  <c r="I12" i="46" s="1"/>
  <c r="E13" i="46"/>
  <c r="I13" i="46" s="1"/>
  <c r="E14" i="46"/>
  <c r="I14" i="46" s="1"/>
  <c r="E15" i="46"/>
  <c r="I15" i="46" s="1"/>
  <c r="E16" i="46"/>
  <c r="I16" i="46" s="1"/>
  <c r="E17" i="46"/>
  <c r="I17" i="46" s="1"/>
  <c r="E18" i="46"/>
  <c r="I18" i="46" s="1"/>
  <c r="E19" i="46"/>
  <c r="I19" i="46" s="1"/>
  <c r="E20" i="46"/>
  <c r="I20" i="46" s="1"/>
  <c r="E21" i="46"/>
  <c r="I21" i="46" s="1"/>
  <c r="E22" i="46"/>
  <c r="I22" i="46" s="1"/>
  <c r="E23" i="46"/>
  <c r="I23" i="46" s="1"/>
  <c r="E24" i="46"/>
  <c r="I24" i="46" s="1"/>
  <c r="E25" i="46"/>
  <c r="I25" i="46" s="1"/>
  <c r="E26" i="46"/>
  <c r="I26" i="46" s="1"/>
  <c r="E27" i="46"/>
  <c r="I27" i="46" s="1"/>
  <c r="E28" i="46"/>
  <c r="I28" i="46" s="1"/>
  <c r="E29" i="46"/>
  <c r="I29" i="46" s="1"/>
  <c r="E30" i="46"/>
  <c r="I30" i="46" s="1"/>
  <c r="E31" i="46"/>
  <c r="I31" i="46" s="1"/>
  <c r="E32" i="46"/>
  <c r="I32" i="46" s="1"/>
  <c r="E33" i="46"/>
  <c r="I33" i="46" s="1"/>
  <c r="E34" i="46"/>
  <c r="I34" i="46" s="1"/>
  <c r="E35" i="46"/>
  <c r="I35" i="46" s="1"/>
  <c r="E36" i="46"/>
  <c r="I36" i="46" s="1"/>
  <c r="E37" i="46"/>
  <c r="I37" i="46" s="1"/>
  <c r="E38" i="46"/>
  <c r="I38" i="46" s="1"/>
  <c r="E39" i="46"/>
  <c r="I39" i="46" s="1"/>
  <c r="E40" i="46"/>
  <c r="I40" i="46" s="1"/>
  <c r="E41" i="46"/>
  <c r="I41" i="46" s="1"/>
  <c r="E42" i="46"/>
  <c r="I42" i="46" s="1"/>
  <c r="E43" i="46"/>
  <c r="I43" i="46" s="1"/>
  <c r="E44" i="46"/>
  <c r="I44" i="46" s="1"/>
  <c r="E45" i="46"/>
  <c r="I45" i="46" s="1"/>
  <c r="E46" i="46"/>
  <c r="I46" i="46" s="1"/>
  <c r="E47" i="46"/>
  <c r="I47" i="46" s="1"/>
  <c r="E48" i="46"/>
  <c r="I48" i="46" s="1"/>
  <c r="E49" i="46"/>
  <c r="I49" i="46" s="1"/>
  <c r="E50" i="46"/>
  <c r="I50" i="46" s="1"/>
  <c r="E11" i="53"/>
  <c r="G11" i="53" s="1"/>
  <c r="I11" i="53" s="1"/>
  <c r="K11" i="53" s="1"/>
  <c r="G10" i="53"/>
  <c r="I10" i="53" s="1"/>
  <c r="K10" i="53" s="1"/>
  <c r="E10" i="53"/>
  <c r="G9" i="53"/>
  <c r="I9" i="53" s="1"/>
  <c r="K9" i="53" s="1"/>
  <c r="E9" i="53"/>
  <c r="E8" i="53"/>
  <c r="G8" i="53" s="1"/>
  <c r="I8" i="53" s="1"/>
  <c r="K8" i="53" s="1"/>
  <c r="E7" i="53"/>
  <c r="G7" i="53" s="1"/>
  <c r="I7" i="53" s="1"/>
  <c r="K7" i="53" s="1"/>
  <c r="E6" i="53"/>
  <c r="G6" i="53" s="1"/>
  <c r="I6" i="53" s="1"/>
  <c r="K6" i="53" s="1"/>
  <c r="E5" i="53"/>
  <c r="G5" i="53" s="1"/>
  <c r="I5" i="53" s="1"/>
  <c r="K5" i="53" s="1"/>
  <c r="E4" i="53"/>
  <c r="G4" i="53" s="1"/>
  <c r="I4" i="53" s="1"/>
  <c r="K4" i="53" s="1"/>
  <c r="E3" i="53"/>
  <c r="G3" i="53" s="1"/>
  <c r="I3" i="53" s="1"/>
  <c r="K3" i="53" s="1"/>
  <c r="E2" i="53"/>
  <c r="G2" i="53" s="1"/>
  <c r="I2" i="53" s="1"/>
  <c r="K2" i="53" s="1"/>
  <c r="I27" i="52"/>
  <c r="K27" i="52" s="1"/>
  <c r="G27" i="52"/>
  <c r="E27" i="52"/>
  <c r="I26" i="52"/>
  <c r="K26" i="52" s="1"/>
  <c r="G26" i="52"/>
  <c r="E26" i="52"/>
  <c r="I25" i="52"/>
  <c r="K25" i="52" s="1"/>
  <c r="G25" i="52"/>
  <c r="E25" i="52"/>
  <c r="I24" i="52"/>
  <c r="K24" i="52" s="1"/>
  <c r="G24" i="52"/>
  <c r="E24" i="52"/>
  <c r="I23" i="52"/>
  <c r="K23" i="52" s="1"/>
  <c r="G23" i="52"/>
  <c r="E23" i="52"/>
  <c r="I22" i="52"/>
  <c r="K22" i="52" s="1"/>
  <c r="G22" i="52"/>
  <c r="E22" i="52"/>
  <c r="I21" i="52"/>
  <c r="K21" i="52" s="1"/>
  <c r="G21" i="52"/>
  <c r="E21" i="52"/>
  <c r="I20" i="52"/>
  <c r="K20" i="52" s="1"/>
  <c r="G20" i="52"/>
  <c r="E20" i="52"/>
  <c r="I19" i="52"/>
  <c r="K19" i="52" s="1"/>
  <c r="G19" i="52"/>
  <c r="E19" i="52"/>
  <c r="I18" i="52"/>
  <c r="K18" i="52" s="1"/>
  <c r="G18" i="52"/>
  <c r="E18" i="52"/>
  <c r="I17" i="52"/>
  <c r="K17" i="52" s="1"/>
  <c r="G17" i="52"/>
  <c r="E17" i="52"/>
  <c r="I16" i="52"/>
  <c r="K16" i="52" s="1"/>
  <c r="G16" i="52"/>
  <c r="E16" i="52"/>
  <c r="I15" i="52"/>
  <c r="K15" i="52" s="1"/>
  <c r="G15" i="52"/>
  <c r="E15" i="52"/>
  <c r="I14" i="52"/>
  <c r="K14" i="52" s="1"/>
  <c r="G14" i="52"/>
  <c r="E14" i="52"/>
  <c r="I13" i="52"/>
  <c r="K13" i="52" s="1"/>
  <c r="G13" i="52"/>
  <c r="E13" i="52"/>
  <c r="I12" i="52"/>
  <c r="K12" i="52" s="1"/>
  <c r="G12" i="52"/>
  <c r="E12" i="52"/>
  <c r="I11" i="52"/>
  <c r="K11" i="52" s="1"/>
  <c r="G11" i="52"/>
  <c r="E11" i="52"/>
  <c r="I10" i="52"/>
  <c r="K10" i="52" s="1"/>
  <c r="G10" i="52"/>
  <c r="E10" i="52"/>
  <c r="E9" i="52"/>
  <c r="G9" i="52" s="1"/>
  <c r="I9" i="52" s="1"/>
  <c r="K9" i="52" s="1"/>
  <c r="M9" i="52" s="1"/>
  <c r="E8" i="52"/>
  <c r="G8" i="52" s="1"/>
  <c r="I8" i="52" s="1"/>
  <c r="K8" i="52" s="1"/>
  <c r="E7" i="52"/>
  <c r="G7" i="52" s="1"/>
  <c r="I7" i="52" s="1"/>
  <c r="K7" i="52" s="1"/>
  <c r="E6" i="52"/>
  <c r="G6" i="52" s="1"/>
  <c r="I6" i="52" s="1"/>
  <c r="K6" i="52" s="1"/>
  <c r="E5" i="52"/>
  <c r="G5" i="52" s="1"/>
  <c r="I5" i="52" s="1"/>
  <c r="K5" i="52" s="1"/>
  <c r="E4" i="52"/>
  <c r="G4" i="52" s="1"/>
  <c r="I4" i="52" s="1"/>
  <c r="K4" i="52" s="1"/>
  <c r="E3" i="52"/>
  <c r="G3" i="52" s="1"/>
  <c r="I3" i="52" s="1"/>
  <c r="K3" i="52" s="1"/>
  <c r="E2" i="52"/>
  <c r="G2" i="52" s="1"/>
  <c r="I2" i="52" s="1"/>
  <c r="K2" i="52" s="1"/>
  <c r="I26" i="49"/>
  <c r="K26" i="49" s="1"/>
  <c r="G26" i="49"/>
  <c r="E26" i="49"/>
  <c r="K25" i="49"/>
  <c r="I25" i="49"/>
  <c r="G25" i="49"/>
  <c r="E25" i="49"/>
  <c r="K24" i="49"/>
  <c r="I24" i="49"/>
  <c r="G24" i="49"/>
  <c r="E24" i="49"/>
  <c r="I23" i="49"/>
  <c r="K23" i="49" s="1"/>
  <c r="G23" i="49"/>
  <c r="E23" i="49"/>
  <c r="K22" i="49"/>
  <c r="I22" i="49"/>
  <c r="G22" i="49"/>
  <c r="E22" i="49"/>
  <c r="E21" i="49"/>
  <c r="G21" i="49" s="1"/>
  <c r="I21" i="49" s="1"/>
  <c r="K21" i="49" s="1"/>
  <c r="I20" i="49"/>
  <c r="K20" i="49" s="1"/>
  <c r="G20" i="49"/>
  <c r="E20" i="49"/>
  <c r="K19" i="49"/>
  <c r="I19" i="49"/>
  <c r="G19" i="49"/>
  <c r="E19" i="49"/>
  <c r="E18" i="49"/>
  <c r="G18" i="49" s="1"/>
  <c r="I18" i="49" s="1"/>
  <c r="K18" i="49" s="1"/>
  <c r="I17" i="49"/>
  <c r="K17" i="49" s="1"/>
  <c r="G17" i="49"/>
  <c r="E17" i="49"/>
  <c r="E16" i="49"/>
  <c r="G16" i="49" s="1"/>
  <c r="I16" i="49" s="1"/>
  <c r="K16" i="49" s="1"/>
  <c r="E15" i="49"/>
  <c r="G15" i="49" s="1"/>
  <c r="I15" i="49" s="1"/>
  <c r="K15" i="49" s="1"/>
  <c r="I14" i="49"/>
  <c r="K14" i="49" s="1"/>
  <c r="G14" i="49"/>
  <c r="E14" i="49"/>
  <c r="E13" i="49"/>
  <c r="G13" i="49" s="1"/>
  <c r="I13" i="49" s="1"/>
  <c r="K13" i="49" s="1"/>
  <c r="E12" i="49"/>
  <c r="G12" i="49" s="1"/>
  <c r="I12" i="49" s="1"/>
  <c r="K12" i="49" s="1"/>
  <c r="I11" i="49"/>
  <c r="K11" i="49" s="1"/>
  <c r="G11" i="49"/>
  <c r="E11" i="49"/>
  <c r="E10" i="49"/>
  <c r="G10" i="49" s="1"/>
  <c r="I10" i="49" s="1"/>
  <c r="K10" i="49" s="1"/>
  <c r="E9" i="49"/>
  <c r="G9" i="49" s="1"/>
  <c r="I9" i="49" s="1"/>
  <c r="K9" i="49" s="1"/>
  <c r="I8" i="49"/>
  <c r="K8" i="49" s="1"/>
  <c r="G8" i="49"/>
  <c r="E8" i="49"/>
  <c r="K7" i="49"/>
  <c r="I7" i="49"/>
  <c r="G7" i="49"/>
  <c r="E7" i="49"/>
  <c r="E6" i="49"/>
  <c r="G6" i="49" s="1"/>
  <c r="I6" i="49" s="1"/>
  <c r="K6" i="49" s="1"/>
  <c r="I5" i="49"/>
  <c r="K5" i="49" s="1"/>
  <c r="G5" i="49"/>
  <c r="E5" i="49"/>
  <c r="E4" i="49"/>
  <c r="G4" i="49" s="1"/>
  <c r="I4" i="49" s="1"/>
  <c r="K4" i="49" s="1"/>
  <c r="E3" i="49"/>
  <c r="G3" i="49" s="1"/>
  <c r="I3" i="49" s="1"/>
  <c r="K3" i="49" s="1"/>
  <c r="I2" i="49"/>
  <c r="K2" i="49" s="1"/>
  <c r="G2" i="49"/>
  <c r="E2" i="49"/>
  <c r="K57" i="48"/>
  <c r="I57" i="48"/>
  <c r="G57" i="48"/>
  <c r="E57" i="48"/>
  <c r="E56" i="48"/>
  <c r="G56" i="48" s="1"/>
  <c r="I56" i="48" s="1"/>
  <c r="K56" i="48" s="1"/>
  <c r="I55" i="48"/>
  <c r="K55" i="48" s="1"/>
  <c r="G55" i="48"/>
  <c r="E55" i="48"/>
  <c r="K54" i="48"/>
  <c r="I54" i="48"/>
  <c r="G54" i="48"/>
  <c r="E54" i="48"/>
  <c r="E53" i="48"/>
  <c r="G53" i="48" s="1"/>
  <c r="I53" i="48" s="1"/>
  <c r="K53" i="48" s="1"/>
  <c r="I52" i="48"/>
  <c r="K52" i="48" s="1"/>
  <c r="G52" i="48"/>
  <c r="E52" i="48"/>
  <c r="K51" i="48"/>
  <c r="I51" i="48"/>
  <c r="G51" i="48"/>
  <c r="E51" i="48"/>
  <c r="E50" i="48"/>
  <c r="G50" i="48" s="1"/>
  <c r="I50" i="48" s="1"/>
  <c r="K50" i="48" s="1"/>
  <c r="I49" i="48"/>
  <c r="K49" i="48" s="1"/>
  <c r="G49" i="48"/>
  <c r="E49" i="48"/>
  <c r="E48" i="48"/>
  <c r="G48" i="48" s="1"/>
  <c r="I48" i="48" s="1"/>
  <c r="K48" i="48" s="1"/>
  <c r="E47" i="48"/>
  <c r="G47" i="48" s="1"/>
  <c r="I47" i="48" s="1"/>
  <c r="K47" i="48" s="1"/>
  <c r="I46" i="48"/>
  <c r="K46" i="48" s="1"/>
  <c r="G46" i="48"/>
  <c r="E46" i="48"/>
  <c r="E45" i="48"/>
  <c r="G45" i="48" s="1"/>
  <c r="I45" i="48" s="1"/>
  <c r="K45" i="48" s="1"/>
  <c r="E44" i="48"/>
  <c r="G44" i="48" s="1"/>
  <c r="I44" i="48" s="1"/>
  <c r="K44" i="48" s="1"/>
  <c r="I43" i="48"/>
  <c r="K43" i="48" s="1"/>
  <c r="G43" i="48"/>
  <c r="E43" i="48"/>
  <c r="E42" i="48"/>
  <c r="G42" i="48" s="1"/>
  <c r="I42" i="48" s="1"/>
  <c r="K42" i="48" s="1"/>
  <c r="E41" i="48"/>
  <c r="G41" i="48" s="1"/>
  <c r="I41" i="48" s="1"/>
  <c r="K41" i="48" s="1"/>
  <c r="I40" i="48"/>
  <c r="K40" i="48" s="1"/>
  <c r="G40" i="48"/>
  <c r="E40" i="48"/>
  <c r="E39" i="48"/>
  <c r="G39" i="48" s="1"/>
  <c r="I39" i="48" s="1"/>
  <c r="K39" i="48" s="1"/>
  <c r="E38" i="48"/>
  <c r="G38" i="48" s="1"/>
  <c r="I38" i="48" s="1"/>
  <c r="K38" i="48" s="1"/>
  <c r="I37" i="48"/>
  <c r="K37" i="48" s="1"/>
  <c r="G37" i="48"/>
  <c r="E37" i="48"/>
  <c r="E36" i="48"/>
  <c r="G36" i="48" s="1"/>
  <c r="I36" i="48" s="1"/>
  <c r="K36" i="48" s="1"/>
  <c r="M36" i="48" s="1"/>
  <c r="E35" i="48"/>
  <c r="G35" i="48" s="1"/>
  <c r="I35" i="48" s="1"/>
  <c r="K35" i="48" s="1"/>
  <c r="M35" i="48" s="1"/>
  <c r="I34" i="48"/>
  <c r="K34" i="48" s="1"/>
  <c r="M34" i="48" s="1"/>
  <c r="G34" i="48"/>
  <c r="E34" i="48"/>
  <c r="E33" i="48"/>
  <c r="G33" i="48" s="1"/>
  <c r="I33" i="48" s="1"/>
  <c r="K33" i="48" s="1"/>
  <c r="M33" i="48" s="1"/>
  <c r="E32" i="48"/>
  <c r="G32" i="48" s="1"/>
  <c r="I32" i="48" s="1"/>
  <c r="K32" i="48" s="1"/>
  <c r="M32" i="48" s="1"/>
  <c r="G31" i="48"/>
  <c r="I31" i="48" s="1"/>
  <c r="K31" i="48" s="1"/>
  <c r="M31" i="48" s="1"/>
  <c r="E31" i="48"/>
  <c r="G30" i="48"/>
  <c r="I30" i="48" s="1"/>
  <c r="K30" i="48" s="1"/>
  <c r="M30" i="48" s="1"/>
  <c r="E30" i="48"/>
  <c r="E29" i="48"/>
  <c r="G29" i="48" s="1"/>
  <c r="I29" i="48" s="1"/>
  <c r="K29" i="48" s="1"/>
  <c r="M29" i="48" s="1"/>
  <c r="E28" i="48"/>
  <c r="G28" i="48" s="1"/>
  <c r="I28" i="48" s="1"/>
  <c r="K28" i="48" s="1"/>
  <c r="M28" i="48" s="1"/>
  <c r="G27" i="48"/>
  <c r="I27" i="48" s="1"/>
  <c r="K27" i="48" s="1"/>
  <c r="M27" i="48" s="1"/>
  <c r="E27" i="48"/>
  <c r="I26" i="48"/>
  <c r="K26" i="48" s="1"/>
  <c r="M26" i="48" s="1"/>
  <c r="G26" i="48"/>
  <c r="E26" i="48"/>
  <c r="I25" i="48"/>
  <c r="K25" i="48" s="1"/>
  <c r="M25" i="48" s="1"/>
  <c r="G25" i="48"/>
  <c r="E25" i="48"/>
  <c r="E24" i="48"/>
  <c r="G24" i="48" s="1"/>
  <c r="I24" i="48" s="1"/>
  <c r="K24" i="48" s="1"/>
  <c r="M24" i="48" s="1"/>
  <c r="E23" i="48"/>
  <c r="G23" i="48" s="1"/>
  <c r="I23" i="48" s="1"/>
  <c r="K23" i="48" s="1"/>
  <c r="M23" i="48" s="1"/>
  <c r="I22" i="48"/>
  <c r="K22" i="48" s="1"/>
  <c r="M22" i="48" s="1"/>
  <c r="G22" i="48"/>
  <c r="E22" i="48"/>
  <c r="E21" i="48"/>
  <c r="G21" i="48" s="1"/>
  <c r="I21" i="48" s="1"/>
  <c r="K21" i="48" s="1"/>
  <c r="M21" i="48" s="1"/>
  <c r="E20" i="48"/>
  <c r="G20" i="48" s="1"/>
  <c r="I20" i="48" s="1"/>
  <c r="K20" i="48" s="1"/>
  <c r="M20" i="48" s="1"/>
  <c r="G19" i="48"/>
  <c r="I19" i="48" s="1"/>
  <c r="K19" i="48" s="1"/>
  <c r="M19" i="48" s="1"/>
  <c r="E19" i="48"/>
  <c r="G18" i="48"/>
  <c r="I18" i="48" s="1"/>
  <c r="K18" i="48" s="1"/>
  <c r="M18" i="48" s="1"/>
  <c r="E18" i="48"/>
  <c r="E17" i="48"/>
  <c r="G17" i="48" s="1"/>
  <c r="I17" i="48" s="1"/>
  <c r="K17" i="48" s="1"/>
  <c r="M17" i="48" s="1"/>
  <c r="E16" i="48"/>
  <c r="G16" i="48" s="1"/>
  <c r="I16" i="48" s="1"/>
  <c r="K16" i="48" s="1"/>
  <c r="M16" i="48" s="1"/>
  <c r="G15" i="48"/>
  <c r="I15" i="48" s="1"/>
  <c r="K15" i="48" s="1"/>
  <c r="M15" i="48" s="1"/>
  <c r="E15" i="48"/>
  <c r="E14" i="48"/>
  <c r="G14" i="48" s="1"/>
  <c r="I14" i="48" s="1"/>
  <c r="K14" i="48" s="1"/>
  <c r="M14" i="48" s="1"/>
  <c r="I13" i="48"/>
  <c r="K13" i="48" s="1"/>
  <c r="M13" i="48" s="1"/>
  <c r="G13" i="48"/>
  <c r="E13" i="48"/>
  <c r="E12" i="48"/>
  <c r="G12" i="48" s="1"/>
  <c r="I12" i="48" s="1"/>
  <c r="K12" i="48" s="1"/>
  <c r="M12" i="48" s="1"/>
  <c r="E11" i="48"/>
  <c r="G11" i="48" s="1"/>
  <c r="I11" i="48" s="1"/>
  <c r="K11" i="48" s="1"/>
  <c r="M11" i="48" s="1"/>
  <c r="I10" i="48"/>
  <c r="K10" i="48" s="1"/>
  <c r="M10" i="48" s="1"/>
  <c r="G10" i="48"/>
  <c r="E10" i="48"/>
  <c r="E9" i="48"/>
  <c r="G9" i="48" s="1"/>
  <c r="I9" i="48" s="1"/>
  <c r="K9" i="48" s="1"/>
  <c r="M9" i="48" s="1"/>
  <c r="E8" i="48"/>
  <c r="G8" i="48" s="1"/>
  <c r="I8" i="48" s="1"/>
  <c r="K8" i="48" s="1"/>
  <c r="M8" i="48" s="1"/>
  <c r="G7" i="48"/>
  <c r="I7" i="48" s="1"/>
  <c r="K7" i="48" s="1"/>
  <c r="M7" i="48" s="1"/>
  <c r="E7" i="48"/>
  <c r="G6" i="48"/>
  <c r="I6" i="48" s="1"/>
  <c r="K6" i="48" s="1"/>
  <c r="M6" i="48" s="1"/>
  <c r="E6" i="48"/>
  <c r="E5" i="48"/>
  <c r="G5" i="48" s="1"/>
  <c r="I5" i="48" s="1"/>
  <c r="K5" i="48" s="1"/>
  <c r="M5" i="48" s="1"/>
  <c r="E4" i="48"/>
  <c r="G4" i="48" s="1"/>
  <c r="I4" i="48" s="1"/>
  <c r="K4" i="48" s="1"/>
  <c r="M4" i="48" s="1"/>
  <c r="G3" i="48"/>
  <c r="I3" i="48" s="1"/>
  <c r="K3" i="48" s="1"/>
  <c r="M3" i="48" s="1"/>
  <c r="E3" i="48"/>
  <c r="I67" i="46"/>
  <c r="J67" i="46" s="1"/>
  <c r="I66" i="46"/>
  <c r="J66" i="46" s="1"/>
  <c r="I65" i="46"/>
  <c r="J65" i="46" s="1"/>
  <c r="M65" i="46" s="1"/>
  <c r="I64" i="46"/>
  <c r="J64" i="46" s="1"/>
  <c r="M64" i="46" s="1"/>
  <c r="I63" i="46"/>
  <c r="J63" i="46" s="1"/>
  <c r="I62" i="46"/>
  <c r="J62" i="46" s="1"/>
  <c r="I61" i="46"/>
  <c r="J61" i="46" s="1"/>
  <c r="I60" i="46"/>
  <c r="J60" i="46" s="1"/>
  <c r="I59" i="46"/>
  <c r="J59" i="46" s="1"/>
  <c r="I58" i="46"/>
  <c r="J58" i="46" s="1"/>
  <c r="I57" i="46"/>
  <c r="J57" i="46" s="1"/>
  <c r="I56" i="46"/>
  <c r="J56" i="46" s="1"/>
  <c r="I55" i="46"/>
  <c r="J55" i="46" s="1"/>
  <c r="I54" i="46"/>
  <c r="J54" i="46" s="1"/>
  <c r="I53" i="46"/>
  <c r="J53" i="46" s="1"/>
  <c r="M53" i="46" s="1"/>
  <c r="I52" i="46"/>
  <c r="J52" i="46" s="1"/>
  <c r="M52" i="46" s="1"/>
  <c r="I51" i="46"/>
  <c r="J51" i="46" s="1"/>
  <c r="AB2" i="46"/>
  <c r="G22" i="45"/>
  <c r="I22" i="45" s="1"/>
  <c r="K22" i="45" s="1"/>
  <c r="E22" i="45"/>
  <c r="G21" i="45"/>
  <c r="I21" i="45" s="1"/>
  <c r="K21" i="45" s="1"/>
  <c r="E21" i="45"/>
  <c r="E20" i="45"/>
  <c r="G20" i="45" s="1"/>
  <c r="I20" i="45" s="1"/>
  <c r="K20" i="45" s="1"/>
  <c r="G19" i="45"/>
  <c r="I19" i="45" s="1"/>
  <c r="K19" i="45" s="1"/>
  <c r="E19" i="45"/>
  <c r="G18" i="45"/>
  <c r="I18" i="45" s="1"/>
  <c r="K18" i="45" s="1"/>
  <c r="E18" i="45"/>
  <c r="E17" i="45"/>
  <c r="G17" i="45" s="1"/>
  <c r="I17" i="45" s="1"/>
  <c r="K17" i="45" s="1"/>
  <c r="G16" i="45"/>
  <c r="I16" i="45" s="1"/>
  <c r="K16" i="45" s="1"/>
  <c r="E16" i="45"/>
  <c r="G15" i="45"/>
  <c r="I15" i="45" s="1"/>
  <c r="K15" i="45" s="1"/>
  <c r="E15" i="45"/>
  <c r="E14" i="45"/>
  <c r="G14" i="45" s="1"/>
  <c r="I14" i="45" s="1"/>
  <c r="K14" i="45" s="1"/>
  <c r="G13" i="45"/>
  <c r="I13" i="45" s="1"/>
  <c r="K13" i="45" s="1"/>
  <c r="E13" i="45"/>
  <c r="G12" i="45"/>
  <c r="I12" i="45" s="1"/>
  <c r="K12" i="45" s="1"/>
  <c r="E12" i="45"/>
  <c r="E11" i="45"/>
  <c r="G11" i="45" s="1"/>
  <c r="I11" i="45" s="1"/>
  <c r="K11" i="45" s="1"/>
  <c r="G10" i="45"/>
  <c r="I10" i="45" s="1"/>
  <c r="K10" i="45" s="1"/>
  <c r="E10" i="45"/>
  <c r="G9" i="45"/>
  <c r="I9" i="45" s="1"/>
  <c r="K9" i="45" s="1"/>
  <c r="E9" i="45"/>
  <c r="I8" i="45"/>
  <c r="K8" i="45" s="1"/>
  <c r="G8" i="45"/>
  <c r="E8" i="45"/>
  <c r="G7" i="45"/>
  <c r="I7" i="45" s="1"/>
  <c r="K7" i="45" s="1"/>
  <c r="E7" i="45"/>
  <c r="G6" i="45"/>
  <c r="I6" i="45" s="1"/>
  <c r="K6" i="45" s="1"/>
  <c r="E6" i="45"/>
  <c r="I5" i="45"/>
  <c r="K5" i="45" s="1"/>
  <c r="G5" i="45"/>
  <c r="E5" i="45"/>
  <c r="G4" i="45"/>
  <c r="I4" i="45" s="1"/>
  <c r="K4" i="45" s="1"/>
  <c r="E4" i="45"/>
  <c r="G3" i="45"/>
  <c r="I3" i="45" s="1"/>
  <c r="K3" i="45" s="1"/>
  <c r="E3" i="45"/>
  <c r="I2" i="45"/>
  <c r="K2" i="45" s="1"/>
  <c r="G2" i="45"/>
  <c r="E2" i="45"/>
  <c r="J34" i="44"/>
  <c r="H34" i="44"/>
  <c r="I34" i="44" s="1"/>
  <c r="H33" i="44"/>
  <c r="I33" i="44" s="1"/>
  <c r="H32" i="44"/>
  <c r="I32" i="44" s="1"/>
  <c r="I31" i="44"/>
  <c r="H31" i="44"/>
  <c r="H30" i="44"/>
  <c r="I30" i="44" s="1"/>
  <c r="H29" i="44"/>
  <c r="I29" i="44" s="1"/>
  <c r="I28" i="44"/>
  <c r="K28" i="44" s="1"/>
  <c r="H28" i="44"/>
  <c r="I27" i="44"/>
  <c r="H27" i="44"/>
  <c r="J26" i="44"/>
  <c r="H26" i="44"/>
  <c r="I26" i="44" s="1"/>
  <c r="I25" i="44"/>
  <c r="H25" i="44"/>
  <c r="H24" i="44"/>
  <c r="I24" i="44" s="1"/>
  <c r="H23" i="44"/>
  <c r="I23" i="44" s="1"/>
  <c r="H22" i="44"/>
  <c r="I22" i="44" s="1"/>
  <c r="K21" i="44"/>
  <c r="H21" i="44"/>
  <c r="I21" i="44" s="1"/>
  <c r="H20" i="44"/>
  <c r="I20" i="44" s="1"/>
  <c r="H19" i="44"/>
  <c r="I19" i="44" s="1"/>
  <c r="H18" i="44"/>
  <c r="I18" i="44" s="1"/>
  <c r="H17" i="44"/>
  <c r="I17" i="44" s="1"/>
  <c r="I16" i="44"/>
  <c r="K16" i="44" s="1"/>
  <c r="H16" i="44"/>
  <c r="I15" i="44"/>
  <c r="H15" i="44"/>
  <c r="H14" i="44"/>
  <c r="I14" i="44" s="1"/>
  <c r="H13" i="44"/>
  <c r="I13" i="44" s="1"/>
  <c r="H12" i="44"/>
  <c r="I12" i="44" s="1"/>
  <c r="H11" i="44"/>
  <c r="I11" i="44" s="1"/>
  <c r="G9" i="44"/>
  <c r="I9" i="44" s="1"/>
  <c r="K9" i="44" s="1"/>
  <c r="E9" i="44"/>
  <c r="G8" i="44"/>
  <c r="I8" i="44" s="1"/>
  <c r="K8" i="44" s="1"/>
  <c r="E8" i="44"/>
  <c r="E7" i="44"/>
  <c r="G7" i="44" s="1"/>
  <c r="I7" i="44" s="1"/>
  <c r="K7" i="44" s="1"/>
  <c r="G6" i="44"/>
  <c r="I6" i="44" s="1"/>
  <c r="K6" i="44" s="1"/>
  <c r="E6" i="44"/>
  <c r="G5" i="44"/>
  <c r="I5" i="44" s="1"/>
  <c r="K5" i="44" s="1"/>
  <c r="E5" i="44"/>
  <c r="E4" i="44"/>
  <c r="G4" i="44" s="1"/>
  <c r="I4" i="44" s="1"/>
  <c r="K4" i="44" s="1"/>
  <c r="G3" i="44"/>
  <c r="I3" i="44" s="1"/>
  <c r="K3" i="44" s="1"/>
  <c r="E3" i="44"/>
  <c r="G2" i="44"/>
  <c r="I2" i="44" s="1"/>
  <c r="K2" i="44" s="1"/>
  <c r="E2" i="44"/>
  <c r="E67" i="43"/>
  <c r="G67" i="43" s="1"/>
  <c r="I67" i="43" s="1"/>
  <c r="K67" i="43" s="1"/>
  <c r="G66" i="43"/>
  <c r="I66" i="43" s="1"/>
  <c r="K66" i="43" s="1"/>
  <c r="E66" i="43"/>
  <c r="G65" i="43"/>
  <c r="I65" i="43" s="1"/>
  <c r="K65" i="43" s="1"/>
  <c r="E65" i="43"/>
  <c r="E64" i="43"/>
  <c r="G64" i="43" s="1"/>
  <c r="I64" i="43" s="1"/>
  <c r="K64" i="43" s="1"/>
  <c r="G63" i="43"/>
  <c r="I63" i="43" s="1"/>
  <c r="K63" i="43" s="1"/>
  <c r="E63" i="43"/>
  <c r="G62" i="43"/>
  <c r="I62" i="43" s="1"/>
  <c r="K62" i="43" s="1"/>
  <c r="E62" i="43"/>
  <c r="E61" i="43"/>
  <c r="G61" i="43" s="1"/>
  <c r="I61" i="43" s="1"/>
  <c r="K61" i="43" s="1"/>
  <c r="G60" i="43"/>
  <c r="I60" i="43" s="1"/>
  <c r="K60" i="43" s="1"/>
  <c r="E60" i="43"/>
  <c r="G59" i="43"/>
  <c r="I59" i="43" s="1"/>
  <c r="K59" i="43" s="1"/>
  <c r="E59" i="43"/>
  <c r="E58" i="43"/>
  <c r="G58" i="43" s="1"/>
  <c r="I58" i="43" s="1"/>
  <c r="K58" i="43" s="1"/>
  <c r="G57" i="43"/>
  <c r="I57" i="43" s="1"/>
  <c r="K57" i="43" s="1"/>
  <c r="E57" i="43"/>
  <c r="G56" i="43"/>
  <c r="I56" i="43" s="1"/>
  <c r="K56" i="43" s="1"/>
  <c r="E56" i="43"/>
  <c r="E55" i="43"/>
  <c r="G55" i="43" s="1"/>
  <c r="I55" i="43" s="1"/>
  <c r="K55" i="43" s="1"/>
  <c r="G54" i="43"/>
  <c r="I54" i="43" s="1"/>
  <c r="K54" i="43" s="1"/>
  <c r="E54" i="43"/>
  <c r="G53" i="43"/>
  <c r="I53" i="43" s="1"/>
  <c r="K53" i="43" s="1"/>
  <c r="E53" i="43"/>
  <c r="K52" i="43"/>
  <c r="E52" i="43"/>
  <c r="G52" i="43" s="1"/>
  <c r="I52" i="43" s="1"/>
  <c r="G51" i="43"/>
  <c r="I51" i="43" s="1"/>
  <c r="K51" i="43" s="1"/>
  <c r="E51" i="43"/>
  <c r="G50" i="43"/>
  <c r="I50" i="43" s="1"/>
  <c r="K50" i="43" s="1"/>
  <c r="E50" i="43"/>
  <c r="E49" i="43"/>
  <c r="G49" i="43" s="1"/>
  <c r="I49" i="43" s="1"/>
  <c r="K49" i="43" s="1"/>
  <c r="G48" i="43"/>
  <c r="I48" i="43" s="1"/>
  <c r="K48" i="43" s="1"/>
  <c r="E48" i="43"/>
  <c r="G47" i="43"/>
  <c r="I47" i="43" s="1"/>
  <c r="K47" i="43" s="1"/>
  <c r="E47" i="43"/>
  <c r="K46" i="43"/>
  <c r="E46" i="43"/>
  <c r="G46" i="43" s="1"/>
  <c r="I46" i="43" s="1"/>
  <c r="G45" i="43"/>
  <c r="I45" i="43" s="1"/>
  <c r="K45" i="43" s="1"/>
  <c r="E45" i="43"/>
  <c r="I44" i="43"/>
  <c r="K44" i="43" s="1"/>
  <c r="G44" i="43"/>
  <c r="E44" i="43"/>
  <c r="K43" i="43"/>
  <c r="E43" i="43"/>
  <c r="G43" i="43" s="1"/>
  <c r="I43" i="43" s="1"/>
  <c r="G42" i="43"/>
  <c r="I42" i="43" s="1"/>
  <c r="K42" i="43" s="1"/>
  <c r="E42" i="43"/>
  <c r="G41" i="43"/>
  <c r="I41" i="43" s="1"/>
  <c r="K41" i="43" s="1"/>
  <c r="E41" i="43"/>
  <c r="E40" i="43"/>
  <c r="G40" i="43" s="1"/>
  <c r="I40" i="43" s="1"/>
  <c r="K40" i="43" s="1"/>
  <c r="G39" i="43"/>
  <c r="I39" i="43" s="1"/>
  <c r="K39" i="43" s="1"/>
  <c r="E39" i="43"/>
  <c r="G38" i="43"/>
  <c r="I38" i="43" s="1"/>
  <c r="K38" i="43" s="1"/>
  <c r="E38" i="43"/>
  <c r="K37" i="43"/>
  <c r="E37" i="43"/>
  <c r="G37" i="43" s="1"/>
  <c r="I37" i="43" s="1"/>
  <c r="G36" i="43"/>
  <c r="I36" i="43" s="1"/>
  <c r="K36" i="43" s="1"/>
  <c r="E36" i="43"/>
  <c r="G35" i="43"/>
  <c r="I35" i="43" s="1"/>
  <c r="K35" i="43" s="1"/>
  <c r="E35" i="43"/>
  <c r="K34" i="43"/>
  <c r="E34" i="43"/>
  <c r="G34" i="43" s="1"/>
  <c r="I34" i="43" s="1"/>
  <c r="G33" i="43"/>
  <c r="I33" i="43" s="1"/>
  <c r="K33" i="43" s="1"/>
  <c r="E33" i="43"/>
  <c r="G32" i="43"/>
  <c r="I32" i="43" s="1"/>
  <c r="K32" i="43" s="1"/>
  <c r="E32" i="43"/>
  <c r="E31" i="43"/>
  <c r="G31" i="43" s="1"/>
  <c r="I31" i="43" s="1"/>
  <c r="K31" i="43" s="1"/>
  <c r="G30" i="43"/>
  <c r="I30" i="43" s="1"/>
  <c r="K30" i="43" s="1"/>
  <c r="E30" i="43"/>
  <c r="I29" i="43"/>
  <c r="K29" i="43" s="1"/>
  <c r="G29" i="43"/>
  <c r="E29" i="43"/>
  <c r="E28" i="43"/>
  <c r="G28" i="43" s="1"/>
  <c r="I28" i="43" s="1"/>
  <c r="K28" i="43" s="1"/>
  <c r="G27" i="43"/>
  <c r="I27" i="43" s="1"/>
  <c r="K27" i="43" s="1"/>
  <c r="E27" i="43"/>
  <c r="G26" i="43"/>
  <c r="I26" i="43" s="1"/>
  <c r="K26" i="43" s="1"/>
  <c r="E26" i="43"/>
  <c r="E25" i="43"/>
  <c r="G25" i="43" s="1"/>
  <c r="I25" i="43" s="1"/>
  <c r="K25" i="43" s="1"/>
  <c r="I24" i="43"/>
  <c r="K24" i="43" s="1"/>
  <c r="G24" i="43"/>
  <c r="E24" i="43"/>
  <c r="I23" i="43"/>
  <c r="K23" i="43" s="1"/>
  <c r="G23" i="43"/>
  <c r="E23" i="43"/>
  <c r="E22" i="43"/>
  <c r="G22" i="43" s="1"/>
  <c r="I22" i="43" s="1"/>
  <c r="K22" i="43" s="1"/>
  <c r="I21" i="43"/>
  <c r="K21" i="43" s="1"/>
  <c r="G21" i="43"/>
  <c r="E21" i="43"/>
  <c r="K20" i="43"/>
  <c r="I20" i="43"/>
  <c r="G20" i="43"/>
  <c r="E20" i="43"/>
  <c r="K19" i="43"/>
  <c r="E19" i="43"/>
  <c r="G19" i="43" s="1"/>
  <c r="I19" i="43" s="1"/>
  <c r="I18" i="43"/>
  <c r="K18" i="43" s="1"/>
  <c r="G18" i="43"/>
  <c r="E18" i="43"/>
  <c r="G17" i="43"/>
  <c r="I17" i="43" s="1"/>
  <c r="K17" i="43" s="1"/>
  <c r="E17" i="43"/>
  <c r="K16" i="43"/>
  <c r="E16" i="43"/>
  <c r="G16" i="43" s="1"/>
  <c r="I16" i="43" s="1"/>
  <c r="G15" i="43"/>
  <c r="I15" i="43" s="1"/>
  <c r="K15" i="43" s="1"/>
  <c r="E15" i="43"/>
  <c r="K14" i="43"/>
  <c r="G14" i="43"/>
  <c r="I14" i="43" s="1"/>
  <c r="E14" i="43"/>
  <c r="E13" i="43"/>
  <c r="G13" i="43" s="1"/>
  <c r="I13" i="43" s="1"/>
  <c r="K13" i="43" s="1"/>
  <c r="I12" i="43"/>
  <c r="K12" i="43" s="1"/>
  <c r="G12" i="43"/>
  <c r="E12" i="43"/>
  <c r="I11" i="43"/>
  <c r="K11" i="43" s="1"/>
  <c r="G11" i="43"/>
  <c r="E11" i="43"/>
  <c r="E10" i="43"/>
  <c r="G10" i="43" s="1"/>
  <c r="I10" i="43" s="1"/>
  <c r="K10" i="43" s="1"/>
  <c r="I9" i="43"/>
  <c r="K9" i="43" s="1"/>
  <c r="G9" i="43"/>
  <c r="E9" i="43"/>
  <c r="K8" i="43"/>
  <c r="I8" i="43"/>
  <c r="G8" i="43"/>
  <c r="E8" i="43"/>
  <c r="K7" i="43"/>
  <c r="E7" i="43"/>
  <c r="G7" i="43" s="1"/>
  <c r="I7" i="43" s="1"/>
  <c r="I6" i="43"/>
  <c r="K6" i="43" s="1"/>
  <c r="G6" i="43"/>
  <c r="E6" i="43"/>
  <c r="K5" i="43"/>
  <c r="G5" i="43"/>
  <c r="I5" i="43" s="1"/>
  <c r="E5" i="43"/>
  <c r="K4" i="43"/>
  <c r="E4" i="43"/>
  <c r="G4" i="43" s="1"/>
  <c r="I4" i="43" s="1"/>
  <c r="G3" i="43"/>
  <c r="I3" i="43" s="1"/>
  <c r="K3" i="43" s="1"/>
  <c r="E3" i="43"/>
  <c r="K2" i="43"/>
  <c r="G2" i="43"/>
  <c r="I2" i="43" s="1"/>
  <c r="E2" i="43"/>
  <c r="E23" i="42"/>
  <c r="G23" i="42" s="1"/>
  <c r="I23" i="42" s="1"/>
  <c r="K23" i="42" s="1"/>
  <c r="I22" i="42"/>
  <c r="K22" i="42" s="1"/>
  <c r="G22" i="42"/>
  <c r="E22" i="42"/>
  <c r="I21" i="42"/>
  <c r="K21" i="42" s="1"/>
  <c r="G21" i="42"/>
  <c r="E21" i="42"/>
  <c r="E20" i="42"/>
  <c r="G20" i="42" s="1"/>
  <c r="I20" i="42" s="1"/>
  <c r="K20" i="42" s="1"/>
  <c r="I19" i="42"/>
  <c r="K19" i="42" s="1"/>
  <c r="G19" i="42"/>
  <c r="E19" i="42"/>
  <c r="K18" i="42"/>
  <c r="I18" i="42"/>
  <c r="G18" i="42"/>
  <c r="E18" i="42"/>
  <c r="K17" i="42"/>
  <c r="E17" i="42"/>
  <c r="G17" i="42" s="1"/>
  <c r="I17" i="42" s="1"/>
  <c r="G16" i="42"/>
  <c r="I16" i="42" s="1"/>
  <c r="K16" i="42" s="1"/>
  <c r="E16" i="42"/>
  <c r="G15" i="42"/>
  <c r="I15" i="42" s="1"/>
  <c r="K15" i="42" s="1"/>
  <c r="E15" i="42"/>
  <c r="K14" i="42"/>
  <c r="E14" i="42"/>
  <c r="G14" i="42" s="1"/>
  <c r="I14" i="42" s="1"/>
  <c r="G13" i="42"/>
  <c r="I13" i="42" s="1"/>
  <c r="K13" i="42" s="1"/>
  <c r="E13" i="42"/>
  <c r="I12" i="42"/>
  <c r="K12" i="42" s="1"/>
  <c r="G12" i="42"/>
  <c r="E12" i="42"/>
  <c r="K11" i="42"/>
  <c r="E11" i="42"/>
  <c r="G11" i="42" s="1"/>
  <c r="I11" i="42" s="1"/>
  <c r="G10" i="42"/>
  <c r="I10" i="42" s="1"/>
  <c r="K10" i="42" s="1"/>
  <c r="E10" i="42"/>
  <c r="K9" i="42"/>
  <c r="G9" i="42"/>
  <c r="I9" i="42" s="1"/>
  <c r="E9" i="42"/>
  <c r="E8" i="42"/>
  <c r="G8" i="42" s="1"/>
  <c r="I8" i="42" s="1"/>
  <c r="K8" i="42" s="1"/>
  <c r="K7" i="42"/>
  <c r="I7" i="42"/>
  <c r="G7" i="42"/>
  <c r="E7" i="42"/>
  <c r="G6" i="42"/>
  <c r="I6" i="42" s="1"/>
  <c r="K6" i="42" s="1"/>
  <c r="E6" i="42"/>
  <c r="G5" i="42"/>
  <c r="I5" i="42" s="1"/>
  <c r="K5" i="42" s="1"/>
  <c r="E5" i="42"/>
  <c r="I4" i="42"/>
  <c r="K4" i="42" s="1"/>
  <c r="G4" i="42"/>
  <c r="E4" i="42"/>
  <c r="I3" i="42"/>
  <c r="K3" i="42" s="1"/>
  <c r="G3" i="42"/>
  <c r="E3" i="42"/>
  <c r="G2" i="42"/>
  <c r="I2" i="42" s="1"/>
  <c r="K2" i="42" s="1"/>
  <c r="E2" i="42"/>
  <c r="G60" i="41"/>
  <c r="I60" i="41" s="1"/>
  <c r="K60" i="41" s="1"/>
  <c r="E60" i="41"/>
  <c r="G59" i="41"/>
  <c r="I59" i="41" s="1"/>
  <c r="K59" i="41" s="1"/>
  <c r="E59" i="41"/>
  <c r="K58" i="41"/>
  <c r="G58" i="41"/>
  <c r="I58" i="41" s="1"/>
  <c r="E58" i="41"/>
  <c r="G57" i="41"/>
  <c r="I57" i="41" s="1"/>
  <c r="K57" i="41" s="1"/>
  <c r="E57" i="41"/>
  <c r="K56" i="41"/>
  <c r="I56" i="41"/>
  <c r="G56" i="41"/>
  <c r="E56" i="41"/>
  <c r="G55" i="41"/>
  <c r="I55" i="41" s="1"/>
  <c r="K55" i="41" s="1"/>
  <c r="E55" i="41"/>
  <c r="I54" i="41"/>
  <c r="K54" i="41" s="1"/>
  <c r="G54" i="41"/>
  <c r="E54" i="41"/>
  <c r="K53" i="41"/>
  <c r="I53" i="41"/>
  <c r="G53" i="41"/>
  <c r="E53" i="41"/>
  <c r="K52" i="41"/>
  <c r="G52" i="41"/>
  <c r="I52" i="41" s="1"/>
  <c r="E52" i="41"/>
  <c r="G51" i="41"/>
  <c r="I51" i="41" s="1"/>
  <c r="K51" i="41" s="1"/>
  <c r="E51" i="41"/>
  <c r="K50" i="41"/>
  <c r="I50" i="41"/>
  <c r="G50" i="41"/>
  <c r="E50" i="41"/>
  <c r="G49" i="41"/>
  <c r="I49" i="41" s="1"/>
  <c r="K49" i="41" s="1"/>
  <c r="E49" i="41"/>
  <c r="G48" i="41"/>
  <c r="I48" i="41" s="1"/>
  <c r="K48" i="41" s="1"/>
  <c r="E48" i="41"/>
  <c r="G47" i="41"/>
  <c r="I47" i="41" s="1"/>
  <c r="K47" i="41" s="1"/>
  <c r="E47" i="41"/>
  <c r="K46" i="41"/>
  <c r="G46" i="41"/>
  <c r="I46" i="41" s="1"/>
  <c r="E46" i="41"/>
  <c r="I45" i="41"/>
  <c r="K45" i="41" s="1"/>
  <c r="G45" i="41"/>
  <c r="E45" i="41"/>
  <c r="G44" i="41"/>
  <c r="I44" i="41" s="1"/>
  <c r="K44" i="41" s="1"/>
  <c r="E44" i="41"/>
  <c r="K43" i="41"/>
  <c r="G43" i="41"/>
  <c r="I43" i="41" s="1"/>
  <c r="E43" i="41"/>
  <c r="G42" i="41"/>
  <c r="I42" i="41" s="1"/>
  <c r="K42" i="41" s="1"/>
  <c r="E42" i="41"/>
  <c r="G41" i="41"/>
  <c r="I41" i="41" s="1"/>
  <c r="K41" i="41" s="1"/>
  <c r="E41" i="41"/>
  <c r="K40" i="41"/>
  <c r="G40" i="41"/>
  <c r="I40" i="41" s="1"/>
  <c r="E40" i="41"/>
  <c r="I39" i="41"/>
  <c r="K39" i="41" s="1"/>
  <c r="G39" i="41"/>
  <c r="E39" i="41"/>
  <c r="G38" i="41"/>
  <c r="I38" i="41" s="1"/>
  <c r="K38" i="41" s="1"/>
  <c r="E38" i="41"/>
  <c r="G37" i="41"/>
  <c r="I37" i="41" s="1"/>
  <c r="K37" i="41" s="1"/>
  <c r="E37" i="41"/>
  <c r="G36" i="41"/>
  <c r="I36" i="41" s="1"/>
  <c r="K36" i="41" s="1"/>
  <c r="E36" i="41"/>
  <c r="G35" i="41"/>
  <c r="I35" i="41" s="1"/>
  <c r="K35" i="41" s="1"/>
  <c r="E35" i="41"/>
  <c r="K34" i="41"/>
  <c r="I34" i="41"/>
  <c r="G34" i="41"/>
  <c r="E34" i="41"/>
  <c r="G33" i="41"/>
  <c r="I33" i="41" s="1"/>
  <c r="K33" i="41" s="1"/>
  <c r="E33" i="41"/>
  <c r="G32" i="41"/>
  <c r="I32" i="41" s="1"/>
  <c r="K32" i="41" s="1"/>
  <c r="E32" i="41"/>
  <c r="I31" i="41"/>
  <c r="K31" i="41" s="1"/>
  <c r="G31" i="41"/>
  <c r="E31" i="41"/>
  <c r="G30" i="41"/>
  <c r="I30" i="41" s="1"/>
  <c r="K30" i="41" s="1"/>
  <c r="E30" i="41"/>
  <c r="G29" i="41"/>
  <c r="I29" i="41" s="1"/>
  <c r="K29" i="41" s="1"/>
  <c r="E29" i="41"/>
  <c r="I28" i="41"/>
  <c r="K28" i="41" s="1"/>
  <c r="G28" i="41"/>
  <c r="E28" i="41"/>
  <c r="G27" i="41"/>
  <c r="I27" i="41" s="1"/>
  <c r="K27" i="41" s="1"/>
  <c r="E27" i="41"/>
  <c r="K26" i="41"/>
  <c r="G26" i="41"/>
  <c r="I26" i="41" s="1"/>
  <c r="E26" i="41"/>
  <c r="G25" i="41"/>
  <c r="I25" i="41" s="1"/>
  <c r="K25" i="41" s="1"/>
  <c r="E25" i="41"/>
  <c r="G24" i="41"/>
  <c r="I24" i="41" s="1"/>
  <c r="K24" i="41" s="1"/>
  <c r="E24" i="41"/>
  <c r="G23" i="41"/>
  <c r="I23" i="41" s="1"/>
  <c r="K23" i="41" s="1"/>
  <c r="E23" i="41"/>
  <c r="K22" i="41"/>
  <c r="I22" i="41"/>
  <c r="G22" i="41"/>
  <c r="E22" i="41"/>
  <c r="G21" i="41"/>
  <c r="I21" i="41" s="1"/>
  <c r="K21" i="41" s="1"/>
  <c r="E21" i="41"/>
  <c r="K20" i="41"/>
  <c r="G20" i="41"/>
  <c r="I20" i="41" s="1"/>
  <c r="E20" i="41"/>
  <c r="I19" i="41"/>
  <c r="K19" i="41" s="1"/>
  <c r="G19" i="41"/>
  <c r="E19" i="41"/>
  <c r="G18" i="41"/>
  <c r="I18" i="41" s="1"/>
  <c r="K18" i="41" s="1"/>
  <c r="E18" i="41"/>
  <c r="G17" i="41"/>
  <c r="I17" i="41" s="1"/>
  <c r="K17" i="41" s="1"/>
  <c r="E17" i="41"/>
  <c r="G16" i="41"/>
  <c r="I16" i="41" s="1"/>
  <c r="K16" i="41" s="1"/>
  <c r="E16" i="41"/>
  <c r="G15" i="41"/>
  <c r="I15" i="41" s="1"/>
  <c r="K15" i="41" s="1"/>
  <c r="E15" i="41"/>
  <c r="K14" i="41"/>
  <c r="G14" i="41"/>
  <c r="I14" i="41" s="1"/>
  <c r="E14" i="41"/>
  <c r="G13" i="41"/>
  <c r="I13" i="41" s="1"/>
  <c r="K13" i="41" s="1"/>
  <c r="E13" i="41"/>
  <c r="G12" i="41"/>
  <c r="I12" i="41" s="1"/>
  <c r="K12" i="41" s="1"/>
  <c r="E12" i="41"/>
  <c r="G11" i="41"/>
  <c r="I11" i="41" s="1"/>
  <c r="K11" i="41" s="1"/>
  <c r="E11" i="41"/>
  <c r="K10" i="41"/>
  <c r="I10" i="41"/>
  <c r="G10" i="41"/>
  <c r="E10" i="41"/>
  <c r="G9" i="41"/>
  <c r="I9" i="41" s="1"/>
  <c r="K9" i="41" s="1"/>
  <c r="E9" i="41"/>
  <c r="G8" i="41"/>
  <c r="I8" i="41" s="1"/>
  <c r="K8" i="41" s="1"/>
  <c r="E8" i="41"/>
  <c r="I7" i="41"/>
  <c r="K7" i="41" s="1"/>
  <c r="G7" i="41"/>
  <c r="E7" i="41"/>
  <c r="G6" i="41"/>
  <c r="I6" i="41" s="1"/>
  <c r="K6" i="41" s="1"/>
  <c r="E6" i="41"/>
  <c r="G5" i="41"/>
  <c r="I5" i="41" s="1"/>
  <c r="K5" i="41" s="1"/>
  <c r="E5" i="41"/>
  <c r="I4" i="41"/>
  <c r="K4" i="41" s="1"/>
  <c r="G4" i="41"/>
  <c r="E4" i="41"/>
  <c r="G3" i="41"/>
  <c r="I3" i="41" s="1"/>
  <c r="K3" i="41" s="1"/>
  <c r="E3" i="41"/>
  <c r="I119" i="39"/>
  <c r="K119" i="39" s="1"/>
  <c r="G119" i="39"/>
  <c r="E119" i="39"/>
  <c r="G118" i="39"/>
  <c r="I118" i="39" s="1"/>
  <c r="K118" i="39" s="1"/>
  <c r="E118" i="39"/>
  <c r="I117" i="39"/>
  <c r="K117" i="39" s="1"/>
  <c r="G117" i="39"/>
  <c r="E117" i="39"/>
  <c r="I116" i="39"/>
  <c r="K116" i="39" s="1"/>
  <c r="G116" i="39"/>
  <c r="E116" i="39"/>
  <c r="G115" i="39"/>
  <c r="I115" i="39" s="1"/>
  <c r="K115" i="39" s="1"/>
  <c r="E115" i="39"/>
  <c r="I114" i="39"/>
  <c r="K114" i="39" s="1"/>
  <c r="G114" i="39"/>
  <c r="E114" i="39"/>
  <c r="I113" i="39"/>
  <c r="K113" i="39" s="1"/>
  <c r="G113" i="39"/>
  <c r="E113" i="39"/>
  <c r="G112" i="39"/>
  <c r="I112" i="39" s="1"/>
  <c r="K112" i="39" s="1"/>
  <c r="E112" i="39"/>
  <c r="I111" i="39"/>
  <c r="K111" i="39" s="1"/>
  <c r="G111" i="39"/>
  <c r="E111" i="39"/>
  <c r="I110" i="39"/>
  <c r="K110" i="39" s="1"/>
  <c r="G110" i="39"/>
  <c r="E110" i="39"/>
  <c r="G109" i="39"/>
  <c r="I109" i="39" s="1"/>
  <c r="K109" i="39" s="1"/>
  <c r="E109" i="39"/>
  <c r="K108" i="39"/>
  <c r="I108" i="39"/>
  <c r="G108" i="39"/>
  <c r="E108" i="39"/>
  <c r="I107" i="39"/>
  <c r="K107" i="39" s="1"/>
  <c r="G107" i="39"/>
  <c r="E107" i="39"/>
  <c r="G106" i="39"/>
  <c r="I106" i="39" s="1"/>
  <c r="K106" i="39" s="1"/>
  <c r="E106" i="39"/>
  <c r="I105" i="39"/>
  <c r="K105" i="39" s="1"/>
  <c r="G105" i="39"/>
  <c r="E105" i="39"/>
  <c r="I104" i="39"/>
  <c r="K104" i="39" s="1"/>
  <c r="G104" i="39"/>
  <c r="E104" i="39"/>
  <c r="G103" i="39"/>
  <c r="I103" i="39" s="1"/>
  <c r="K103" i="39" s="1"/>
  <c r="E103" i="39"/>
  <c r="I102" i="39"/>
  <c r="K102" i="39" s="1"/>
  <c r="G102" i="39"/>
  <c r="E102" i="39"/>
  <c r="I101" i="39"/>
  <c r="K101" i="39" s="1"/>
  <c r="G101" i="39"/>
  <c r="E101" i="39"/>
  <c r="G100" i="39"/>
  <c r="I100" i="39" s="1"/>
  <c r="K100" i="39" s="1"/>
  <c r="E100" i="39"/>
  <c r="I99" i="39"/>
  <c r="K99" i="39" s="1"/>
  <c r="G99" i="39"/>
  <c r="E99" i="39"/>
  <c r="I98" i="39"/>
  <c r="K98" i="39" s="1"/>
  <c r="G98" i="39"/>
  <c r="E98" i="39"/>
  <c r="G97" i="39"/>
  <c r="I97" i="39" s="1"/>
  <c r="K97" i="39" s="1"/>
  <c r="E97" i="39"/>
  <c r="K96" i="39"/>
  <c r="I96" i="39"/>
  <c r="G96" i="39"/>
  <c r="E96" i="39"/>
  <c r="I95" i="39"/>
  <c r="K95" i="39" s="1"/>
  <c r="G95" i="39"/>
  <c r="E95" i="39"/>
  <c r="G94" i="39"/>
  <c r="I94" i="39" s="1"/>
  <c r="K94" i="39" s="1"/>
  <c r="E94" i="39"/>
  <c r="I93" i="39"/>
  <c r="K93" i="39" s="1"/>
  <c r="G93" i="39"/>
  <c r="E93" i="39"/>
  <c r="I92" i="39"/>
  <c r="K92" i="39" s="1"/>
  <c r="G92" i="39"/>
  <c r="E92" i="39"/>
  <c r="G91" i="39"/>
  <c r="I91" i="39" s="1"/>
  <c r="K91" i="39" s="1"/>
  <c r="E91" i="39"/>
  <c r="I90" i="39"/>
  <c r="K90" i="39" s="1"/>
  <c r="G90" i="39"/>
  <c r="E90" i="39"/>
  <c r="I89" i="39"/>
  <c r="K89" i="39" s="1"/>
  <c r="G89" i="39"/>
  <c r="E89" i="39"/>
  <c r="G88" i="39"/>
  <c r="I88" i="39" s="1"/>
  <c r="K88" i="39" s="1"/>
  <c r="E88" i="39"/>
  <c r="I87" i="39"/>
  <c r="K87" i="39" s="1"/>
  <c r="G87" i="39"/>
  <c r="E87" i="39"/>
  <c r="I86" i="39"/>
  <c r="K86" i="39" s="1"/>
  <c r="G86" i="39"/>
  <c r="E86" i="39"/>
  <c r="G85" i="39"/>
  <c r="I85" i="39" s="1"/>
  <c r="K85" i="39" s="1"/>
  <c r="E85" i="39"/>
  <c r="K84" i="39"/>
  <c r="I84" i="39"/>
  <c r="G84" i="39"/>
  <c r="E84" i="39"/>
  <c r="I83" i="39"/>
  <c r="K83" i="39" s="1"/>
  <c r="G83" i="39"/>
  <c r="E83" i="39"/>
  <c r="G82" i="39"/>
  <c r="I82" i="39" s="1"/>
  <c r="K82" i="39" s="1"/>
  <c r="E82" i="39"/>
  <c r="I81" i="39"/>
  <c r="K81" i="39" s="1"/>
  <c r="G81" i="39"/>
  <c r="E81" i="39"/>
  <c r="I80" i="39"/>
  <c r="K80" i="39" s="1"/>
  <c r="G80" i="39"/>
  <c r="E80" i="39"/>
  <c r="G79" i="39"/>
  <c r="I79" i="39" s="1"/>
  <c r="K79" i="39" s="1"/>
  <c r="E79" i="39"/>
  <c r="I78" i="39"/>
  <c r="K78" i="39" s="1"/>
  <c r="G78" i="39"/>
  <c r="E78" i="39"/>
  <c r="I77" i="39"/>
  <c r="K77" i="39" s="1"/>
  <c r="G77" i="39"/>
  <c r="E77" i="39"/>
  <c r="G76" i="39"/>
  <c r="I76" i="39" s="1"/>
  <c r="K76" i="39" s="1"/>
  <c r="E76" i="39"/>
  <c r="I75" i="39"/>
  <c r="K75" i="39" s="1"/>
  <c r="G75" i="39"/>
  <c r="E75" i="39"/>
  <c r="I74" i="39"/>
  <c r="K74" i="39" s="1"/>
  <c r="G74" i="39"/>
  <c r="E74" i="39"/>
  <c r="G73" i="39"/>
  <c r="I73" i="39" s="1"/>
  <c r="K73" i="39" s="1"/>
  <c r="E73" i="39"/>
  <c r="K72" i="39"/>
  <c r="I72" i="39"/>
  <c r="G72" i="39"/>
  <c r="E72" i="39"/>
  <c r="I71" i="39"/>
  <c r="K71" i="39" s="1"/>
  <c r="G71" i="39"/>
  <c r="E71" i="39"/>
  <c r="G70" i="39"/>
  <c r="I70" i="39" s="1"/>
  <c r="K70" i="39" s="1"/>
  <c r="E70" i="39"/>
  <c r="I69" i="39"/>
  <c r="K69" i="39" s="1"/>
  <c r="G69" i="39"/>
  <c r="E69" i="39"/>
  <c r="I68" i="39"/>
  <c r="K68" i="39" s="1"/>
  <c r="G68" i="39"/>
  <c r="E68" i="39"/>
  <c r="G67" i="39"/>
  <c r="I67" i="39" s="1"/>
  <c r="K67" i="39" s="1"/>
  <c r="E67" i="39"/>
  <c r="I66" i="39"/>
  <c r="K66" i="39" s="1"/>
  <c r="G66" i="39"/>
  <c r="E66" i="39"/>
  <c r="I65" i="39"/>
  <c r="K65" i="39" s="1"/>
  <c r="G65" i="39"/>
  <c r="E65" i="39"/>
  <c r="G64" i="39"/>
  <c r="I64" i="39" s="1"/>
  <c r="K64" i="39" s="1"/>
  <c r="E64" i="39"/>
  <c r="I63" i="39"/>
  <c r="K63" i="39" s="1"/>
  <c r="G63" i="39"/>
  <c r="E63" i="39"/>
  <c r="I62" i="39"/>
  <c r="K62" i="39" s="1"/>
  <c r="G62" i="39"/>
  <c r="E62" i="39"/>
  <c r="G61" i="39"/>
  <c r="I61" i="39" s="1"/>
  <c r="K61" i="39" s="1"/>
  <c r="E61" i="39"/>
  <c r="K60" i="39"/>
  <c r="I60" i="39"/>
  <c r="G60" i="39"/>
  <c r="E60" i="39"/>
  <c r="I59" i="39"/>
  <c r="K59" i="39" s="1"/>
  <c r="G59" i="39"/>
  <c r="E59" i="39"/>
  <c r="G58" i="39"/>
  <c r="I58" i="39" s="1"/>
  <c r="K58" i="39" s="1"/>
  <c r="E58" i="39"/>
  <c r="I57" i="39"/>
  <c r="K57" i="39" s="1"/>
  <c r="G57" i="39"/>
  <c r="E57" i="39"/>
  <c r="I56" i="39"/>
  <c r="K56" i="39" s="1"/>
  <c r="G56" i="39"/>
  <c r="E56" i="39"/>
  <c r="G55" i="39"/>
  <c r="I55" i="39" s="1"/>
  <c r="K55" i="39" s="1"/>
  <c r="E55" i="39"/>
  <c r="I54" i="39"/>
  <c r="K54" i="39" s="1"/>
  <c r="G54" i="39"/>
  <c r="E54" i="39"/>
  <c r="I53" i="39"/>
  <c r="K53" i="39" s="1"/>
  <c r="G53" i="39"/>
  <c r="E53" i="39"/>
  <c r="G52" i="39"/>
  <c r="I52" i="39" s="1"/>
  <c r="K52" i="39" s="1"/>
  <c r="E52" i="39"/>
  <c r="I51" i="39"/>
  <c r="K51" i="39" s="1"/>
  <c r="G51" i="39"/>
  <c r="E51" i="39"/>
  <c r="I50" i="39"/>
  <c r="K50" i="39" s="1"/>
  <c r="G50" i="39"/>
  <c r="E50" i="39"/>
  <c r="G49" i="39"/>
  <c r="I49" i="39" s="1"/>
  <c r="K49" i="39" s="1"/>
  <c r="E49" i="39"/>
  <c r="K48" i="39"/>
  <c r="I48" i="39"/>
  <c r="G48" i="39"/>
  <c r="E48" i="39"/>
  <c r="I47" i="39"/>
  <c r="K47" i="39" s="1"/>
  <c r="G47" i="39"/>
  <c r="E47" i="39"/>
  <c r="G46" i="39"/>
  <c r="I46" i="39" s="1"/>
  <c r="K46" i="39" s="1"/>
  <c r="E46" i="39"/>
  <c r="I45" i="39"/>
  <c r="K45" i="39" s="1"/>
  <c r="G45" i="39"/>
  <c r="E45" i="39"/>
  <c r="I44" i="39"/>
  <c r="K44" i="39" s="1"/>
  <c r="G44" i="39"/>
  <c r="E44" i="39"/>
  <c r="G43" i="39"/>
  <c r="I43" i="39" s="1"/>
  <c r="K43" i="39" s="1"/>
  <c r="E43" i="39"/>
  <c r="I42" i="39"/>
  <c r="K42" i="39" s="1"/>
  <c r="G42" i="39"/>
  <c r="E42" i="39"/>
  <c r="I41" i="39"/>
  <c r="K41" i="39" s="1"/>
  <c r="G41" i="39"/>
  <c r="E41" i="39"/>
  <c r="G40" i="39"/>
  <c r="I40" i="39" s="1"/>
  <c r="K40" i="39" s="1"/>
  <c r="E40" i="39"/>
  <c r="I39" i="39"/>
  <c r="K39" i="39" s="1"/>
  <c r="G39" i="39"/>
  <c r="E39" i="39"/>
  <c r="I38" i="39"/>
  <c r="K38" i="39" s="1"/>
  <c r="G38" i="39"/>
  <c r="E38" i="39"/>
  <c r="G37" i="39"/>
  <c r="I37" i="39" s="1"/>
  <c r="K37" i="39" s="1"/>
  <c r="E37" i="39"/>
  <c r="K36" i="39"/>
  <c r="I36" i="39"/>
  <c r="G36" i="39"/>
  <c r="E36" i="39"/>
  <c r="I35" i="39"/>
  <c r="K35" i="39" s="1"/>
  <c r="G35" i="39"/>
  <c r="E35" i="39"/>
  <c r="G34" i="39"/>
  <c r="I34" i="39" s="1"/>
  <c r="K34" i="39" s="1"/>
  <c r="E34" i="39"/>
  <c r="I33" i="39"/>
  <c r="K33" i="39" s="1"/>
  <c r="G33" i="39"/>
  <c r="E33" i="39"/>
  <c r="I32" i="39"/>
  <c r="K32" i="39" s="1"/>
  <c r="G32" i="39"/>
  <c r="E32" i="39"/>
  <c r="G31" i="39"/>
  <c r="I31" i="39" s="1"/>
  <c r="K31" i="39" s="1"/>
  <c r="E31" i="39"/>
  <c r="I30" i="39"/>
  <c r="K30" i="39" s="1"/>
  <c r="G30" i="39"/>
  <c r="E30" i="39"/>
  <c r="I29" i="39"/>
  <c r="K29" i="39" s="1"/>
  <c r="G29" i="39"/>
  <c r="E29" i="39"/>
  <c r="G28" i="39"/>
  <c r="I28" i="39" s="1"/>
  <c r="K28" i="39" s="1"/>
  <c r="E28" i="39"/>
  <c r="I27" i="39"/>
  <c r="K27" i="39" s="1"/>
  <c r="G27" i="39"/>
  <c r="E27" i="39"/>
  <c r="I26" i="39"/>
  <c r="K26" i="39" s="1"/>
  <c r="G26" i="39"/>
  <c r="E26" i="39"/>
  <c r="G25" i="39"/>
  <c r="I25" i="39" s="1"/>
  <c r="K25" i="39" s="1"/>
  <c r="E25" i="39"/>
  <c r="K24" i="39"/>
  <c r="I24" i="39"/>
  <c r="G24" i="39"/>
  <c r="E24" i="39"/>
  <c r="I23" i="39"/>
  <c r="K23" i="39" s="1"/>
  <c r="G23" i="39"/>
  <c r="E23" i="39"/>
  <c r="G22" i="39"/>
  <c r="I22" i="39" s="1"/>
  <c r="K22" i="39" s="1"/>
  <c r="E22" i="39"/>
  <c r="I21" i="39"/>
  <c r="K21" i="39" s="1"/>
  <c r="G21" i="39"/>
  <c r="E21" i="39"/>
  <c r="I20" i="39"/>
  <c r="K20" i="39" s="1"/>
  <c r="G20" i="39"/>
  <c r="E20" i="39"/>
  <c r="G19" i="39"/>
  <c r="I19" i="39" s="1"/>
  <c r="K19" i="39" s="1"/>
  <c r="E19" i="39"/>
  <c r="I18" i="39"/>
  <c r="K18" i="39" s="1"/>
  <c r="G18" i="39"/>
  <c r="E18" i="39"/>
  <c r="I17" i="39"/>
  <c r="K17" i="39" s="1"/>
  <c r="G17" i="39"/>
  <c r="E17" i="39"/>
  <c r="G16" i="39"/>
  <c r="I16" i="39" s="1"/>
  <c r="K16" i="39" s="1"/>
  <c r="E16" i="39"/>
  <c r="I15" i="39"/>
  <c r="K15" i="39" s="1"/>
  <c r="G15" i="39"/>
  <c r="E15" i="39"/>
  <c r="I14" i="39"/>
  <c r="K14" i="39" s="1"/>
  <c r="G14" i="39"/>
  <c r="E14" i="39"/>
  <c r="G13" i="39"/>
  <c r="I13" i="39" s="1"/>
  <c r="K13" i="39" s="1"/>
  <c r="E13" i="39"/>
  <c r="K12" i="39"/>
  <c r="I12" i="39"/>
  <c r="G12" i="39"/>
  <c r="E12" i="39"/>
  <c r="I11" i="39"/>
  <c r="K11" i="39" s="1"/>
  <c r="G11" i="39"/>
  <c r="E11" i="39"/>
  <c r="G10" i="39"/>
  <c r="I10" i="39" s="1"/>
  <c r="K10" i="39" s="1"/>
  <c r="E10" i="39"/>
  <c r="I9" i="39"/>
  <c r="K9" i="39" s="1"/>
  <c r="G9" i="39"/>
  <c r="E9" i="39"/>
  <c r="I8" i="39"/>
  <c r="K8" i="39" s="1"/>
  <c r="G8" i="39"/>
  <c r="E8" i="39"/>
  <c r="G7" i="39"/>
  <c r="I7" i="39" s="1"/>
  <c r="K7" i="39" s="1"/>
  <c r="E7" i="39"/>
  <c r="I6" i="39"/>
  <c r="K6" i="39" s="1"/>
  <c r="G6" i="39"/>
  <c r="E6" i="39"/>
  <c r="I5" i="39"/>
  <c r="K5" i="39" s="1"/>
  <c r="G5" i="39"/>
  <c r="E5" i="39"/>
  <c r="G4" i="39"/>
  <c r="I4" i="39" s="1"/>
  <c r="K4" i="39" s="1"/>
  <c r="E4" i="39"/>
  <c r="I3" i="39"/>
  <c r="K3" i="39" s="1"/>
  <c r="G3" i="39"/>
  <c r="E3" i="39"/>
  <c r="I2" i="39"/>
  <c r="K2" i="39" s="1"/>
  <c r="G2" i="39"/>
  <c r="E2" i="39"/>
  <c r="G1" i="39"/>
  <c r="I1" i="39" s="1"/>
  <c r="K1" i="39" s="1"/>
  <c r="E1" i="39"/>
  <c r="K45" i="37"/>
  <c r="L45" i="37" s="1"/>
  <c r="J45" i="37"/>
  <c r="H45" i="37"/>
  <c r="I45" i="37" s="1"/>
  <c r="H44" i="37"/>
  <c r="I44" i="37" s="1"/>
  <c r="H43" i="37"/>
  <c r="I43" i="37" s="1"/>
  <c r="K42" i="37"/>
  <c r="J42" i="37"/>
  <c r="I42" i="37"/>
  <c r="H42" i="37"/>
  <c r="H41" i="37"/>
  <c r="I41" i="37" s="1"/>
  <c r="H40" i="37"/>
  <c r="I40" i="37" s="1"/>
  <c r="L39" i="37"/>
  <c r="J39" i="37"/>
  <c r="I39" i="37"/>
  <c r="K39" i="37" s="1"/>
  <c r="H39" i="37"/>
  <c r="K38" i="37"/>
  <c r="J38" i="37"/>
  <c r="I38" i="37"/>
  <c r="H38" i="37"/>
  <c r="H37" i="37"/>
  <c r="I37" i="37" s="1"/>
  <c r="K36" i="37"/>
  <c r="I36" i="37"/>
  <c r="J36" i="37" s="1"/>
  <c r="H36" i="37"/>
  <c r="H35" i="37"/>
  <c r="I35" i="37" s="1"/>
  <c r="I34" i="37"/>
  <c r="H34" i="37"/>
  <c r="K33" i="37"/>
  <c r="J33" i="37"/>
  <c r="L33" i="37" s="1"/>
  <c r="H33" i="37"/>
  <c r="I33" i="37" s="1"/>
  <c r="H32" i="37"/>
  <c r="I32" i="37" s="1"/>
  <c r="H31" i="37"/>
  <c r="I31" i="37" s="1"/>
  <c r="K30" i="37"/>
  <c r="I30" i="37"/>
  <c r="H30" i="37"/>
  <c r="H29" i="37"/>
  <c r="I29" i="37" s="1"/>
  <c r="I28" i="37"/>
  <c r="H28" i="37"/>
  <c r="I27" i="37"/>
  <c r="H27" i="37"/>
  <c r="K26" i="37"/>
  <c r="J26" i="37"/>
  <c r="I26" i="37"/>
  <c r="H26" i="37"/>
  <c r="H25" i="37"/>
  <c r="I25" i="37" s="1"/>
  <c r="I24" i="37"/>
  <c r="J24" i="37" s="1"/>
  <c r="H24" i="37"/>
  <c r="H23" i="37"/>
  <c r="I23" i="37" s="1"/>
  <c r="I22" i="37"/>
  <c r="H22" i="37"/>
  <c r="L21" i="37"/>
  <c r="K21" i="37"/>
  <c r="J21" i="37"/>
  <c r="H21" i="37"/>
  <c r="I21" i="37" s="1"/>
  <c r="H20" i="37"/>
  <c r="I20" i="37" s="1"/>
  <c r="I19" i="37"/>
  <c r="H19" i="37"/>
  <c r="I18" i="37"/>
  <c r="K18" i="37" s="1"/>
  <c r="E18" i="37"/>
  <c r="G18" i="37" s="1"/>
  <c r="E17" i="37"/>
  <c r="G17" i="37" s="1"/>
  <c r="I17" i="37" s="1"/>
  <c r="K17" i="37" s="1"/>
  <c r="G16" i="37"/>
  <c r="I16" i="37" s="1"/>
  <c r="K16" i="37" s="1"/>
  <c r="E16" i="37"/>
  <c r="E15" i="37"/>
  <c r="G15" i="37" s="1"/>
  <c r="I15" i="37" s="1"/>
  <c r="K15" i="37" s="1"/>
  <c r="E14" i="37"/>
  <c r="G14" i="37" s="1"/>
  <c r="I14" i="37" s="1"/>
  <c r="K14" i="37" s="1"/>
  <c r="E13" i="37"/>
  <c r="G13" i="37" s="1"/>
  <c r="I13" i="37" s="1"/>
  <c r="K13" i="37" s="1"/>
  <c r="G12" i="37"/>
  <c r="I12" i="37" s="1"/>
  <c r="K12" i="37" s="1"/>
  <c r="E12" i="37"/>
  <c r="G11" i="37"/>
  <c r="I11" i="37" s="1"/>
  <c r="K11" i="37" s="1"/>
  <c r="E11" i="37"/>
  <c r="I10" i="37"/>
  <c r="K10" i="37" s="1"/>
  <c r="G10" i="37"/>
  <c r="E10" i="37"/>
  <c r="E9" i="37"/>
  <c r="G9" i="37" s="1"/>
  <c r="I9" i="37" s="1"/>
  <c r="K9" i="37" s="1"/>
  <c r="G8" i="37"/>
  <c r="I8" i="37" s="1"/>
  <c r="K8" i="37" s="1"/>
  <c r="E8" i="37"/>
  <c r="G7" i="37"/>
  <c r="I7" i="37" s="1"/>
  <c r="K7" i="37" s="1"/>
  <c r="E7" i="37"/>
  <c r="I6" i="37"/>
  <c r="K6" i="37" s="1"/>
  <c r="E6" i="37"/>
  <c r="G6" i="37" s="1"/>
  <c r="E5" i="37"/>
  <c r="G5" i="37" s="1"/>
  <c r="I5" i="37" s="1"/>
  <c r="K5" i="37" s="1"/>
  <c r="G4" i="37"/>
  <c r="I4" i="37" s="1"/>
  <c r="K4" i="37" s="1"/>
  <c r="E4" i="37"/>
  <c r="E3" i="37"/>
  <c r="G3" i="37" s="1"/>
  <c r="I3" i="37" s="1"/>
  <c r="K3" i="37" s="1"/>
  <c r="E32" i="36"/>
  <c r="G32" i="36" s="1"/>
  <c r="I32" i="36" s="1"/>
  <c r="K32" i="36" s="1"/>
  <c r="E31" i="36"/>
  <c r="G31" i="36" s="1"/>
  <c r="I31" i="36" s="1"/>
  <c r="K31" i="36" s="1"/>
  <c r="G30" i="36"/>
  <c r="I30" i="36" s="1"/>
  <c r="K30" i="36" s="1"/>
  <c r="E30" i="36"/>
  <c r="G29" i="36"/>
  <c r="I29" i="36" s="1"/>
  <c r="K29" i="36" s="1"/>
  <c r="E29" i="36"/>
  <c r="I28" i="36"/>
  <c r="K28" i="36" s="1"/>
  <c r="G28" i="36"/>
  <c r="E28" i="36"/>
  <c r="E27" i="36"/>
  <c r="G27" i="36" s="1"/>
  <c r="I27" i="36" s="1"/>
  <c r="K27" i="36" s="1"/>
  <c r="G26" i="36"/>
  <c r="I26" i="36" s="1"/>
  <c r="K26" i="36" s="1"/>
  <c r="E26" i="36"/>
  <c r="E25" i="36"/>
  <c r="G25" i="36" s="1"/>
  <c r="I25" i="36" s="1"/>
  <c r="K25" i="36" s="1"/>
  <c r="G24" i="36"/>
  <c r="I24" i="36" s="1"/>
  <c r="K24" i="36" s="1"/>
  <c r="E24" i="36"/>
  <c r="E23" i="36"/>
  <c r="G23" i="36" s="1"/>
  <c r="I23" i="36" s="1"/>
  <c r="K23" i="36" s="1"/>
  <c r="G22" i="36"/>
  <c r="I22" i="36" s="1"/>
  <c r="K22" i="36" s="1"/>
  <c r="E22" i="36"/>
  <c r="E21" i="36"/>
  <c r="G21" i="36" s="1"/>
  <c r="I21" i="36" s="1"/>
  <c r="K21" i="36" s="1"/>
  <c r="G20" i="36"/>
  <c r="I20" i="36" s="1"/>
  <c r="K20" i="36" s="1"/>
  <c r="E20" i="36"/>
  <c r="E19" i="36"/>
  <c r="G19" i="36" s="1"/>
  <c r="I19" i="36" s="1"/>
  <c r="K19" i="36" s="1"/>
  <c r="G18" i="36"/>
  <c r="I18" i="36" s="1"/>
  <c r="K18" i="36" s="1"/>
  <c r="E18" i="36"/>
  <c r="I17" i="36"/>
  <c r="K17" i="36" s="1"/>
  <c r="G17" i="36"/>
  <c r="E17" i="36"/>
  <c r="E16" i="36"/>
  <c r="G16" i="36" s="1"/>
  <c r="I16" i="36" s="1"/>
  <c r="K16" i="36" s="1"/>
  <c r="E15" i="36"/>
  <c r="G15" i="36" s="1"/>
  <c r="I15" i="36" s="1"/>
  <c r="K15" i="36" s="1"/>
  <c r="G14" i="36"/>
  <c r="I14" i="36" s="1"/>
  <c r="K14" i="36" s="1"/>
  <c r="E14" i="36"/>
  <c r="G13" i="36"/>
  <c r="I13" i="36" s="1"/>
  <c r="K13" i="36" s="1"/>
  <c r="E13" i="36"/>
  <c r="I12" i="36"/>
  <c r="K12" i="36" s="1"/>
  <c r="G12" i="36"/>
  <c r="E12" i="36"/>
  <c r="E11" i="36"/>
  <c r="G11" i="36" s="1"/>
  <c r="I11" i="36" s="1"/>
  <c r="K11" i="36" s="1"/>
  <c r="G10" i="36"/>
  <c r="I10" i="36" s="1"/>
  <c r="K10" i="36" s="1"/>
  <c r="E10" i="36"/>
  <c r="E9" i="36"/>
  <c r="G9" i="36" s="1"/>
  <c r="I9" i="36" s="1"/>
  <c r="K9" i="36" s="1"/>
  <c r="G8" i="36"/>
  <c r="I8" i="36" s="1"/>
  <c r="K8" i="36" s="1"/>
  <c r="E8" i="36"/>
  <c r="E7" i="36"/>
  <c r="G7" i="36" s="1"/>
  <c r="I7" i="36" s="1"/>
  <c r="K7" i="36" s="1"/>
  <c r="G6" i="36"/>
  <c r="I6" i="36" s="1"/>
  <c r="K6" i="36" s="1"/>
  <c r="E6" i="36"/>
  <c r="E5" i="36"/>
  <c r="G5" i="36" s="1"/>
  <c r="I5" i="36" s="1"/>
  <c r="K5" i="36" s="1"/>
  <c r="G4" i="36"/>
  <c r="I4" i="36" s="1"/>
  <c r="K4" i="36" s="1"/>
  <c r="E4" i="36"/>
  <c r="E3" i="36"/>
  <c r="G3" i="36" s="1"/>
  <c r="I3" i="36" s="1"/>
  <c r="K3" i="36" s="1"/>
  <c r="G2" i="36"/>
  <c r="I2" i="36" s="1"/>
  <c r="K2" i="36" s="1"/>
  <c r="E2" i="36"/>
  <c r="I22" i="35"/>
  <c r="K22" i="35" s="1"/>
  <c r="G22" i="35"/>
  <c r="E22" i="35"/>
  <c r="E21" i="35"/>
  <c r="G21" i="35" s="1"/>
  <c r="I21" i="35" s="1"/>
  <c r="K21" i="35" s="1"/>
  <c r="E20" i="35"/>
  <c r="G20" i="35" s="1"/>
  <c r="I20" i="35" s="1"/>
  <c r="K20" i="35" s="1"/>
  <c r="G19" i="35"/>
  <c r="I19" i="35" s="1"/>
  <c r="K19" i="35" s="1"/>
  <c r="E19" i="35"/>
  <c r="G18" i="35"/>
  <c r="I18" i="35" s="1"/>
  <c r="K18" i="35" s="1"/>
  <c r="E18" i="35"/>
  <c r="I17" i="35"/>
  <c r="K17" i="35" s="1"/>
  <c r="G17" i="35"/>
  <c r="E17" i="35"/>
  <c r="E16" i="35"/>
  <c r="G16" i="35" s="1"/>
  <c r="I16" i="35" s="1"/>
  <c r="K16" i="35" s="1"/>
  <c r="G15" i="35"/>
  <c r="I15" i="35" s="1"/>
  <c r="K15" i="35" s="1"/>
  <c r="E15" i="35"/>
  <c r="E14" i="35"/>
  <c r="G14" i="35" s="1"/>
  <c r="I14" i="35" s="1"/>
  <c r="K14" i="35" s="1"/>
  <c r="G13" i="35"/>
  <c r="I13" i="35" s="1"/>
  <c r="K13" i="35" s="1"/>
  <c r="E13" i="35"/>
  <c r="E12" i="35"/>
  <c r="G12" i="35" s="1"/>
  <c r="I12" i="35" s="1"/>
  <c r="K12" i="35" s="1"/>
  <c r="G11" i="35"/>
  <c r="I11" i="35" s="1"/>
  <c r="K11" i="35" s="1"/>
  <c r="E11" i="35"/>
  <c r="E10" i="35"/>
  <c r="G10" i="35" s="1"/>
  <c r="I10" i="35" s="1"/>
  <c r="K10" i="35" s="1"/>
  <c r="I9" i="35"/>
  <c r="K9" i="35" s="1"/>
  <c r="G9" i="35"/>
  <c r="E9" i="35"/>
  <c r="G8" i="35"/>
  <c r="I8" i="35" s="1"/>
  <c r="K8" i="35" s="1"/>
  <c r="E8" i="35"/>
  <c r="K7" i="35"/>
  <c r="G7" i="35"/>
  <c r="I7" i="35" s="1"/>
  <c r="E7" i="35"/>
  <c r="E6" i="35"/>
  <c r="G6" i="35" s="1"/>
  <c r="I6" i="35" s="1"/>
  <c r="K6" i="35" s="1"/>
  <c r="G5" i="35"/>
  <c r="I5" i="35" s="1"/>
  <c r="K5" i="35" s="1"/>
  <c r="E5" i="35"/>
  <c r="G4" i="35"/>
  <c r="I4" i="35" s="1"/>
  <c r="K4" i="35" s="1"/>
  <c r="E4" i="35"/>
  <c r="E3" i="35"/>
  <c r="G3" i="35" s="1"/>
  <c r="I3" i="35" s="1"/>
  <c r="K3" i="35" s="1"/>
  <c r="G2" i="35"/>
  <c r="I2" i="35" s="1"/>
  <c r="K2" i="35" s="1"/>
  <c r="E2" i="35"/>
  <c r="E87" i="34"/>
  <c r="G87" i="34" s="1"/>
  <c r="I87" i="34" s="1"/>
  <c r="K87" i="34" s="1"/>
  <c r="E86" i="34"/>
  <c r="G86" i="34" s="1"/>
  <c r="I86" i="34" s="1"/>
  <c r="K86" i="34" s="1"/>
  <c r="G85" i="34"/>
  <c r="I85" i="34" s="1"/>
  <c r="K85" i="34" s="1"/>
  <c r="E85" i="34"/>
  <c r="E84" i="34"/>
  <c r="G84" i="34" s="1"/>
  <c r="I84" i="34" s="1"/>
  <c r="K84" i="34" s="1"/>
  <c r="K83" i="34"/>
  <c r="I83" i="34"/>
  <c r="G83" i="34"/>
  <c r="E83" i="34"/>
  <c r="G82" i="34"/>
  <c r="I82" i="34" s="1"/>
  <c r="K82" i="34" s="1"/>
  <c r="E82" i="34"/>
  <c r="K81" i="34"/>
  <c r="G81" i="34"/>
  <c r="I81" i="34" s="1"/>
  <c r="E81" i="34"/>
  <c r="E80" i="34"/>
  <c r="G80" i="34" s="1"/>
  <c r="I80" i="34" s="1"/>
  <c r="K80" i="34" s="1"/>
  <c r="G79" i="34"/>
  <c r="I79" i="34" s="1"/>
  <c r="K79" i="34" s="1"/>
  <c r="E79" i="34"/>
  <c r="G78" i="34"/>
  <c r="I78" i="34" s="1"/>
  <c r="K78" i="34" s="1"/>
  <c r="E78" i="34"/>
  <c r="E77" i="34"/>
  <c r="G77" i="34" s="1"/>
  <c r="I77" i="34" s="1"/>
  <c r="K77" i="34" s="1"/>
  <c r="G76" i="34"/>
  <c r="I76" i="34" s="1"/>
  <c r="K76" i="34" s="1"/>
  <c r="E76" i="34"/>
  <c r="E75" i="34"/>
  <c r="G75" i="34" s="1"/>
  <c r="I75" i="34" s="1"/>
  <c r="K75" i="34" s="1"/>
  <c r="I74" i="34"/>
  <c r="K74" i="34" s="1"/>
  <c r="E74" i="34"/>
  <c r="G74" i="34" s="1"/>
  <c r="G73" i="34"/>
  <c r="I73" i="34" s="1"/>
  <c r="K73" i="34" s="1"/>
  <c r="E73" i="34"/>
  <c r="E72" i="34"/>
  <c r="G72" i="34" s="1"/>
  <c r="I72" i="34" s="1"/>
  <c r="K72" i="34" s="1"/>
  <c r="G71" i="34"/>
  <c r="I71" i="34" s="1"/>
  <c r="K71" i="34" s="1"/>
  <c r="E71" i="34"/>
  <c r="G70" i="34"/>
  <c r="I70" i="34" s="1"/>
  <c r="K70" i="34" s="1"/>
  <c r="E70" i="34"/>
  <c r="K69" i="34"/>
  <c r="G69" i="34"/>
  <c r="I69" i="34" s="1"/>
  <c r="E69" i="34"/>
  <c r="E68" i="34"/>
  <c r="G68" i="34" s="1"/>
  <c r="I68" i="34" s="1"/>
  <c r="K68" i="34" s="1"/>
  <c r="G67" i="34"/>
  <c r="I67" i="34" s="1"/>
  <c r="K67" i="34" s="1"/>
  <c r="E67" i="34"/>
  <c r="G66" i="34"/>
  <c r="I66" i="34" s="1"/>
  <c r="K66" i="34" s="1"/>
  <c r="E66" i="34"/>
  <c r="E65" i="34"/>
  <c r="G65" i="34" s="1"/>
  <c r="I65" i="34" s="1"/>
  <c r="K65" i="34" s="1"/>
  <c r="G64" i="34"/>
  <c r="I64" i="34" s="1"/>
  <c r="K64" i="34" s="1"/>
  <c r="E64" i="34"/>
  <c r="E63" i="34"/>
  <c r="G63" i="34" s="1"/>
  <c r="I63" i="34" s="1"/>
  <c r="K63" i="34" s="1"/>
  <c r="E62" i="34"/>
  <c r="G62" i="34" s="1"/>
  <c r="I62" i="34" s="1"/>
  <c r="K62" i="34" s="1"/>
  <c r="G61" i="34"/>
  <c r="I61" i="34" s="1"/>
  <c r="K61" i="34" s="1"/>
  <c r="E61" i="34"/>
  <c r="E60" i="34"/>
  <c r="G60" i="34" s="1"/>
  <c r="I60" i="34" s="1"/>
  <c r="K60" i="34" s="1"/>
  <c r="I59" i="34"/>
  <c r="K59" i="34" s="1"/>
  <c r="G59" i="34"/>
  <c r="E59" i="34"/>
  <c r="G58" i="34"/>
  <c r="I58" i="34" s="1"/>
  <c r="K58" i="34" s="1"/>
  <c r="E58" i="34"/>
  <c r="K57" i="34"/>
  <c r="G57" i="34"/>
  <c r="I57" i="34" s="1"/>
  <c r="E57" i="34"/>
  <c r="E56" i="34"/>
  <c r="G56" i="34" s="1"/>
  <c r="I56" i="34" s="1"/>
  <c r="K56" i="34" s="1"/>
  <c r="G55" i="34"/>
  <c r="I55" i="34" s="1"/>
  <c r="K55" i="34" s="1"/>
  <c r="E55" i="34"/>
  <c r="G54" i="34"/>
  <c r="I54" i="34" s="1"/>
  <c r="K54" i="34" s="1"/>
  <c r="E54" i="34"/>
  <c r="E53" i="34"/>
  <c r="G53" i="34" s="1"/>
  <c r="I53" i="34" s="1"/>
  <c r="K53" i="34" s="1"/>
  <c r="G52" i="34"/>
  <c r="I52" i="34" s="1"/>
  <c r="K52" i="34" s="1"/>
  <c r="E52" i="34"/>
  <c r="G51" i="34"/>
  <c r="I51" i="34" s="1"/>
  <c r="K51" i="34" s="1"/>
  <c r="E51" i="34"/>
  <c r="I50" i="34"/>
  <c r="K50" i="34" s="1"/>
  <c r="E50" i="34"/>
  <c r="G50" i="34" s="1"/>
  <c r="G49" i="34"/>
  <c r="I49" i="34" s="1"/>
  <c r="K49" i="34" s="1"/>
  <c r="E49" i="34"/>
  <c r="E48" i="34"/>
  <c r="G48" i="34" s="1"/>
  <c r="I48" i="34" s="1"/>
  <c r="K48" i="34" s="1"/>
  <c r="I47" i="34"/>
  <c r="K47" i="34" s="1"/>
  <c r="G47" i="34"/>
  <c r="E47" i="34"/>
  <c r="G46" i="34"/>
  <c r="I46" i="34" s="1"/>
  <c r="K46" i="34" s="1"/>
  <c r="E46" i="34"/>
  <c r="K45" i="34"/>
  <c r="G45" i="34"/>
  <c r="I45" i="34" s="1"/>
  <c r="E45" i="34"/>
  <c r="E44" i="34"/>
  <c r="G44" i="34" s="1"/>
  <c r="I44" i="34" s="1"/>
  <c r="K44" i="34" s="1"/>
  <c r="G43" i="34"/>
  <c r="I43" i="34" s="1"/>
  <c r="K43" i="34" s="1"/>
  <c r="E43" i="34"/>
  <c r="G42" i="34"/>
  <c r="I42" i="34" s="1"/>
  <c r="K42" i="34" s="1"/>
  <c r="E42" i="34"/>
  <c r="E41" i="34"/>
  <c r="G41" i="34" s="1"/>
  <c r="I41" i="34" s="1"/>
  <c r="K41" i="34" s="1"/>
  <c r="G40" i="34"/>
  <c r="I40" i="34" s="1"/>
  <c r="K40" i="34" s="1"/>
  <c r="E40" i="34"/>
  <c r="E39" i="34"/>
  <c r="G39" i="34" s="1"/>
  <c r="I39" i="34" s="1"/>
  <c r="K39" i="34" s="1"/>
  <c r="E38" i="34"/>
  <c r="G38" i="34" s="1"/>
  <c r="I38" i="34" s="1"/>
  <c r="K38" i="34" s="1"/>
  <c r="G37" i="34"/>
  <c r="I37" i="34" s="1"/>
  <c r="K37" i="34" s="1"/>
  <c r="E37" i="34"/>
  <c r="E36" i="34"/>
  <c r="G36" i="34" s="1"/>
  <c r="I36" i="34" s="1"/>
  <c r="K36" i="34" s="1"/>
  <c r="G35" i="34"/>
  <c r="I35" i="34" s="1"/>
  <c r="K35" i="34" s="1"/>
  <c r="E35" i="34"/>
  <c r="G34" i="34"/>
  <c r="I34" i="34" s="1"/>
  <c r="K34" i="34" s="1"/>
  <c r="E34" i="34"/>
  <c r="K33" i="34"/>
  <c r="G33" i="34"/>
  <c r="I33" i="34" s="1"/>
  <c r="E33" i="34"/>
  <c r="E32" i="34"/>
  <c r="G32" i="34" s="1"/>
  <c r="I32" i="34" s="1"/>
  <c r="K32" i="34" s="1"/>
  <c r="G31" i="34"/>
  <c r="I31" i="34" s="1"/>
  <c r="K31" i="34" s="1"/>
  <c r="E31" i="34"/>
  <c r="G30" i="34"/>
  <c r="I30" i="34" s="1"/>
  <c r="K30" i="34" s="1"/>
  <c r="E30" i="34"/>
  <c r="E29" i="34"/>
  <c r="G29" i="34" s="1"/>
  <c r="I29" i="34" s="1"/>
  <c r="K29" i="34" s="1"/>
  <c r="G28" i="34"/>
  <c r="I28" i="34" s="1"/>
  <c r="K28" i="34" s="1"/>
  <c r="E28" i="34"/>
  <c r="G27" i="34"/>
  <c r="I27" i="34" s="1"/>
  <c r="K27" i="34" s="1"/>
  <c r="E27" i="34"/>
  <c r="I26" i="34"/>
  <c r="K26" i="34" s="1"/>
  <c r="E26" i="34"/>
  <c r="G26" i="34" s="1"/>
  <c r="G25" i="34"/>
  <c r="I25" i="34" s="1"/>
  <c r="K25" i="34" s="1"/>
  <c r="E25" i="34"/>
  <c r="E24" i="34"/>
  <c r="G24" i="34" s="1"/>
  <c r="I24" i="34" s="1"/>
  <c r="K24" i="34" s="1"/>
  <c r="G23" i="34"/>
  <c r="I23" i="34" s="1"/>
  <c r="K23" i="34" s="1"/>
  <c r="E23" i="34"/>
  <c r="G22" i="34"/>
  <c r="I22" i="34" s="1"/>
  <c r="K22" i="34" s="1"/>
  <c r="E22" i="34"/>
  <c r="K21" i="34"/>
  <c r="G21" i="34"/>
  <c r="I21" i="34" s="1"/>
  <c r="E21" i="34"/>
  <c r="E20" i="34"/>
  <c r="G20" i="34" s="1"/>
  <c r="I20" i="34" s="1"/>
  <c r="K20" i="34" s="1"/>
  <c r="G19" i="34"/>
  <c r="I19" i="34" s="1"/>
  <c r="K19" i="34" s="1"/>
  <c r="E19" i="34"/>
  <c r="G18" i="34"/>
  <c r="I18" i="34" s="1"/>
  <c r="K18" i="34" s="1"/>
  <c r="E18" i="34"/>
  <c r="E17" i="34"/>
  <c r="G17" i="34" s="1"/>
  <c r="I17" i="34" s="1"/>
  <c r="K17" i="34" s="1"/>
  <c r="G16" i="34"/>
  <c r="I16" i="34" s="1"/>
  <c r="K16" i="34" s="1"/>
  <c r="E16" i="34"/>
  <c r="K15" i="34"/>
  <c r="E15" i="34"/>
  <c r="G15" i="34" s="1"/>
  <c r="I15" i="34" s="1"/>
  <c r="I14" i="34"/>
  <c r="K14" i="34" s="1"/>
  <c r="E14" i="34"/>
  <c r="G14" i="34" s="1"/>
  <c r="G13" i="34"/>
  <c r="I13" i="34" s="1"/>
  <c r="K13" i="34" s="1"/>
  <c r="E13" i="34"/>
  <c r="E12" i="34"/>
  <c r="G12" i="34" s="1"/>
  <c r="I12" i="34" s="1"/>
  <c r="K12" i="34" s="1"/>
  <c r="G11" i="34"/>
  <c r="I11" i="34" s="1"/>
  <c r="K11" i="34" s="1"/>
  <c r="E11" i="34"/>
  <c r="G10" i="34"/>
  <c r="I10" i="34" s="1"/>
  <c r="K10" i="34" s="1"/>
  <c r="E10" i="34"/>
  <c r="K9" i="34"/>
  <c r="G9" i="34"/>
  <c r="I9" i="34" s="1"/>
  <c r="E9" i="34"/>
  <c r="E8" i="34"/>
  <c r="G8" i="34" s="1"/>
  <c r="I8" i="34" s="1"/>
  <c r="K8" i="34" s="1"/>
  <c r="K7" i="34"/>
  <c r="G7" i="34"/>
  <c r="I7" i="34" s="1"/>
  <c r="E7" i="34"/>
  <c r="G6" i="34"/>
  <c r="I6" i="34" s="1"/>
  <c r="K6" i="34" s="1"/>
  <c r="E6" i="34"/>
  <c r="E5" i="34"/>
  <c r="G5" i="34" s="1"/>
  <c r="I5" i="34" s="1"/>
  <c r="K5" i="34" s="1"/>
  <c r="G4" i="34"/>
  <c r="I4" i="34" s="1"/>
  <c r="K4" i="34" s="1"/>
  <c r="E4" i="34"/>
  <c r="E3" i="34"/>
  <c r="G3" i="34" s="1"/>
  <c r="I3" i="34" s="1"/>
  <c r="K3" i="34" s="1"/>
  <c r="E2" i="34"/>
  <c r="G2" i="34" s="1"/>
  <c r="I2" i="34" s="1"/>
  <c r="K2" i="34" s="1"/>
  <c r="G18" i="33"/>
  <c r="I18" i="33" s="1"/>
  <c r="K18" i="33" s="1"/>
  <c r="E18" i="33"/>
  <c r="G17" i="33"/>
  <c r="I17" i="33" s="1"/>
  <c r="K17" i="33" s="1"/>
  <c r="E17" i="33"/>
  <c r="E16" i="33"/>
  <c r="G16" i="33" s="1"/>
  <c r="I16" i="33" s="1"/>
  <c r="K16" i="33" s="1"/>
  <c r="G15" i="33"/>
  <c r="I15" i="33" s="1"/>
  <c r="K15" i="33" s="1"/>
  <c r="E15" i="33"/>
  <c r="E14" i="33"/>
  <c r="G14" i="33" s="1"/>
  <c r="I14" i="33" s="1"/>
  <c r="K14" i="33" s="1"/>
  <c r="I13" i="33"/>
  <c r="K13" i="33" s="1"/>
  <c r="G13" i="33"/>
  <c r="E13" i="33"/>
  <c r="G12" i="33"/>
  <c r="I12" i="33" s="1"/>
  <c r="K12" i="33" s="1"/>
  <c r="E12" i="33"/>
  <c r="I11" i="33"/>
  <c r="K11" i="33" s="1"/>
  <c r="G11" i="33"/>
  <c r="E11" i="33"/>
  <c r="K10" i="33"/>
  <c r="G10" i="33"/>
  <c r="I10" i="33" s="1"/>
  <c r="E10" i="33"/>
  <c r="G9" i="33"/>
  <c r="I9" i="33" s="1"/>
  <c r="K9" i="33" s="1"/>
  <c r="E9" i="33"/>
  <c r="E8" i="33"/>
  <c r="G8" i="33" s="1"/>
  <c r="I8" i="33" s="1"/>
  <c r="K8" i="33" s="1"/>
  <c r="E7" i="33"/>
  <c r="G7" i="33" s="1"/>
  <c r="I7" i="33" s="1"/>
  <c r="K7" i="33" s="1"/>
  <c r="K6" i="33"/>
  <c r="G6" i="33"/>
  <c r="I6" i="33" s="1"/>
  <c r="E6" i="33"/>
  <c r="E5" i="33"/>
  <c r="G5" i="33" s="1"/>
  <c r="I5" i="33" s="1"/>
  <c r="K5" i="33" s="1"/>
  <c r="K4" i="33"/>
  <c r="G4" i="33"/>
  <c r="I4" i="33" s="1"/>
  <c r="E4" i="33"/>
  <c r="K3" i="33"/>
  <c r="G3" i="33"/>
  <c r="I3" i="33" s="1"/>
  <c r="E3" i="33"/>
  <c r="E2" i="33"/>
  <c r="G2" i="33" s="1"/>
  <c r="I2" i="33" s="1"/>
  <c r="K2" i="33" s="1"/>
  <c r="I107" i="32"/>
  <c r="K107" i="32" s="1"/>
  <c r="E107" i="32"/>
  <c r="G107" i="32" s="1"/>
  <c r="G106" i="32"/>
  <c r="I106" i="32" s="1"/>
  <c r="K106" i="32" s="1"/>
  <c r="E106" i="32"/>
  <c r="E105" i="32"/>
  <c r="G105" i="32" s="1"/>
  <c r="I105" i="32" s="1"/>
  <c r="K105" i="32" s="1"/>
  <c r="G104" i="32"/>
  <c r="I104" i="32" s="1"/>
  <c r="K104" i="32" s="1"/>
  <c r="E104" i="32"/>
  <c r="K103" i="32"/>
  <c r="G103" i="32"/>
  <c r="I103" i="32" s="1"/>
  <c r="E103" i="32"/>
  <c r="E102" i="32"/>
  <c r="G102" i="32" s="1"/>
  <c r="I102" i="32" s="1"/>
  <c r="K102" i="32" s="1"/>
  <c r="E101" i="32"/>
  <c r="G101" i="32" s="1"/>
  <c r="I101" i="32" s="1"/>
  <c r="K101" i="32" s="1"/>
  <c r="G100" i="32"/>
  <c r="I100" i="32" s="1"/>
  <c r="K100" i="32" s="1"/>
  <c r="E100" i="32"/>
  <c r="E99" i="32"/>
  <c r="G99" i="32" s="1"/>
  <c r="I99" i="32" s="1"/>
  <c r="K99" i="32" s="1"/>
  <c r="E98" i="32"/>
  <c r="G98" i="32" s="1"/>
  <c r="I98" i="32" s="1"/>
  <c r="K98" i="32" s="1"/>
  <c r="K97" i="32"/>
  <c r="G97" i="32"/>
  <c r="I97" i="32" s="1"/>
  <c r="E97" i="32"/>
  <c r="I96" i="32"/>
  <c r="K96" i="32" s="1"/>
  <c r="G96" i="32"/>
  <c r="E96" i="32"/>
  <c r="E95" i="32"/>
  <c r="G95" i="32" s="1"/>
  <c r="I95" i="32" s="1"/>
  <c r="K95" i="32" s="1"/>
  <c r="K94" i="32"/>
  <c r="G94" i="32"/>
  <c r="I94" i="32" s="1"/>
  <c r="E94" i="32"/>
  <c r="G93" i="32"/>
  <c r="I93" i="32" s="1"/>
  <c r="K93" i="32" s="1"/>
  <c r="E93" i="32"/>
  <c r="E92" i="32"/>
  <c r="G92" i="32" s="1"/>
  <c r="I92" i="32" s="1"/>
  <c r="K92" i="32" s="1"/>
  <c r="G91" i="32"/>
  <c r="I91" i="32" s="1"/>
  <c r="K91" i="32" s="1"/>
  <c r="E91" i="32"/>
  <c r="E90" i="32"/>
  <c r="G90" i="32" s="1"/>
  <c r="I90" i="32" s="1"/>
  <c r="K90" i="32" s="1"/>
  <c r="E89" i="32"/>
  <c r="G89" i="32" s="1"/>
  <c r="I89" i="32" s="1"/>
  <c r="K89" i="32" s="1"/>
  <c r="G88" i="32"/>
  <c r="I88" i="32" s="1"/>
  <c r="K88" i="32" s="1"/>
  <c r="E88" i="32"/>
  <c r="G87" i="32"/>
  <c r="I87" i="32" s="1"/>
  <c r="K87" i="32" s="1"/>
  <c r="E87" i="32"/>
  <c r="E86" i="32"/>
  <c r="G86" i="32" s="1"/>
  <c r="I86" i="32" s="1"/>
  <c r="K86" i="32" s="1"/>
  <c r="G85" i="32"/>
  <c r="I85" i="32" s="1"/>
  <c r="K85" i="32" s="1"/>
  <c r="E85" i="32"/>
  <c r="E84" i="32"/>
  <c r="G84" i="32" s="1"/>
  <c r="I84" i="32" s="1"/>
  <c r="K84" i="32" s="1"/>
  <c r="I83" i="32"/>
  <c r="K83" i="32" s="1"/>
  <c r="G83" i="32"/>
  <c r="E83" i="32"/>
  <c r="G82" i="32"/>
  <c r="I82" i="32" s="1"/>
  <c r="K82" i="32" s="1"/>
  <c r="E82" i="32"/>
  <c r="I81" i="32"/>
  <c r="K81" i="32" s="1"/>
  <c r="G81" i="32"/>
  <c r="E81" i="32"/>
  <c r="K80" i="32"/>
  <c r="G80" i="32"/>
  <c r="I80" i="32" s="1"/>
  <c r="E80" i="32"/>
  <c r="G79" i="32"/>
  <c r="I79" i="32" s="1"/>
  <c r="K79" i="32" s="1"/>
  <c r="E79" i="32"/>
  <c r="E78" i="32"/>
  <c r="G78" i="32" s="1"/>
  <c r="I78" i="32" s="1"/>
  <c r="K78" i="32" s="1"/>
  <c r="E77" i="32"/>
  <c r="G77" i="32" s="1"/>
  <c r="I77" i="32" s="1"/>
  <c r="K77" i="32" s="1"/>
  <c r="K76" i="32"/>
  <c r="G76" i="32"/>
  <c r="I76" i="32" s="1"/>
  <c r="E76" i="32"/>
  <c r="E75" i="32"/>
  <c r="G75" i="32" s="1"/>
  <c r="I75" i="32" s="1"/>
  <c r="K75" i="32" s="1"/>
  <c r="K74" i="32"/>
  <c r="G74" i="32"/>
  <c r="I74" i="32" s="1"/>
  <c r="E74" i="32"/>
  <c r="K73" i="32"/>
  <c r="I73" i="32"/>
  <c r="G73" i="32"/>
  <c r="E73" i="32"/>
  <c r="E72" i="32"/>
  <c r="G72" i="32" s="1"/>
  <c r="I72" i="32" s="1"/>
  <c r="K72" i="32" s="1"/>
  <c r="K71" i="32"/>
  <c r="G71" i="32"/>
  <c r="I71" i="32" s="1"/>
  <c r="E71" i="32"/>
  <c r="K70" i="32"/>
  <c r="I70" i="32"/>
  <c r="G70" i="32"/>
  <c r="E70" i="32"/>
  <c r="G69" i="32"/>
  <c r="I69" i="32" s="1"/>
  <c r="K69" i="32" s="1"/>
  <c r="E69" i="32"/>
  <c r="K68" i="32"/>
  <c r="G68" i="32"/>
  <c r="I68" i="32" s="1"/>
  <c r="E68" i="32"/>
  <c r="K67" i="32"/>
  <c r="I67" i="32"/>
  <c r="G67" i="32"/>
  <c r="E67" i="32"/>
  <c r="E66" i="32"/>
  <c r="G66" i="32" s="1"/>
  <c r="I66" i="32" s="1"/>
  <c r="K66" i="32" s="1"/>
  <c r="G65" i="32"/>
  <c r="I65" i="32" s="1"/>
  <c r="K65" i="32" s="1"/>
  <c r="E65" i="32"/>
  <c r="K64" i="32"/>
  <c r="I64" i="32"/>
  <c r="G64" i="32"/>
  <c r="E64" i="32"/>
  <c r="E63" i="32"/>
  <c r="G63" i="32" s="1"/>
  <c r="I63" i="32" s="1"/>
  <c r="K63" i="32" s="1"/>
  <c r="K62" i="32"/>
  <c r="G62" i="32"/>
  <c r="I62" i="32" s="1"/>
  <c r="E62" i="32"/>
  <c r="K61" i="32"/>
  <c r="I61" i="32"/>
  <c r="G61" i="32"/>
  <c r="E61" i="32"/>
  <c r="E60" i="32"/>
  <c r="G60" i="32" s="1"/>
  <c r="I60" i="32" s="1"/>
  <c r="K60" i="32" s="1"/>
  <c r="K59" i="32"/>
  <c r="G59" i="32"/>
  <c r="I59" i="32" s="1"/>
  <c r="E59" i="32"/>
  <c r="K58" i="32"/>
  <c r="I58" i="32"/>
  <c r="G58" i="32"/>
  <c r="E58" i="32"/>
  <c r="G57" i="32"/>
  <c r="I57" i="32" s="1"/>
  <c r="K57" i="32" s="1"/>
  <c r="E57" i="32"/>
  <c r="K56" i="32"/>
  <c r="G56" i="32"/>
  <c r="I56" i="32" s="1"/>
  <c r="E56" i="32"/>
  <c r="K55" i="32"/>
  <c r="I55" i="32"/>
  <c r="G55" i="32"/>
  <c r="E55" i="32"/>
  <c r="E54" i="32"/>
  <c r="G54" i="32" s="1"/>
  <c r="I54" i="32" s="1"/>
  <c r="K54" i="32" s="1"/>
  <c r="G53" i="32"/>
  <c r="I53" i="32" s="1"/>
  <c r="K53" i="32" s="1"/>
  <c r="E53" i="32"/>
  <c r="K52" i="32"/>
  <c r="I52" i="32"/>
  <c r="G52" i="32"/>
  <c r="E52" i="32"/>
  <c r="E51" i="32"/>
  <c r="G51" i="32" s="1"/>
  <c r="I51" i="32" s="1"/>
  <c r="K51" i="32" s="1"/>
  <c r="K50" i="32"/>
  <c r="G50" i="32"/>
  <c r="I50" i="32" s="1"/>
  <c r="E50" i="32"/>
  <c r="K49" i="32"/>
  <c r="I49" i="32"/>
  <c r="G49" i="32"/>
  <c r="E49" i="32"/>
  <c r="E48" i="32"/>
  <c r="G48" i="32" s="1"/>
  <c r="I48" i="32" s="1"/>
  <c r="K48" i="32" s="1"/>
  <c r="K47" i="32"/>
  <c r="G47" i="32"/>
  <c r="I47" i="32" s="1"/>
  <c r="E47" i="32"/>
  <c r="K46" i="32"/>
  <c r="I46" i="32"/>
  <c r="G46" i="32"/>
  <c r="E46" i="32"/>
  <c r="G45" i="32"/>
  <c r="I45" i="32" s="1"/>
  <c r="K45" i="32" s="1"/>
  <c r="E45" i="32"/>
  <c r="K44" i="32"/>
  <c r="G44" i="32"/>
  <c r="I44" i="32" s="1"/>
  <c r="E44" i="32"/>
  <c r="K43" i="32"/>
  <c r="I43" i="32"/>
  <c r="G43" i="32"/>
  <c r="E43" i="32"/>
  <c r="E42" i="32"/>
  <c r="G42" i="32" s="1"/>
  <c r="I42" i="32" s="1"/>
  <c r="K42" i="32" s="1"/>
  <c r="G41" i="32"/>
  <c r="I41" i="32" s="1"/>
  <c r="K41" i="32" s="1"/>
  <c r="E41" i="32"/>
  <c r="K40" i="32"/>
  <c r="I40" i="32"/>
  <c r="G40" i="32"/>
  <c r="E40" i="32"/>
  <c r="E39" i="32"/>
  <c r="G39" i="32" s="1"/>
  <c r="I39" i="32" s="1"/>
  <c r="K39" i="32" s="1"/>
  <c r="K38" i="32"/>
  <c r="G38" i="32"/>
  <c r="I38" i="32" s="1"/>
  <c r="E38" i="32"/>
  <c r="K37" i="32"/>
  <c r="I37" i="32"/>
  <c r="G37" i="32"/>
  <c r="E37" i="32"/>
  <c r="E36" i="32"/>
  <c r="G36" i="32" s="1"/>
  <c r="I36" i="32" s="1"/>
  <c r="K36" i="32" s="1"/>
  <c r="K35" i="32"/>
  <c r="G35" i="32"/>
  <c r="I35" i="32" s="1"/>
  <c r="E35" i="32"/>
  <c r="K34" i="32"/>
  <c r="I34" i="32"/>
  <c r="G34" i="32"/>
  <c r="E34" i="32"/>
  <c r="G33" i="32"/>
  <c r="I33" i="32" s="1"/>
  <c r="K33" i="32" s="1"/>
  <c r="E33" i="32"/>
  <c r="K32" i="32"/>
  <c r="G32" i="32"/>
  <c r="I32" i="32" s="1"/>
  <c r="E32" i="32"/>
  <c r="K31" i="32"/>
  <c r="I31" i="32"/>
  <c r="G31" i="32"/>
  <c r="E31" i="32"/>
  <c r="E30" i="32"/>
  <c r="G30" i="32" s="1"/>
  <c r="I30" i="32" s="1"/>
  <c r="K30" i="32" s="1"/>
  <c r="G29" i="32"/>
  <c r="I29" i="32" s="1"/>
  <c r="K29" i="32" s="1"/>
  <c r="E29" i="32"/>
  <c r="K28" i="32"/>
  <c r="I28" i="32"/>
  <c r="G28" i="32"/>
  <c r="E28" i="32"/>
  <c r="E27" i="32"/>
  <c r="G27" i="32" s="1"/>
  <c r="I27" i="32" s="1"/>
  <c r="K27" i="32" s="1"/>
  <c r="K26" i="32"/>
  <c r="G26" i="32"/>
  <c r="I26" i="32" s="1"/>
  <c r="E26" i="32"/>
  <c r="K25" i="32"/>
  <c r="I25" i="32"/>
  <c r="G25" i="32"/>
  <c r="E25" i="32"/>
  <c r="E24" i="32"/>
  <c r="G24" i="32" s="1"/>
  <c r="I24" i="32" s="1"/>
  <c r="K24" i="32" s="1"/>
  <c r="K23" i="32"/>
  <c r="G23" i="32"/>
  <c r="I23" i="32" s="1"/>
  <c r="E23" i="32"/>
  <c r="K22" i="32"/>
  <c r="I22" i="32"/>
  <c r="G22" i="32"/>
  <c r="E22" i="32"/>
  <c r="G21" i="32"/>
  <c r="I21" i="32" s="1"/>
  <c r="K21" i="32" s="1"/>
  <c r="E21" i="32"/>
  <c r="K20" i="32"/>
  <c r="G20" i="32"/>
  <c r="I20" i="32" s="1"/>
  <c r="E20" i="32"/>
  <c r="K19" i="32"/>
  <c r="I19" i="32"/>
  <c r="G19" i="32"/>
  <c r="E19" i="32"/>
  <c r="E18" i="32"/>
  <c r="G18" i="32" s="1"/>
  <c r="I18" i="32" s="1"/>
  <c r="K18" i="32" s="1"/>
  <c r="G17" i="32"/>
  <c r="I17" i="32" s="1"/>
  <c r="K17" i="32" s="1"/>
  <c r="E17" i="32"/>
  <c r="E16" i="32"/>
  <c r="G16" i="32" s="1"/>
  <c r="I16" i="32" s="1"/>
  <c r="K16" i="32" s="1"/>
  <c r="E15" i="32"/>
  <c r="G15" i="32" s="1"/>
  <c r="I15" i="32" s="1"/>
  <c r="K15" i="32" s="1"/>
  <c r="K14" i="32"/>
  <c r="G14" i="32"/>
  <c r="I14" i="32" s="1"/>
  <c r="E14" i="32"/>
  <c r="E13" i="32"/>
  <c r="G13" i="32" s="1"/>
  <c r="I13" i="32" s="1"/>
  <c r="K13" i="32" s="1"/>
  <c r="E12" i="32"/>
  <c r="G12" i="32" s="1"/>
  <c r="I12" i="32" s="1"/>
  <c r="K12" i="32" s="1"/>
  <c r="G11" i="32"/>
  <c r="I11" i="32" s="1"/>
  <c r="K11" i="32" s="1"/>
  <c r="E11" i="32"/>
  <c r="E10" i="32"/>
  <c r="G10" i="32" s="1"/>
  <c r="I10" i="32" s="1"/>
  <c r="K10" i="32" s="1"/>
  <c r="E9" i="32"/>
  <c r="G9" i="32" s="1"/>
  <c r="I9" i="32" s="1"/>
  <c r="K9" i="32" s="1"/>
  <c r="G8" i="32"/>
  <c r="I8" i="32" s="1"/>
  <c r="K8" i="32" s="1"/>
  <c r="E8" i="32"/>
  <c r="E7" i="32"/>
  <c r="G7" i="32" s="1"/>
  <c r="I7" i="32" s="1"/>
  <c r="K7" i="32" s="1"/>
  <c r="E6" i="32"/>
  <c r="G6" i="32" s="1"/>
  <c r="I6" i="32" s="1"/>
  <c r="K6" i="32" s="1"/>
  <c r="G5" i="32"/>
  <c r="I5" i="32" s="1"/>
  <c r="K5" i="32" s="1"/>
  <c r="E5" i="32"/>
  <c r="E4" i="32"/>
  <c r="G4" i="32" s="1"/>
  <c r="I4" i="32" s="1"/>
  <c r="K4" i="32" s="1"/>
  <c r="E3" i="32"/>
  <c r="G3" i="32" s="1"/>
  <c r="I3" i="32" s="1"/>
  <c r="K3" i="32" s="1"/>
  <c r="G2" i="32"/>
  <c r="I2" i="32" s="1"/>
  <c r="K2" i="32" s="1"/>
  <c r="E2" i="32"/>
  <c r="E21" i="30"/>
  <c r="G21" i="30" s="1"/>
  <c r="I21" i="30" s="1"/>
  <c r="K21" i="30" s="1"/>
  <c r="E20" i="30"/>
  <c r="G20" i="30" s="1"/>
  <c r="I20" i="30" s="1"/>
  <c r="K20" i="30" s="1"/>
  <c r="G19" i="30"/>
  <c r="I19" i="30" s="1"/>
  <c r="K19" i="30" s="1"/>
  <c r="E19" i="30"/>
  <c r="E18" i="30"/>
  <c r="G18" i="30" s="1"/>
  <c r="I18" i="30" s="1"/>
  <c r="K18" i="30" s="1"/>
  <c r="E17" i="30"/>
  <c r="G17" i="30" s="1"/>
  <c r="I17" i="30" s="1"/>
  <c r="K17" i="30" s="1"/>
  <c r="G16" i="30"/>
  <c r="I16" i="30" s="1"/>
  <c r="K16" i="30" s="1"/>
  <c r="E16" i="30"/>
  <c r="E15" i="30"/>
  <c r="G15" i="30" s="1"/>
  <c r="I15" i="30" s="1"/>
  <c r="K15" i="30" s="1"/>
  <c r="E14" i="30"/>
  <c r="G14" i="30" s="1"/>
  <c r="I14" i="30" s="1"/>
  <c r="K14" i="30" s="1"/>
  <c r="G13" i="30"/>
  <c r="I13" i="30" s="1"/>
  <c r="K13" i="30" s="1"/>
  <c r="E13" i="30"/>
  <c r="E12" i="30"/>
  <c r="G12" i="30" s="1"/>
  <c r="I12" i="30" s="1"/>
  <c r="K12" i="30" s="1"/>
  <c r="E11" i="30"/>
  <c r="G11" i="30" s="1"/>
  <c r="I11" i="30" s="1"/>
  <c r="K11" i="30" s="1"/>
  <c r="G10" i="30"/>
  <c r="I10" i="30" s="1"/>
  <c r="K10" i="30" s="1"/>
  <c r="E10" i="30"/>
  <c r="E9" i="30"/>
  <c r="G9" i="30" s="1"/>
  <c r="I9" i="30" s="1"/>
  <c r="K9" i="30" s="1"/>
  <c r="E8" i="30"/>
  <c r="G8" i="30" s="1"/>
  <c r="I8" i="30" s="1"/>
  <c r="K8" i="30" s="1"/>
  <c r="G7" i="30"/>
  <c r="I7" i="30" s="1"/>
  <c r="K7" i="30" s="1"/>
  <c r="E7" i="30"/>
  <c r="E6" i="30"/>
  <c r="G6" i="30" s="1"/>
  <c r="I6" i="30" s="1"/>
  <c r="K6" i="30" s="1"/>
  <c r="E5" i="30"/>
  <c r="G5" i="30" s="1"/>
  <c r="I5" i="30" s="1"/>
  <c r="K5" i="30" s="1"/>
  <c r="G4" i="30"/>
  <c r="I4" i="30" s="1"/>
  <c r="K4" i="30" s="1"/>
  <c r="E4" i="30"/>
  <c r="E3" i="30"/>
  <c r="G3" i="30" s="1"/>
  <c r="I3" i="30" s="1"/>
  <c r="K3" i="30" s="1"/>
  <c r="E2" i="30"/>
  <c r="G2" i="30" s="1"/>
  <c r="I2" i="30" s="1"/>
  <c r="K2" i="30" s="1"/>
  <c r="J33" i="29"/>
  <c r="H33" i="29"/>
  <c r="I33" i="29" s="1"/>
  <c r="K33" i="29" s="1"/>
  <c r="H32" i="29"/>
  <c r="I32" i="29" s="1"/>
  <c r="K31" i="29"/>
  <c r="H31" i="29"/>
  <c r="I31" i="29" s="1"/>
  <c r="H30" i="29"/>
  <c r="I30" i="29" s="1"/>
  <c r="H29" i="29"/>
  <c r="I29" i="29" s="1"/>
  <c r="K28" i="29"/>
  <c r="I28" i="29"/>
  <c r="J28" i="29" s="1"/>
  <c r="L28" i="29" s="1"/>
  <c r="H28" i="29"/>
  <c r="H27" i="29"/>
  <c r="I27" i="29" s="1"/>
  <c r="K26" i="29"/>
  <c r="I26" i="29"/>
  <c r="J26" i="29" s="1"/>
  <c r="H26" i="29"/>
  <c r="H25" i="29"/>
  <c r="I25" i="29" s="1"/>
  <c r="I24" i="29"/>
  <c r="H24" i="29"/>
  <c r="L23" i="29"/>
  <c r="J23" i="29"/>
  <c r="I23" i="29"/>
  <c r="K23" i="29" s="1"/>
  <c r="H23" i="29"/>
  <c r="I22" i="29"/>
  <c r="H22" i="29"/>
  <c r="H21" i="29"/>
  <c r="I21" i="29" s="1"/>
  <c r="K21" i="29" s="1"/>
  <c r="H20" i="29"/>
  <c r="I20" i="29" s="1"/>
  <c r="J19" i="29"/>
  <c r="H19" i="29"/>
  <c r="I19" i="29" s="1"/>
  <c r="H18" i="29"/>
  <c r="I18" i="29" s="1"/>
  <c r="I17" i="29"/>
  <c r="H17" i="29"/>
  <c r="K16" i="29"/>
  <c r="I16" i="29"/>
  <c r="J16" i="29" s="1"/>
  <c r="L16" i="29" s="1"/>
  <c r="H16" i="29"/>
  <c r="H15" i="29"/>
  <c r="I15" i="29" s="1"/>
  <c r="I14" i="29"/>
  <c r="H14" i="29"/>
  <c r="H13" i="29"/>
  <c r="I13" i="29" s="1"/>
  <c r="J12" i="29"/>
  <c r="I12" i="29"/>
  <c r="H12" i="29"/>
  <c r="L11" i="29"/>
  <c r="J11" i="29"/>
  <c r="I11" i="29"/>
  <c r="K11" i="29" s="1"/>
  <c r="H11" i="29"/>
  <c r="H10" i="29"/>
  <c r="I10" i="29" s="1"/>
  <c r="J9" i="29"/>
  <c r="L9" i="29" s="1"/>
  <c r="H9" i="29"/>
  <c r="I9" i="29" s="1"/>
  <c r="K9" i="29" s="1"/>
  <c r="H8" i="29"/>
  <c r="I8" i="29" s="1"/>
  <c r="H7" i="29"/>
  <c r="I7" i="29" s="1"/>
  <c r="H6" i="29"/>
  <c r="I6" i="29" s="1"/>
  <c r="H5" i="29"/>
  <c r="I5" i="29" s="1"/>
  <c r="K4" i="29"/>
  <c r="I4" i="29"/>
  <c r="J4" i="29" s="1"/>
  <c r="L4" i="29" s="1"/>
  <c r="H4" i="29"/>
  <c r="I3" i="29"/>
  <c r="H3" i="29"/>
  <c r="E34" i="28"/>
  <c r="G34" i="28" s="1"/>
  <c r="I34" i="28" s="1"/>
  <c r="K34" i="28" s="1"/>
  <c r="I33" i="28"/>
  <c r="K33" i="28" s="1"/>
  <c r="G33" i="28"/>
  <c r="E33" i="28"/>
  <c r="G32" i="28"/>
  <c r="I32" i="28" s="1"/>
  <c r="K32" i="28" s="1"/>
  <c r="E32" i="28"/>
  <c r="E31" i="28"/>
  <c r="G31" i="28" s="1"/>
  <c r="I31" i="28" s="1"/>
  <c r="K31" i="28" s="1"/>
  <c r="I30" i="28"/>
  <c r="K30" i="28" s="1"/>
  <c r="G30" i="28"/>
  <c r="E30" i="28"/>
  <c r="G29" i="28"/>
  <c r="I29" i="28" s="1"/>
  <c r="K29" i="28" s="1"/>
  <c r="E29" i="28"/>
  <c r="E28" i="28"/>
  <c r="G28" i="28" s="1"/>
  <c r="I28" i="28" s="1"/>
  <c r="K28" i="28" s="1"/>
  <c r="I27" i="28"/>
  <c r="K27" i="28" s="1"/>
  <c r="G27" i="28"/>
  <c r="E27" i="28"/>
  <c r="G26" i="28"/>
  <c r="I26" i="28" s="1"/>
  <c r="K26" i="28" s="1"/>
  <c r="E26" i="28"/>
  <c r="E25" i="28"/>
  <c r="G25" i="28" s="1"/>
  <c r="I25" i="28" s="1"/>
  <c r="K25" i="28" s="1"/>
  <c r="I24" i="28"/>
  <c r="K24" i="28" s="1"/>
  <c r="G24" i="28"/>
  <c r="E24" i="28"/>
  <c r="G23" i="28"/>
  <c r="I23" i="28" s="1"/>
  <c r="K23" i="28" s="1"/>
  <c r="E23" i="28"/>
  <c r="E22" i="28"/>
  <c r="G22" i="28" s="1"/>
  <c r="I22" i="28" s="1"/>
  <c r="K22" i="28" s="1"/>
  <c r="I21" i="28"/>
  <c r="K21" i="28" s="1"/>
  <c r="G21" i="28"/>
  <c r="E21" i="28"/>
  <c r="G20" i="28"/>
  <c r="I20" i="28" s="1"/>
  <c r="K20" i="28" s="1"/>
  <c r="E20" i="28"/>
  <c r="E19" i="28"/>
  <c r="G19" i="28" s="1"/>
  <c r="I19" i="28" s="1"/>
  <c r="K19" i="28" s="1"/>
  <c r="I18" i="28"/>
  <c r="K18" i="28" s="1"/>
  <c r="G18" i="28"/>
  <c r="E18" i="28"/>
  <c r="G17" i="28"/>
  <c r="I17" i="28" s="1"/>
  <c r="K17" i="28" s="1"/>
  <c r="E17" i="28"/>
  <c r="E16" i="28"/>
  <c r="G16" i="28" s="1"/>
  <c r="I16" i="28" s="1"/>
  <c r="K16" i="28" s="1"/>
  <c r="I15" i="28"/>
  <c r="K15" i="28" s="1"/>
  <c r="G15" i="28"/>
  <c r="E15" i="28"/>
  <c r="G14" i="28"/>
  <c r="I14" i="28" s="1"/>
  <c r="K14" i="28" s="1"/>
  <c r="E14" i="28"/>
  <c r="E13" i="28"/>
  <c r="G13" i="28" s="1"/>
  <c r="I13" i="28" s="1"/>
  <c r="K13" i="28" s="1"/>
  <c r="I12" i="28"/>
  <c r="K12" i="28" s="1"/>
  <c r="G12" i="28"/>
  <c r="E12" i="28"/>
  <c r="G11" i="28"/>
  <c r="I11" i="28" s="1"/>
  <c r="K11" i="28" s="1"/>
  <c r="E11" i="28"/>
  <c r="E10" i="28"/>
  <c r="G10" i="28" s="1"/>
  <c r="I10" i="28" s="1"/>
  <c r="K10" i="28" s="1"/>
  <c r="I9" i="28"/>
  <c r="K9" i="28" s="1"/>
  <c r="G9" i="28"/>
  <c r="E9" i="28"/>
  <c r="G8" i="28"/>
  <c r="I8" i="28" s="1"/>
  <c r="K8" i="28" s="1"/>
  <c r="E8" i="28"/>
  <c r="E7" i="28"/>
  <c r="G7" i="28" s="1"/>
  <c r="I7" i="28" s="1"/>
  <c r="K7" i="28" s="1"/>
  <c r="I6" i="28"/>
  <c r="K6" i="28" s="1"/>
  <c r="G6" i="28"/>
  <c r="E6" i="28"/>
  <c r="G5" i="28"/>
  <c r="I5" i="28" s="1"/>
  <c r="K5" i="28" s="1"/>
  <c r="E5" i="28"/>
  <c r="E4" i="28"/>
  <c r="G4" i="28" s="1"/>
  <c r="I4" i="28" s="1"/>
  <c r="K4" i="28" s="1"/>
  <c r="I3" i="28"/>
  <c r="K3" i="28" s="1"/>
  <c r="G3" i="28"/>
  <c r="E3" i="28"/>
  <c r="G2" i="28"/>
  <c r="I2" i="28" s="1"/>
  <c r="K2" i="28" s="1"/>
  <c r="E2" i="28"/>
  <c r="E8" i="27"/>
  <c r="G8" i="27" s="1"/>
  <c r="I8" i="27" s="1"/>
  <c r="K8" i="27" s="1"/>
  <c r="I7" i="27"/>
  <c r="K7" i="27" s="1"/>
  <c r="G7" i="27"/>
  <c r="E7" i="27"/>
  <c r="G6" i="27"/>
  <c r="I6" i="27" s="1"/>
  <c r="K6" i="27" s="1"/>
  <c r="E6" i="27"/>
  <c r="E5" i="27"/>
  <c r="G5" i="27" s="1"/>
  <c r="I5" i="27" s="1"/>
  <c r="K5" i="27" s="1"/>
  <c r="I4" i="27"/>
  <c r="K4" i="27" s="1"/>
  <c r="G4" i="27"/>
  <c r="E4" i="27"/>
  <c r="G3" i="27"/>
  <c r="I3" i="27" s="1"/>
  <c r="K3" i="27" s="1"/>
  <c r="E3" i="27"/>
  <c r="K2" i="27"/>
  <c r="E2" i="27"/>
  <c r="G2" i="27" s="1"/>
  <c r="I2" i="27" s="1"/>
  <c r="I27" i="26"/>
  <c r="K27" i="26" s="1"/>
  <c r="G27" i="26"/>
  <c r="E27" i="26"/>
  <c r="G26" i="26"/>
  <c r="I26" i="26" s="1"/>
  <c r="K26" i="26" s="1"/>
  <c r="E26" i="26"/>
  <c r="E25" i="26"/>
  <c r="G25" i="26" s="1"/>
  <c r="I25" i="26" s="1"/>
  <c r="K25" i="26" s="1"/>
  <c r="I24" i="26"/>
  <c r="K24" i="26" s="1"/>
  <c r="G24" i="26"/>
  <c r="E24" i="26"/>
  <c r="G23" i="26"/>
  <c r="I23" i="26" s="1"/>
  <c r="K23" i="26" s="1"/>
  <c r="E23" i="26"/>
  <c r="E22" i="26"/>
  <c r="G22" i="26" s="1"/>
  <c r="I22" i="26" s="1"/>
  <c r="K22" i="26" s="1"/>
  <c r="I21" i="26"/>
  <c r="K21" i="26" s="1"/>
  <c r="G21" i="26"/>
  <c r="E21" i="26"/>
  <c r="G20" i="26"/>
  <c r="I20" i="26" s="1"/>
  <c r="K20" i="26" s="1"/>
  <c r="E20" i="26"/>
  <c r="K19" i="26"/>
  <c r="E19" i="26"/>
  <c r="G19" i="26" s="1"/>
  <c r="I19" i="26" s="1"/>
  <c r="I18" i="26"/>
  <c r="K18" i="26" s="1"/>
  <c r="G18" i="26"/>
  <c r="E18" i="26"/>
  <c r="G17" i="26"/>
  <c r="I17" i="26" s="1"/>
  <c r="K17" i="26" s="1"/>
  <c r="E17" i="26"/>
  <c r="E16" i="26"/>
  <c r="G16" i="26" s="1"/>
  <c r="I16" i="26" s="1"/>
  <c r="K16" i="26" s="1"/>
  <c r="I15" i="26"/>
  <c r="K15" i="26" s="1"/>
  <c r="G15" i="26"/>
  <c r="E15" i="26"/>
  <c r="G14" i="26"/>
  <c r="I14" i="26" s="1"/>
  <c r="K14" i="26" s="1"/>
  <c r="E14" i="26"/>
  <c r="E13" i="26"/>
  <c r="G13" i="26" s="1"/>
  <c r="I13" i="26" s="1"/>
  <c r="K13" i="26" s="1"/>
  <c r="I12" i="26"/>
  <c r="K12" i="26" s="1"/>
  <c r="G12" i="26"/>
  <c r="E12" i="26"/>
  <c r="G11" i="26"/>
  <c r="I11" i="26" s="1"/>
  <c r="K11" i="26" s="1"/>
  <c r="E11" i="26"/>
  <c r="K10" i="26"/>
  <c r="E10" i="26"/>
  <c r="G10" i="26" s="1"/>
  <c r="I10" i="26" s="1"/>
  <c r="I9" i="26"/>
  <c r="K9" i="26" s="1"/>
  <c r="G9" i="26"/>
  <c r="E9" i="26"/>
  <c r="G8" i="26"/>
  <c r="I8" i="26" s="1"/>
  <c r="K8" i="26" s="1"/>
  <c r="E8" i="26"/>
  <c r="E7" i="26"/>
  <c r="G7" i="26" s="1"/>
  <c r="I7" i="26" s="1"/>
  <c r="K7" i="26" s="1"/>
  <c r="I6" i="26"/>
  <c r="K6" i="26" s="1"/>
  <c r="G6" i="26"/>
  <c r="E6" i="26"/>
  <c r="G5" i="26"/>
  <c r="I5" i="26" s="1"/>
  <c r="K5" i="26" s="1"/>
  <c r="E5" i="26"/>
  <c r="E4" i="26"/>
  <c r="G4" i="26" s="1"/>
  <c r="I4" i="26" s="1"/>
  <c r="K4" i="26" s="1"/>
  <c r="I3" i="26"/>
  <c r="K3" i="26" s="1"/>
  <c r="G3" i="26"/>
  <c r="E3" i="26"/>
  <c r="G2" i="26"/>
  <c r="I2" i="26" s="1"/>
  <c r="K2" i="26" s="1"/>
  <c r="E2" i="26"/>
  <c r="K168" i="25"/>
  <c r="E168" i="25"/>
  <c r="G168" i="25" s="1"/>
  <c r="I168" i="25" s="1"/>
  <c r="E167" i="25"/>
  <c r="G167" i="25" s="1"/>
  <c r="I167" i="25" s="1"/>
  <c r="K167" i="25" s="1"/>
  <c r="E166" i="25"/>
  <c r="G166" i="25" s="1"/>
  <c r="I166" i="25" s="1"/>
  <c r="K166" i="25" s="1"/>
  <c r="E165" i="25"/>
  <c r="G165" i="25" s="1"/>
  <c r="I165" i="25" s="1"/>
  <c r="K165" i="25" s="1"/>
  <c r="E164" i="25"/>
  <c r="G164" i="25" s="1"/>
  <c r="I164" i="25" s="1"/>
  <c r="K164" i="25" s="1"/>
  <c r="G163" i="25"/>
  <c r="I163" i="25" s="1"/>
  <c r="K163" i="25" s="1"/>
  <c r="E163" i="25"/>
  <c r="E162" i="25"/>
  <c r="G162" i="25" s="1"/>
  <c r="I162" i="25" s="1"/>
  <c r="K162" i="25" s="1"/>
  <c r="I161" i="25"/>
  <c r="K161" i="25" s="1"/>
  <c r="G161" i="25"/>
  <c r="E161" i="25"/>
  <c r="G160" i="25"/>
  <c r="I160" i="25" s="1"/>
  <c r="K160" i="25" s="1"/>
  <c r="E160" i="25"/>
  <c r="E159" i="25"/>
  <c r="G159" i="25" s="1"/>
  <c r="I159" i="25" s="1"/>
  <c r="K159" i="25" s="1"/>
  <c r="I158" i="25"/>
  <c r="K158" i="25" s="1"/>
  <c r="G158" i="25"/>
  <c r="E158" i="25"/>
  <c r="G157" i="25"/>
  <c r="I157" i="25" s="1"/>
  <c r="K157" i="25" s="1"/>
  <c r="E157" i="25"/>
  <c r="E156" i="25"/>
  <c r="G156" i="25" s="1"/>
  <c r="I156" i="25" s="1"/>
  <c r="K156" i="25" s="1"/>
  <c r="I155" i="25"/>
  <c r="K155" i="25" s="1"/>
  <c r="G155" i="25"/>
  <c r="E155" i="25"/>
  <c r="G154" i="25"/>
  <c r="I154" i="25" s="1"/>
  <c r="K154" i="25" s="1"/>
  <c r="E154" i="25"/>
  <c r="K153" i="25"/>
  <c r="E153" i="25"/>
  <c r="G153" i="25" s="1"/>
  <c r="I153" i="25" s="1"/>
  <c r="I152" i="25"/>
  <c r="K152" i="25" s="1"/>
  <c r="G152" i="25"/>
  <c r="E152" i="25"/>
  <c r="G151" i="25"/>
  <c r="I151" i="25" s="1"/>
  <c r="K151" i="25" s="1"/>
  <c r="E151" i="25"/>
  <c r="E150" i="25"/>
  <c r="G150" i="25" s="1"/>
  <c r="I150" i="25" s="1"/>
  <c r="K150" i="25" s="1"/>
  <c r="I149" i="25"/>
  <c r="K149" i="25" s="1"/>
  <c r="G149" i="25"/>
  <c r="E149" i="25"/>
  <c r="G148" i="25"/>
  <c r="I148" i="25" s="1"/>
  <c r="K148" i="25" s="1"/>
  <c r="E148" i="25"/>
  <c r="E147" i="25"/>
  <c r="G147" i="25" s="1"/>
  <c r="I147" i="25" s="1"/>
  <c r="K147" i="25" s="1"/>
  <c r="I146" i="25"/>
  <c r="K146" i="25" s="1"/>
  <c r="G146" i="25"/>
  <c r="E146" i="25"/>
  <c r="G145" i="25"/>
  <c r="I145" i="25" s="1"/>
  <c r="K145" i="25" s="1"/>
  <c r="E145" i="25"/>
  <c r="K144" i="25"/>
  <c r="E144" i="25"/>
  <c r="G144" i="25" s="1"/>
  <c r="I144" i="25" s="1"/>
  <c r="I143" i="25"/>
  <c r="K143" i="25" s="1"/>
  <c r="G143" i="25"/>
  <c r="E143" i="25"/>
  <c r="G142" i="25"/>
  <c r="I142" i="25" s="1"/>
  <c r="K142" i="25" s="1"/>
  <c r="E142" i="25"/>
  <c r="E141" i="25"/>
  <c r="G141" i="25" s="1"/>
  <c r="I141" i="25" s="1"/>
  <c r="K141" i="25" s="1"/>
  <c r="I140" i="25"/>
  <c r="K140" i="25" s="1"/>
  <c r="G140" i="25"/>
  <c r="E140" i="25"/>
  <c r="G139" i="25"/>
  <c r="I139" i="25" s="1"/>
  <c r="K139" i="25" s="1"/>
  <c r="E139" i="25"/>
  <c r="E138" i="25"/>
  <c r="G138" i="25" s="1"/>
  <c r="I138" i="25" s="1"/>
  <c r="K138" i="25" s="1"/>
  <c r="I137" i="25"/>
  <c r="K137" i="25" s="1"/>
  <c r="G137" i="25"/>
  <c r="E137" i="25"/>
  <c r="G136" i="25"/>
  <c r="I136" i="25" s="1"/>
  <c r="K136" i="25" s="1"/>
  <c r="E136" i="25"/>
  <c r="K135" i="25"/>
  <c r="E135" i="25"/>
  <c r="G135" i="25" s="1"/>
  <c r="I135" i="25" s="1"/>
  <c r="I134" i="25"/>
  <c r="K134" i="25" s="1"/>
  <c r="G134" i="25"/>
  <c r="E134" i="25"/>
  <c r="G133" i="25"/>
  <c r="I133" i="25" s="1"/>
  <c r="K133" i="25" s="1"/>
  <c r="E133" i="25"/>
  <c r="E132" i="25"/>
  <c r="G132" i="25" s="1"/>
  <c r="I132" i="25" s="1"/>
  <c r="K132" i="25" s="1"/>
  <c r="I131" i="25"/>
  <c r="K131" i="25" s="1"/>
  <c r="G131" i="25"/>
  <c r="E131" i="25"/>
  <c r="G130" i="25"/>
  <c r="I130" i="25" s="1"/>
  <c r="K130" i="25" s="1"/>
  <c r="E130" i="25"/>
  <c r="E129" i="25"/>
  <c r="G129" i="25" s="1"/>
  <c r="I129" i="25" s="1"/>
  <c r="K129" i="25" s="1"/>
  <c r="I128" i="25"/>
  <c r="K128" i="25" s="1"/>
  <c r="G128" i="25"/>
  <c r="E128" i="25"/>
  <c r="G127" i="25"/>
  <c r="I127" i="25" s="1"/>
  <c r="K127" i="25" s="1"/>
  <c r="E127" i="25"/>
  <c r="K126" i="25"/>
  <c r="E126" i="25"/>
  <c r="G126" i="25" s="1"/>
  <c r="I126" i="25" s="1"/>
  <c r="I125" i="25"/>
  <c r="K125" i="25" s="1"/>
  <c r="G125" i="25"/>
  <c r="E125" i="25"/>
  <c r="G124" i="25"/>
  <c r="I124" i="25" s="1"/>
  <c r="K124" i="25" s="1"/>
  <c r="E124" i="25"/>
  <c r="E123" i="25"/>
  <c r="G123" i="25" s="1"/>
  <c r="I123" i="25" s="1"/>
  <c r="K123" i="25" s="1"/>
  <c r="I122" i="25"/>
  <c r="K122" i="25" s="1"/>
  <c r="G122" i="25"/>
  <c r="E122" i="25"/>
  <c r="G121" i="25"/>
  <c r="I121" i="25" s="1"/>
  <c r="K121" i="25" s="1"/>
  <c r="E121" i="25"/>
  <c r="E120" i="25"/>
  <c r="G120" i="25" s="1"/>
  <c r="I120" i="25" s="1"/>
  <c r="K120" i="25" s="1"/>
  <c r="I119" i="25"/>
  <c r="K119" i="25" s="1"/>
  <c r="G119" i="25"/>
  <c r="E119" i="25"/>
  <c r="G118" i="25"/>
  <c r="I118" i="25" s="1"/>
  <c r="K118" i="25" s="1"/>
  <c r="E118" i="25"/>
  <c r="K117" i="25"/>
  <c r="E117" i="25"/>
  <c r="G117" i="25" s="1"/>
  <c r="I117" i="25" s="1"/>
  <c r="I116" i="25"/>
  <c r="K116" i="25" s="1"/>
  <c r="G116" i="25"/>
  <c r="E116" i="25"/>
  <c r="G115" i="25"/>
  <c r="I115" i="25" s="1"/>
  <c r="K115" i="25" s="1"/>
  <c r="E115" i="25"/>
  <c r="E114" i="25"/>
  <c r="G114" i="25" s="1"/>
  <c r="I114" i="25" s="1"/>
  <c r="K114" i="25" s="1"/>
  <c r="I113" i="25"/>
  <c r="K113" i="25" s="1"/>
  <c r="G113" i="25"/>
  <c r="E113" i="25"/>
  <c r="G112" i="25"/>
  <c r="I112" i="25" s="1"/>
  <c r="K112" i="25" s="1"/>
  <c r="E112" i="25"/>
  <c r="E111" i="25"/>
  <c r="G111" i="25" s="1"/>
  <c r="I111" i="25" s="1"/>
  <c r="K111" i="25" s="1"/>
  <c r="I110" i="25"/>
  <c r="K110" i="25" s="1"/>
  <c r="G110" i="25"/>
  <c r="E110" i="25"/>
  <c r="G109" i="25"/>
  <c r="I109" i="25" s="1"/>
  <c r="K109" i="25" s="1"/>
  <c r="E109" i="25"/>
  <c r="K108" i="25"/>
  <c r="E108" i="25"/>
  <c r="G108" i="25" s="1"/>
  <c r="I108" i="25" s="1"/>
  <c r="I107" i="25"/>
  <c r="K107" i="25" s="1"/>
  <c r="G107" i="25"/>
  <c r="E107" i="25"/>
  <c r="G106" i="25"/>
  <c r="I106" i="25" s="1"/>
  <c r="K106" i="25" s="1"/>
  <c r="E106" i="25"/>
  <c r="E105" i="25"/>
  <c r="G105" i="25" s="1"/>
  <c r="I105" i="25" s="1"/>
  <c r="K105" i="25" s="1"/>
  <c r="I104" i="25"/>
  <c r="K104" i="25" s="1"/>
  <c r="G104" i="25"/>
  <c r="E104" i="25"/>
  <c r="G103" i="25"/>
  <c r="I103" i="25" s="1"/>
  <c r="K103" i="25" s="1"/>
  <c r="E103" i="25"/>
  <c r="E102" i="25"/>
  <c r="G102" i="25" s="1"/>
  <c r="I102" i="25" s="1"/>
  <c r="K102" i="25" s="1"/>
  <c r="I101" i="25"/>
  <c r="K101" i="25" s="1"/>
  <c r="G101" i="25"/>
  <c r="E101" i="25"/>
  <c r="G100" i="25"/>
  <c r="I100" i="25" s="1"/>
  <c r="K100" i="25" s="1"/>
  <c r="E100" i="25"/>
  <c r="E99" i="25"/>
  <c r="G99" i="25" s="1"/>
  <c r="I99" i="25" s="1"/>
  <c r="K99" i="25" s="1"/>
  <c r="I98" i="25"/>
  <c r="K98" i="25" s="1"/>
  <c r="G98" i="25"/>
  <c r="E98" i="25"/>
  <c r="G97" i="25"/>
  <c r="I97" i="25" s="1"/>
  <c r="K97" i="25" s="1"/>
  <c r="E97" i="25"/>
  <c r="E96" i="25"/>
  <c r="G96" i="25" s="1"/>
  <c r="I96" i="25" s="1"/>
  <c r="K96" i="25" s="1"/>
  <c r="I95" i="25"/>
  <c r="K95" i="25" s="1"/>
  <c r="G95" i="25"/>
  <c r="E95" i="25"/>
  <c r="G94" i="25"/>
  <c r="I94" i="25" s="1"/>
  <c r="K94" i="25" s="1"/>
  <c r="E94" i="25"/>
  <c r="E93" i="25"/>
  <c r="G93" i="25" s="1"/>
  <c r="I93" i="25" s="1"/>
  <c r="K93" i="25" s="1"/>
  <c r="I92" i="25"/>
  <c r="K92" i="25" s="1"/>
  <c r="G92" i="25"/>
  <c r="E92" i="25"/>
  <c r="G91" i="25"/>
  <c r="I91" i="25" s="1"/>
  <c r="K91" i="25" s="1"/>
  <c r="E91" i="25"/>
  <c r="E90" i="25"/>
  <c r="G90" i="25" s="1"/>
  <c r="I90" i="25" s="1"/>
  <c r="K90" i="25" s="1"/>
  <c r="I89" i="25"/>
  <c r="K89" i="25" s="1"/>
  <c r="G89" i="25"/>
  <c r="E89" i="25"/>
  <c r="G88" i="25"/>
  <c r="I88" i="25" s="1"/>
  <c r="K88" i="25" s="1"/>
  <c r="E88" i="25"/>
  <c r="E87" i="25"/>
  <c r="G87" i="25" s="1"/>
  <c r="I87" i="25" s="1"/>
  <c r="K87" i="25" s="1"/>
  <c r="E86" i="25"/>
  <c r="G86" i="25" s="1"/>
  <c r="I86" i="25" s="1"/>
  <c r="K86" i="25" s="1"/>
  <c r="G85" i="25"/>
  <c r="I85" i="25" s="1"/>
  <c r="K85" i="25" s="1"/>
  <c r="E85" i="25"/>
  <c r="K84" i="25"/>
  <c r="I84" i="25"/>
  <c r="E84" i="25"/>
  <c r="G84" i="25" s="1"/>
  <c r="E83" i="25"/>
  <c r="G83" i="25" s="1"/>
  <c r="I83" i="25" s="1"/>
  <c r="K83" i="25" s="1"/>
  <c r="G82" i="25"/>
  <c r="I82" i="25" s="1"/>
  <c r="K82" i="25" s="1"/>
  <c r="E82" i="25"/>
  <c r="E81" i="25"/>
  <c r="G81" i="25" s="1"/>
  <c r="I81" i="25" s="1"/>
  <c r="K81" i="25" s="1"/>
  <c r="E80" i="25"/>
  <c r="G80" i="25" s="1"/>
  <c r="I80" i="25" s="1"/>
  <c r="K80" i="25" s="1"/>
  <c r="G79" i="25"/>
  <c r="I79" i="25" s="1"/>
  <c r="K79" i="25" s="1"/>
  <c r="E79" i="25"/>
  <c r="K78" i="25"/>
  <c r="I78" i="25"/>
  <c r="E78" i="25"/>
  <c r="G78" i="25" s="1"/>
  <c r="I77" i="25"/>
  <c r="K77" i="25" s="1"/>
  <c r="G77" i="25"/>
  <c r="E77" i="25"/>
  <c r="G76" i="25"/>
  <c r="I76" i="25" s="1"/>
  <c r="K76" i="25" s="1"/>
  <c r="E76" i="25"/>
  <c r="E75" i="25"/>
  <c r="G75" i="25" s="1"/>
  <c r="I75" i="25" s="1"/>
  <c r="K75" i="25" s="1"/>
  <c r="I74" i="25"/>
  <c r="K74" i="25" s="1"/>
  <c r="G74" i="25"/>
  <c r="E74" i="25"/>
  <c r="E73" i="25"/>
  <c r="G73" i="25" s="1"/>
  <c r="I73" i="25" s="1"/>
  <c r="K73" i="25" s="1"/>
  <c r="E72" i="25"/>
  <c r="G72" i="25" s="1"/>
  <c r="I72" i="25" s="1"/>
  <c r="K72" i="25" s="1"/>
  <c r="I71" i="25"/>
  <c r="K71" i="25" s="1"/>
  <c r="G71" i="25"/>
  <c r="E71" i="25"/>
  <c r="I70" i="25"/>
  <c r="K70" i="25" s="1"/>
  <c r="E70" i="25"/>
  <c r="G70" i="25" s="1"/>
  <c r="E69" i="25"/>
  <c r="G69" i="25" s="1"/>
  <c r="I69" i="25" s="1"/>
  <c r="K69" i="25" s="1"/>
  <c r="I68" i="25"/>
  <c r="K68" i="25" s="1"/>
  <c r="G68" i="25"/>
  <c r="E68" i="25"/>
  <c r="G67" i="25"/>
  <c r="I67" i="25" s="1"/>
  <c r="K67" i="25" s="1"/>
  <c r="E67" i="25"/>
  <c r="K66" i="25"/>
  <c r="E66" i="25"/>
  <c r="G66" i="25" s="1"/>
  <c r="I66" i="25" s="1"/>
  <c r="E65" i="25"/>
  <c r="G65" i="25" s="1"/>
  <c r="I65" i="25" s="1"/>
  <c r="K65" i="25" s="1"/>
  <c r="E64" i="25"/>
  <c r="G64" i="25" s="1"/>
  <c r="I64" i="25" s="1"/>
  <c r="K64" i="25" s="1"/>
  <c r="I63" i="25"/>
  <c r="K63" i="25" s="1"/>
  <c r="E63" i="25"/>
  <c r="G63" i="25" s="1"/>
  <c r="E62" i="25"/>
  <c r="G62" i="25" s="1"/>
  <c r="I62" i="25" s="1"/>
  <c r="K62" i="25" s="1"/>
  <c r="G61" i="25"/>
  <c r="I61" i="25" s="1"/>
  <c r="K61" i="25" s="1"/>
  <c r="E61" i="25"/>
  <c r="K60" i="25"/>
  <c r="I60" i="25"/>
  <c r="E60" i="25"/>
  <c r="G60" i="25" s="1"/>
  <c r="E59" i="25"/>
  <c r="G59" i="25" s="1"/>
  <c r="I59" i="25" s="1"/>
  <c r="K59" i="25" s="1"/>
  <c r="E58" i="25"/>
  <c r="G58" i="25" s="1"/>
  <c r="I58" i="25" s="1"/>
  <c r="K58" i="25" s="1"/>
  <c r="I57" i="25"/>
  <c r="K57" i="25" s="1"/>
  <c r="E57" i="25"/>
  <c r="G57" i="25" s="1"/>
  <c r="E56" i="25"/>
  <c r="G56" i="25" s="1"/>
  <c r="I56" i="25" s="1"/>
  <c r="K56" i="25" s="1"/>
  <c r="G55" i="25"/>
  <c r="I55" i="25" s="1"/>
  <c r="K55" i="25" s="1"/>
  <c r="E55" i="25"/>
  <c r="E54" i="25"/>
  <c r="G54" i="25" s="1"/>
  <c r="I54" i="25" s="1"/>
  <c r="K54" i="25" s="1"/>
  <c r="E53" i="25"/>
  <c r="G53" i="25" s="1"/>
  <c r="I53" i="25" s="1"/>
  <c r="K53" i="25" s="1"/>
  <c r="E52" i="25"/>
  <c r="G52" i="25" s="1"/>
  <c r="I52" i="25" s="1"/>
  <c r="K52" i="25" s="1"/>
  <c r="I51" i="25"/>
  <c r="K51" i="25" s="1"/>
  <c r="E51" i="25"/>
  <c r="G51" i="25" s="1"/>
  <c r="I50" i="25"/>
  <c r="K50" i="25" s="1"/>
  <c r="G50" i="25"/>
  <c r="E50" i="25"/>
  <c r="G49" i="25"/>
  <c r="I49" i="25" s="1"/>
  <c r="K49" i="25" s="1"/>
  <c r="E49" i="25"/>
  <c r="E48" i="25"/>
  <c r="G48" i="25" s="1"/>
  <c r="I48" i="25" s="1"/>
  <c r="K48" i="25" s="1"/>
  <c r="I47" i="25"/>
  <c r="K47" i="25" s="1"/>
  <c r="G47" i="25"/>
  <c r="E47" i="25"/>
  <c r="I46" i="25"/>
  <c r="K46" i="25" s="1"/>
  <c r="G46" i="25"/>
  <c r="E46" i="25"/>
  <c r="I45" i="25"/>
  <c r="K45" i="25" s="1"/>
  <c r="E45" i="25"/>
  <c r="G45" i="25" s="1"/>
  <c r="I44" i="25"/>
  <c r="K44" i="25" s="1"/>
  <c r="G44" i="25"/>
  <c r="E44" i="25"/>
  <c r="G43" i="25"/>
  <c r="I43" i="25" s="1"/>
  <c r="K43" i="25" s="1"/>
  <c r="E43" i="25"/>
  <c r="K42" i="25"/>
  <c r="I42" i="25"/>
  <c r="E42" i="25"/>
  <c r="G42" i="25" s="1"/>
  <c r="I41" i="25"/>
  <c r="K41" i="25" s="1"/>
  <c r="G41" i="25"/>
  <c r="E41" i="25"/>
  <c r="E40" i="25"/>
  <c r="G40" i="25" s="1"/>
  <c r="I40" i="25" s="1"/>
  <c r="K40" i="25" s="1"/>
  <c r="I39" i="25"/>
  <c r="K39" i="25" s="1"/>
  <c r="E39" i="25"/>
  <c r="G39" i="25" s="1"/>
  <c r="I38" i="25"/>
  <c r="K38" i="25" s="1"/>
  <c r="G38" i="25"/>
  <c r="E38" i="25"/>
  <c r="G37" i="25"/>
  <c r="I37" i="25" s="1"/>
  <c r="K37" i="25" s="1"/>
  <c r="E37" i="25"/>
  <c r="E36" i="25"/>
  <c r="G36" i="25" s="1"/>
  <c r="I36" i="25" s="1"/>
  <c r="K36" i="25" s="1"/>
  <c r="I35" i="25"/>
  <c r="K35" i="25" s="1"/>
  <c r="G35" i="25"/>
  <c r="E35" i="25"/>
  <c r="I34" i="25"/>
  <c r="K34" i="25" s="1"/>
  <c r="G34" i="25"/>
  <c r="E34" i="25"/>
  <c r="I33" i="25"/>
  <c r="K33" i="25" s="1"/>
  <c r="E33" i="25"/>
  <c r="G33" i="25" s="1"/>
  <c r="I32" i="25"/>
  <c r="K32" i="25" s="1"/>
  <c r="G32" i="25"/>
  <c r="E32" i="25"/>
  <c r="G31" i="25"/>
  <c r="I31" i="25" s="1"/>
  <c r="K31" i="25" s="1"/>
  <c r="E31" i="25"/>
  <c r="K30" i="25"/>
  <c r="I30" i="25"/>
  <c r="E30" i="25"/>
  <c r="G30" i="25" s="1"/>
  <c r="E29" i="25"/>
  <c r="G29" i="25" s="1"/>
  <c r="I29" i="25" s="1"/>
  <c r="K29" i="25" s="1"/>
  <c r="E28" i="25"/>
  <c r="G28" i="25" s="1"/>
  <c r="I28" i="25" s="1"/>
  <c r="K28" i="25" s="1"/>
  <c r="I27" i="25"/>
  <c r="K27" i="25" s="1"/>
  <c r="E27" i="25"/>
  <c r="G27" i="25" s="1"/>
  <c r="I26" i="25"/>
  <c r="K26" i="25" s="1"/>
  <c r="G26" i="25"/>
  <c r="E26" i="25"/>
  <c r="E25" i="25"/>
  <c r="G25" i="25" s="1"/>
  <c r="I25" i="25" s="1"/>
  <c r="K25" i="25" s="1"/>
  <c r="E24" i="25"/>
  <c r="G24" i="25" s="1"/>
  <c r="I24" i="25" s="1"/>
  <c r="K24" i="25" s="1"/>
  <c r="E23" i="25"/>
  <c r="G23" i="25" s="1"/>
  <c r="I23" i="25" s="1"/>
  <c r="K23" i="25" s="1"/>
  <c r="I22" i="25"/>
  <c r="K22" i="25" s="1"/>
  <c r="E22" i="25"/>
  <c r="G22" i="25" s="1"/>
  <c r="I21" i="25"/>
  <c r="K21" i="25" s="1"/>
  <c r="E21" i="25"/>
  <c r="G21" i="25" s="1"/>
  <c r="E20" i="25"/>
  <c r="G20" i="25" s="1"/>
  <c r="I20" i="25" s="1"/>
  <c r="K20" i="25" s="1"/>
  <c r="G19" i="25"/>
  <c r="I19" i="25" s="1"/>
  <c r="K19" i="25" s="1"/>
  <c r="E19" i="25"/>
  <c r="E18" i="25"/>
  <c r="G18" i="25" s="1"/>
  <c r="I18" i="25" s="1"/>
  <c r="K18" i="25" s="1"/>
  <c r="I17" i="25"/>
  <c r="K17" i="25" s="1"/>
  <c r="G17" i="25"/>
  <c r="E17" i="25"/>
  <c r="I16" i="25"/>
  <c r="K16" i="25" s="1"/>
  <c r="G16" i="25"/>
  <c r="E16" i="25"/>
  <c r="I15" i="25"/>
  <c r="K15" i="25" s="1"/>
  <c r="E15" i="25"/>
  <c r="G15" i="25" s="1"/>
  <c r="I14" i="25"/>
  <c r="K14" i="25" s="1"/>
  <c r="G14" i="25"/>
  <c r="E14" i="25"/>
  <c r="G13" i="25"/>
  <c r="I13" i="25" s="1"/>
  <c r="K13" i="25" s="1"/>
  <c r="E13" i="25"/>
  <c r="K12" i="25"/>
  <c r="I12" i="25"/>
  <c r="E12" i="25"/>
  <c r="G12" i="25" s="1"/>
  <c r="I11" i="25"/>
  <c r="K11" i="25" s="1"/>
  <c r="G11" i="25"/>
  <c r="E11" i="25"/>
  <c r="E10" i="25"/>
  <c r="G10" i="25" s="1"/>
  <c r="I10" i="25" s="1"/>
  <c r="K10" i="25" s="1"/>
  <c r="I9" i="25"/>
  <c r="K9" i="25" s="1"/>
  <c r="E9" i="25"/>
  <c r="G9" i="25" s="1"/>
  <c r="I8" i="25"/>
  <c r="K8" i="25" s="1"/>
  <c r="G8" i="25"/>
  <c r="E8" i="25"/>
  <c r="G7" i="25"/>
  <c r="I7" i="25" s="1"/>
  <c r="K7" i="25" s="1"/>
  <c r="E7" i="25"/>
  <c r="E6" i="25"/>
  <c r="G6" i="25" s="1"/>
  <c r="I6" i="25" s="1"/>
  <c r="K6" i="25" s="1"/>
  <c r="K5" i="25"/>
  <c r="I5" i="25"/>
  <c r="G5" i="25"/>
  <c r="E5" i="25"/>
  <c r="E4" i="25"/>
  <c r="G4" i="25" s="1"/>
  <c r="I4" i="25" s="1"/>
  <c r="K4" i="25" s="1"/>
  <c r="E3" i="25"/>
  <c r="G3" i="25" s="1"/>
  <c r="I3" i="25" s="1"/>
  <c r="K3" i="25" s="1"/>
  <c r="K2" i="25"/>
  <c r="I2" i="25"/>
  <c r="G2" i="25"/>
  <c r="E2" i="25"/>
  <c r="G37" i="24"/>
  <c r="I37" i="24" s="1"/>
  <c r="K37" i="24" s="1"/>
  <c r="E37" i="24"/>
  <c r="G36" i="24"/>
  <c r="I36" i="24" s="1"/>
  <c r="K36" i="24" s="1"/>
  <c r="E36" i="24"/>
  <c r="G35" i="24"/>
  <c r="I35" i="24" s="1"/>
  <c r="K35" i="24" s="1"/>
  <c r="E35" i="24"/>
  <c r="E34" i="24"/>
  <c r="G34" i="24" s="1"/>
  <c r="I34" i="24" s="1"/>
  <c r="K34" i="24" s="1"/>
  <c r="I33" i="24"/>
  <c r="K33" i="24" s="1"/>
  <c r="G33" i="24"/>
  <c r="E33" i="24"/>
  <c r="E32" i="24"/>
  <c r="G32" i="24" s="1"/>
  <c r="I32" i="24" s="1"/>
  <c r="K32" i="24" s="1"/>
  <c r="E31" i="24"/>
  <c r="G31" i="24" s="1"/>
  <c r="I31" i="24" s="1"/>
  <c r="K31" i="24" s="1"/>
  <c r="E30" i="24"/>
  <c r="G30" i="24" s="1"/>
  <c r="I30" i="24" s="1"/>
  <c r="K30" i="24" s="1"/>
  <c r="E29" i="24"/>
  <c r="G29" i="24" s="1"/>
  <c r="I29" i="24" s="1"/>
  <c r="K29" i="24" s="1"/>
  <c r="I28" i="24"/>
  <c r="K28" i="24" s="1"/>
  <c r="G28" i="24"/>
  <c r="E28" i="24"/>
  <c r="E27" i="24"/>
  <c r="G27" i="24" s="1"/>
  <c r="I27" i="24" s="1"/>
  <c r="K27" i="24" s="1"/>
  <c r="E26" i="24"/>
  <c r="G26" i="24" s="1"/>
  <c r="I26" i="24" s="1"/>
  <c r="K26" i="24" s="1"/>
  <c r="E25" i="24"/>
  <c r="G25" i="24" s="1"/>
  <c r="I25" i="24" s="1"/>
  <c r="K25" i="24" s="1"/>
  <c r="I24" i="24"/>
  <c r="K24" i="24" s="1"/>
  <c r="G24" i="24"/>
  <c r="E24" i="24"/>
  <c r="E23" i="24"/>
  <c r="G23" i="24" s="1"/>
  <c r="I23" i="24" s="1"/>
  <c r="K23" i="24" s="1"/>
  <c r="E22" i="24"/>
  <c r="G22" i="24" s="1"/>
  <c r="I22" i="24" s="1"/>
  <c r="K22" i="24" s="1"/>
  <c r="E21" i="24"/>
  <c r="G21" i="24" s="1"/>
  <c r="I21" i="24" s="1"/>
  <c r="K21" i="24" s="1"/>
  <c r="G20" i="24"/>
  <c r="I20" i="24" s="1"/>
  <c r="K20" i="24" s="1"/>
  <c r="E20" i="24"/>
  <c r="E19" i="24"/>
  <c r="G19" i="24" s="1"/>
  <c r="I19" i="24" s="1"/>
  <c r="K19" i="24" s="1"/>
  <c r="G18" i="24"/>
  <c r="I18" i="24" s="1"/>
  <c r="K18" i="24" s="1"/>
  <c r="E18" i="24"/>
  <c r="G17" i="24"/>
  <c r="I17" i="24" s="1"/>
  <c r="K17" i="24" s="1"/>
  <c r="E17" i="24"/>
  <c r="E16" i="24"/>
  <c r="G16" i="24" s="1"/>
  <c r="I16" i="24" s="1"/>
  <c r="K16" i="24" s="1"/>
  <c r="E15" i="24"/>
  <c r="G15" i="24" s="1"/>
  <c r="I15" i="24" s="1"/>
  <c r="K15" i="24" s="1"/>
  <c r="G14" i="24"/>
  <c r="I14" i="24" s="1"/>
  <c r="K14" i="24" s="1"/>
  <c r="E14" i="24"/>
  <c r="E13" i="24"/>
  <c r="G13" i="24" s="1"/>
  <c r="I13" i="24" s="1"/>
  <c r="K13" i="24" s="1"/>
  <c r="G12" i="24"/>
  <c r="I12" i="24" s="1"/>
  <c r="K12" i="24" s="1"/>
  <c r="E12" i="24"/>
  <c r="E11" i="24"/>
  <c r="G11" i="24" s="1"/>
  <c r="I11" i="24" s="1"/>
  <c r="K11" i="24" s="1"/>
  <c r="G10" i="24"/>
  <c r="I10" i="24" s="1"/>
  <c r="K10" i="24" s="1"/>
  <c r="E10" i="24"/>
  <c r="G9" i="24"/>
  <c r="I9" i="24" s="1"/>
  <c r="K9" i="24" s="1"/>
  <c r="E9" i="24"/>
  <c r="E8" i="24"/>
  <c r="G8" i="24" s="1"/>
  <c r="I8" i="24" s="1"/>
  <c r="K8" i="24" s="1"/>
  <c r="G7" i="24"/>
  <c r="I7" i="24" s="1"/>
  <c r="K7" i="24" s="1"/>
  <c r="E7" i="24"/>
  <c r="G6" i="24"/>
  <c r="I6" i="24" s="1"/>
  <c r="K6" i="24" s="1"/>
  <c r="E6" i="24"/>
  <c r="G5" i="24"/>
  <c r="I5" i="24" s="1"/>
  <c r="K5" i="24" s="1"/>
  <c r="E5" i="24"/>
  <c r="G4" i="24"/>
  <c r="I4" i="24" s="1"/>
  <c r="K4" i="24" s="1"/>
  <c r="E4" i="24"/>
  <c r="I3" i="24"/>
  <c r="K3" i="24" s="1"/>
  <c r="G3" i="24"/>
  <c r="E3" i="24"/>
  <c r="I14" i="23"/>
  <c r="K14" i="23" s="1"/>
  <c r="E14" i="23"/>
  <c r="G14" i="23" s="1"/>
  <c r="G13" i="23"/>
  <c r="I13" i="23" s="1"/>
  <c r="K13" i="23" s="1"/>
  <c r="E13" i="23"/>
  <c r="K12" i="23"/>
  <c r="G12" i="23"/>
  <c r="I12" i="23" s="1"/>
  <c r="E12" i="23"/>
  <c r="G11" i="23"/>
  <c r="I11" i="23" s="1"/>
  <c r="K11" i="23" s="1"/>
  <c r="E11" i="23"/>
  <c r="G10" i="23"/>
  <c r="I10" i="23" s="1"/>
  <c r="K10" i="23" s="1"/>
  <c r="E10" i="23"/>
  <c r="G9" i="23"/>
  <c r="I9" i="23" s="1"/>
  <c r="K9" i="23" s="1"/>
  <c r="E9" i="23"/>
  <c r="G8" i="23"/>
  <c r="I8" i="23" s="1"/>
  <c r="K8" i="23" s="1"/>
  <c r="E8" i="23"/>
  <c r="G7" i="23"/>
  <c r="I7" i="23" s="1"/>
  <c r="K7" i="23" s="1"/>
  <c r="E7" i="23"/>
  <c r="G6" i="23"/>
  <c r="I6" i="23" s="1"/>
  <c r="K6" i="23" s="1"/>
  <c r="E6" i="23"/>
  <c r="G5" i="23"/>
  <c r="I5" i="23" s="1"/>
  <c r="K5" i="23" s="1"/>
  <c r="E5" i="23"/>
  <c r="E4" i="23"/>
  <c r="G4" i="23" s="1"/>
  <c r="I4" i="23" s="1"/>
  <c r="K4" i="23" s="1"/>
  <c r="G3" i="23"/>
  <c r="I3" i="23" s="1"/>
  <c r="K3" i="23" s="1"/>
  <c r="E3" i="23"/>
  <c r="G2" i="23"/>
  <c r="I2" i="23" s="1"/>
  <c r="K2" i="23" s="1"/>
  <c r="E2" i="23"/>
  <c r="E17" i="22"/>
  <c r="G17" i="22" s="1"/>
  <c r="I17" i="22" s="1"/>
  <c r="L17" i="22" s="1"/>
  <c r="E16" i="22"/>
  <c r="G16" i="22" s="1"/>
  <c r="I16" i="22" s="1"/>
  <c r="L16" i="22" s="1"/>
  <c r="G15" i="22"/>
  <c r="I15" i="22" s="1"/>
  <c r="L15" i="22" s="1"/>
  <c r="E15" i="22"/>
  <c r="G14" i="22"/>
  <c r="I14" i="22" s="1"/>
  <c r="L14" i="22" s="1"/>
  <c r="E14" i="22"/>
  <c r="L13" i="22"/>
  <c r="E13" i="22"/>
  <c r="G13" i="22" s="1"/>
  <c r="I13" i="22" s="1"/>
  <c r="G12" i="22"/>
  <c r="I12" i="22" s="1"/>
  <c r="L12" i="22" s="1"/>
  <c r="E12" i="22"/>
  <c r="E11" i="22"/>
  <c r="G11" i="22" s="1"/>
  <c r="I11" i="22" s="1"/>
  <c r="L11" i="22" s="1"/>
  <c r="E10" i="22"/>
  <c r="G10" i="22" s="1"/>
  <c r="I10" i="22" s="1"/>
  <c r="L10" i="22" s="1"/>
  <c r="G9" i="22"/>
  <c r="I9" i="22" s="1"/>
  <c r="L9" i="22" s="1"/>
  <c r="E9" i="22"/>
  <c r="G8" i="22"/>
  <c r="I8" i="22" s="1"/>
  <c r="L8" i="22" s="1"/>
  <c r="E8" i="22"/>
  <c r="L7" i="22"/>
  <c r="E7" i="22"/>
  <c r="G7" i="22" s="1"/>
  <c r="I7" i="22" s="1"/>
  <c r="G6" i="22"/>
  <c r="I6" i="22" s="1"/>
  <c r="L6" i="22" s="1"/>
  <c r="E6" i="22"/>
  <c r="E5" i="22"/>
  <c r="G5" i="22" s="1"/>
  <c r="I5" i="22" s="1"/>
  <c r="L5" i="22" s="1"/>
  <c r="E4" i="22"/>
  <c r="G4" i="22" s="1"/>
  <c r="I4" i="22" s="1"/>
  <c r="L4" i="22" s="1"/>
  <c r="G3" i="22"/>
  <c r="I3" i="22" s="1"/>
  <c r="L3" i="22" s="1"/>
  <c r="E3" i="22"/>
  <c r="G2" i="22"/>
  <c r="I2" i="22" s="1"/>
  <c r="L2" i="22" s="1"/>
  <c r="E2" i="22"/>
  <c r="K47" i="21"/>
  <c r="E47" i="21"/>
  <c r="G47" i="21" s="1"/>
  <c r="I47" i="21" s="1"/>
  <c r="G46" i="21"/>
  <c r="I46" i="21" s="1"/>
  <c r="K46" i="21" s="1"/>
  <c r="E46" i="21"/>
  <c r="E45" i="21"/>
  <c r="G45" i="21" s="1"/>
  <c r="I45" i="21" s="1"/>
  <c r="K45" i="21" s="1"/>
  <c r="E44" i="21"/>
  <c r="G44" i="21" s="1"/>
  <c r="I44" i="21" s="1"/>
  <c r="K44" i="21" s="1"/>
  <c r="G43" i="21"/>
  <c r="I43" i="21" s="1"/>
  <c r="K43" i="21" s="1"/>
  <c r="E43" i="21"/>
  <c r="G42" i="21"/>
  <c r="I42" i="21" s="1"/>
  <c r="K42" i="21" s="1"/>
  <c r="E42" i="21"/>
  <c r="K41" i="21"/>
  <c r="E41" i="21"/>
  <c r="G41" i="21" s="1"/>
  <c r="I41" i="21" s="1"/>
  <c r="G40" i="21"/>
  <c r="I40" i="21" s="1"/>
  <c r="K40" i="21" s="1"/>
  <c r="E40" i="21"/>
  <c r="E39" i="21"/>
  <c r="G39" i="21" s="1"/>
  <c r="I39" i="21" s="1"/>
  <c r="K39" i="21" s="1"/>
  <c r="E38" i="21"/>
  <c r="G38" i="21" s="1"/>
  <c r="I38" i="21" s="1"/>
  <c r="K38" i="21" s="1"/>
  <c r="G37" i="21"/>
  <c r="I37" i="21" s="1"/>
  <c r="K37" i="21" s="1"/>
  <c r="E37" i="21"/>
  <c r="G36" i="21"/>
  <c r="I36" i="21" s="1"/>
  <c r="K36" i="21" s="1"/>
  <c r="E36" i="21"/>
  <c r="K35" i="21"/>
  <c r="E35" i="21"/>
  <c r="G35" i="21" s="1"/>
  <c r="I35" i="21" s="1"/>
  <c r="G34" i="21"/>
  <c r="I34" i="21" s="1"/>
  <c r="K34" i="21" s="1"/>
  <c r="E34" i="21"/>
  <c r="E33" i="21"/>
  <c r="G33" i="21" s="1"/>
  <c r="I33" i="21" s="1"/>
  <c r="K33" i="21" s="1"/>
  <c r="E32" i="21"/>
  <c r="G32" i="21" s="1"/>
  <c r="I32" i="21" s="1"/>
  <c r="K32" i="21" s="1"/>
  <c r="G31" i="21"/>
  <c r="I31" i="21" s="1"/>
  <c r="K31" i="21" s="1"/>
  <c r="E31" i="21"/>
  <c r="G30" i="21"/>
  <c r="I30" i="21" s="1"/>
  <c r="K30" i="21" s="1"/>
  <c r="E30" i="21"/>
  <c r="K29" i="21"/>
  <c r="E29" i="21"/>
  <c r="G29" i="21" s="1"/>
  <c r="I29" i="21" s="1"/>
  <c r="G28" i="21"/>
  <c r="I28" i="21" s="1"/>
  <c r="K28" i="21" s="1"/>
  <c r="E28" i="21"/>
  <c r="E27" i="21"/>
  <c r="G27" i="21" s="1"/>
  <c r="I27" i="21" s="1"/>
  <c r="K27" i="21" s="1"/>
  <c r="E26" i="21"/>
  <c r="G26" i="21" s="1"/>
  <c r="I26" i="21" s="1"/>
  <c r="K26" i="21" s="1"/>
  <c r="G25" i="21"/>
  <c r="I25" i="21" s="1"/>
  <c r="K25" i="21" s="1"/>
  <c r="E25" i="21"/>
  <c r="G24" i="21"/>
  <c r="I24" i="21" s="1"/>
  <c r="K24" i="21" s="1"/>
  <c r="E24" i="21"/>
  <c r="K23" i="21"/>
  <c r="E23" i="21"/>
  <c r="G23" i="21" s="1"/>
  <c r="I23" i="21" s="1"/>
  <c r="G22" i="21"/>
  <c r="I22" i="21" s="1"/>
  <c r="K22" i="21" s="1"/>
  <c r="E22" i="21"/>
  <c r="E21" i="21"/>
  <c r="G21" i="21" s="1"/>
  <c r="I21" i="21" s="1"/>
  <c r="K21" i="21" s="1"/>
  <c r="E20" i="21"/>
  <c r="G20" i="21" s="1"/>
  <c r="I20" i="21" s="1"/>
  <c r="K20" i="21" s="1"/>
  <c r="G19" i="21"/>
  <c r="I19" i="21" s="1"/>
  <c r="K19" i="21" s="1"/>
  <c r="E19" i="21"/>
  <c r="G18" i="21"/>
  <c r="I18" i="21" s="1"/>
  <c r="K18" i="21" s="1"/>
  <c r="E18" i="21"/>
  <c r="K17" i="21"/>
  <c r="E17" i="21"/>
  <c r="G17" i="21" s="1"/>
  <c r="I17" i="21" s="1"/>
  <c r="G16" i="21"/>
  <c r="I16" i="21" s="1"/>
  <c r="K16" i="21" s="1"/>
  <c r="E16" i="21"/>
  <c r="E15" i="21"/>
  <c r="G15" i="21" s="1"/>
  <c r="I15" i="21" s="1"/>
  <c r="K15" i="21" s="1"/>
  <c r="E14" i="21"/>
  <c r="G14" i="21" s="1"/>
  <c r="I14" i="21" s="1"/>
  <c r="K14" i="21" s="1"/>
  <c r="G13" i="21"/>
  <c r="I13" i="21" s="1"/>
  <c r="K13" i="21" s="1"/>
  <c r="E13" i="21"/>
  <c r="E12" i="21"/>
  <c r="G12" i="21" s="1"/>
  <c r="I12" i="21" s="1"/>
  <c r="K12" i="21" s="1"/>
  <c r="M12" i="21" s="1"/>
  <c r="E11" i="21"/>
  <c r="G11" i="21" s="1"/>
  <c r="I11" i="21" s="1"/>
  <c r="K11" i="21" s="1"/>
  <c r="M11" i="21" s="1"/>
  <c r="E10" i="21"/>
  <c r="G10" i="21" s="1"/>
  <c r="I10" i="21" s="1"/>
  <c r="K10" i="21" s="1"/>
  <c r="M10" i="21" s="1"/>
  <c r="E9" i="21"/>
  <c r="G9" i="21" s="1"/>
  <c r="I9" i="21" s="1"/>
  <c r="K9" i="21" s="1"/>
  <c r="M9" i="21" s="1"/>
  <c r="E8" i="21"/>
  <c r="G8" i="21" s="1"/>
  <c r="I8" i="21" s="1"/>
  <c r="K8" i="21" s="1"/>
  <c r="M8" i="21" s="1"/>
  <c r="G7" i="21"/>
  <c r="I7" i="21" s="1"/>
  <c r="K7" i="21" s="1"/>
  <c r="M7" i="21" s="1"/>
  <c r="E7" i="21"/>
  <c r="E6" i="21"/>
  <c r="G6" i="21" s="1"/>
  <c r="I6" i="21" s="1"/>
  <c r="K6" i="21" s="1"/>
  <c r="M6" i="21" s="1"/>
  <c r="G5" i="21"/>
  <c r="I5" i="21" s="1"/>
  <c r="K5" i="21" s="1"/>
  <c r="M5" i="21" s="1"/>
  <c r="E5" i="21"/>
  <c r="M4" i="21"/>
  <c r="G4" i="21"/>
  <c r="I4" i="21" s="1"/>
  <c r="K4" i="21" s="1"/>
  <c r="E4" i="21"/>
  <c r="G3" i="21"/>
  <c r="I3" i="21" s="1"/>
  <c r="K3" i="21" s="1"/>
  <c r="M3" i="21" s="1"/>
  <c r="E3" i="21"/>
  <c r="G2" i="21"/>
  <c r="I2" i="21" s="1"/>
  <c r="K2" i="21" s="1"/>
  <c r="E2" i="21"/>
  <c r="E18" i="20"/>
  <c r="G18" i="20" s="1"/>
  <c r="I18" i="20" s="1"/>
  <c r="K18" i="20" s="1"/>
  <c r="G17" i="20"/>
  <c r="I17" i="20" s="1"/>
  <c r="K17" i="20" s="1"/>
  <c r="E17" i="20"/>
  <c r="K16" i="20"/>
  <c r="I16" i="20"/>
  <c r="G16" i="20"/>
  <c r="E16" i="20"/>
  <c r="E15" i="20"/>
  <c r="G15" i="20" s="1"/>
  <c r="I15" i="20" s="1"/>
  <c r="K15" i="20" s="1"/>
  <c r="G14" i="20"/>
  <c r="I14" i="20" s="1"/>
  <c r="K14" i="20" s="1"/>
  <c r="E14" i="20"/>
  <c r="I13" i="20"/>
  <c r="K13" i="20" s="1"/>
  <c r="G13" i="20"/>
  <c r="E13" i="20"/>
  <c r="E12" i="20"/>
  <c r="G12" i="20" s="1"/>
  <c r="I12" i="20" s="1"/>
  <c r="K12" i="20" s="1"/>
  <c r="G11" i="20"/>
  <c r="I11" i="20" s="1"/>
  <c r="K11" i="20" s="1"/>
  <c r="E11" i="20"/>
  <c r="G10" i="20"/>
  <c r="I10" i="20" s="1"/>
  <c r="K10" i="20" s="1"/>
  <c r="E10" i="20"/>
  <c r="E9" i="20"/>
  <c r="G9" i="20" s="1"/>
  <c r="I9" i="20" s="1"/>
  <c r="K9" i="20" s="1"/>
  <c r="G8" i="20"/>
  <c r="I8" i="20" s="1"/>
  <c r="K8" i="20" s="1"/>
  <c r="E8" i="20"/>
  <c r="I7" i="20"/>
  <c r="K7" i="20" s="1"/>
  <c r="G7" i="20"/>
  <c r="E7" i="20"/>
  <c r="E6" i="20"/>
  <c r="G6" i="20" s="1"/>
  <c r="I6" i="20" s="1"/>
  <c r="K6" i="20" s="1"/>
  <c r="G5" i="20"/>
  <c r="I5" i="20" s="1"/>
  <c r="K5" i="20" s="1"/>
  <c r="E5" i="20"/>
  <c r="K4" i="20"/>
  <c r="I4" i="20"/>
  <c r="G4" i="20"/>
  <c r="E4" i="20"/>
  <c r="E3" i="20"/>
  <c r="G3" i="20" s="1"/>
  <c r="I3" i="20" s="1"/>
  <c r="K3" i="20" s="1"/>
  <c r="G2" i="20"/>
  <c r="I2" i="20" s="1"/>
  <c r="K2" i="20" s="1"/>
  <c r="E2" i="20"/>
  <c r="I30" i="19"/>
  <c r="K30" i="19" s="1"/>
  <c r="G30" i="19"/>
  <c r="E30" i="19"/>
  <c r="E29" i="19"/>
  <c r="G29" i="19" s="1"/>
  <c r="I29" i="19" s="1"/>
  <c r="K29" i="19" s="1"/>
  <c r="G28" i="19"/>
  <c r="I28" i="19" s="1"/>
  <c r="K28" i="19" s="1"/>
  <c r="E28" i="19"/>
  <c r="G27" i="19"/>
  <c r="I27" i="19" s="1"/>
  <c r="K27" i="19" s="1"/>
  <c r="E27" i="19"/>
  <c r="E26" i="19"/>
  <c r="G26" i="19" s="1"/>
  <c r="I26" i="19" s="1"/>
  <c r="K26" i="19" s="1"/>
  <c r="G25" i="19"/>
  <c r="I25" i="19" s="1"/>
  <c r="K25" i="19" s="1"/>
  <c r="E25" i="19"/>
  <c r="G24" i="19"/>
  <c r="I24" i="19" s="1"/>
  <c r="K24" i="19" s="1"/>
  <c r="E24" i="19"/>
  <c r="E23" i="19"/>
  <c r="G23" i="19" s="1"/>
  <c r="I23" i="19" s="1"/>
  <c r="K23" i="19" s="1"/>
  <c r="G22" i="19"/>
  <c r="I22" i="19" s="1"/>
  <c r="K22" i="19" s="1"/>
  <c r="E22" i="19"/>
  <c r="G21" i="19"/>
  <c r="I21" i="19" s="1"/>
  <c r="K21" i="19" s="1"/>
  <c r="E21" i="19"/>
  <c r="E20" i="19"/>
  <c r="G20" i="19" s="1"/>
  <c r="I20" i="19" s="1"/>
  <c r="K20" i="19" s="1"/>
  <c r="G19" i="19"/>
  <c r="I19" i="19" s="1"/>
  <c r="K19" i="19" s="1"/>
  <c r="E19" i="19"/>
  <c r="K18" i="19"/>
  <c r="I18" i="19"/>
  <c r="G18" i="19"/>
  <c r="E18" i="19"/>
  <c r="E17" i="19"/>
  <c r="G17" i="19" s="1"/>
  <c r="I17" i="19" s="1"/>
  <c r="K17" i="19" s="1"/>
  <c r="G16" i="19"/>
  <c r="I16" i="19" s="1"/>
  <c r="K16" i="19" s="1"/>
  <c r="E16" i="19"/>
  <c r="G15" i="19"/>
  <c r="I15" i="19" s="1"/>
  <c r="K15" i="19" s="1"/>
  <c r="E15" i="19"/>
  <c r="E14" i="19"/>
  <c r="G14" i="19" s="1"/>
  <c r="I14" i="19" s="1"/>
  <c r="K14" i="19" s="1"/>
  <c r="G13" i="19"/>
  <c r="I13" i="19" s="1"/>
  <c r="K13" i="19" s="1"/>
  <c r="E13" i="19"/>
  <c r="K12" i="19"/>
  <c r="I12" i="19"/>
  <c r="G12" i="19"/>
  <c r="E12" i="19"/>
  <c r="E11" i="19"/>
  <c r="G11" i="19" s="1"/>
  <c r="I11" i="19" s="1"/>
  <c r="K11" i="19" s="1"/>
  <c r="G10" i="19"/>
  <c r="I10" i="19" s="1"/>
  <c r="K10" i="19" s="1"/>
  <c r="E10" i="19"/>
  <c r="K9" i="19"/>
  <c r="I9" i="19"/>
  <c r="G9" i="19"/>
  <c r="E9" i="19"/>
  <c r="E8" i="19"/>
  <c r="G8" i="19" s="1"/>
  <c r="I8" i="19" s="1"/>
  <c r="K8" i="19" s="1"/>
  <c r="G7" i="19"/>
  <c r="I7" i="19" s="1"/>
  <c r="K7" i="19" s="1"/>
  <c r="E7" i="19"/>
  <c r="I6" i="19"/>
  <c r="K6" i="19" s="1"/>
  <c r="G6" i="19"/>
  <c r="E6" i="19"/>
  <c r="E5" i="19"/>
  <c r="G5" i="19" s="1"/>
  <c r="I5" i="19" s="1"/>
  <c r="K5" i="19" s="1"/>
  <c r="G4" i="19"/>
  <c r="I4" i="19" s="1"/>
  <c r="K4" i="19" s="1"/>
  <c r="E4" i="19"/>
  <c r="I3" i="19"/>
  <c r="K3" i="19" s="1"/>
  <c r="G3" i="19"/>
  <c r="E3" i="19"/>
  <c r="E2" i="19"/>
  <c r="G2" i="19" s="1"/>
  <c r="I2" i="19" s="1"/>
  <c r="K2" i="19" s="1"/>
  <c r="G25" i="18"/>
  <c r="I25" i="18" s="1"/>
  <c r="K25" i="18" s="1"/>
  <c r="E25" i="18"/>
  <c r="I24" i="18"/>
  <c r="K24" i="18" s="1"/>
  <c r="G24" i="18"/>
  <c r="E24" i="18"/>
  <c r="E23" i="18"/>
  <c r="G23" i="18" s="1"/>
  <c r="I23" i="18" s="1"/>
  <c r="K23" i="18" s="1"/>
  <c r="G22" i="18"/>
  <c r="I22" i="18" s="1"/>
  <c r="K22" i="18" s="1"/>
  <c r="E22" i="18"/>
  <c r="K21" i="18"/>
  <c r="I21" i="18"/>
  <c r="G21" i="18"/>
  <c r="E21" i="18"/>
  <c r="E20" i="18"/>
  <c r="G20" i="18" s="1"/>
  <c r="I20" i="18" s="1"/>
  <c r="K20" i="18" s="1"/>
  <c r="G19" i="18"/>
  <c r="I19" i="18" s="1"/>
  <c r="K19" i="18" s="1"/>
  <c r="E19" i="18"/>
  <c r="I18" i="18"/>
  <c r="K18" i="18" s="1"/>
  <c r="G18" i="18"/>
  <c r="E18" i="18"/>
  <c r="E17" i="18"/>
  <c r="G17" i="18" s="1"/>
  <c r="I17" i="18" s="1"/>
  <c r="K17" i="18" s="1"/>
  <c r="G16" i="18"/>
  <c r="I16" i="18" s="1"/>
  <c r="K16" i="18" s="1"/>
  <c r="E16" i="18"/>
  <c r="G15" i="18"/>
  <c r="I15" i="18" s="1"/>
  <c r="K15" i="18" s="1"/>
  <c r="E15" i="18"/>
  <c r="E14" i="18"/>
  <c r="G14" i="18" s="1"/>
  <c r="I14" i="18" s="1"/>
  <c r="K14" i="18" s="1"/>
  <c r="E13" i="18"/>
  <c r="G13" i="18" s="1"/>
  <c r="I13" i="18" s="1"/>
  <c r="K13" i="18" s="1"/>
  <c r="G12" i="18"/>
  <c r="I12" i="18" s="1"/>
  <c r="K12" i="18" s="1"/>
  <c r="E12" i="18"/>
  <c r="E11" i="18"/>
  <c r="G11" i="18" s="1"/>
  <c r="I11" i="18" s="1"/>
  <c r="K11" i="18" s="1"/>
  <c r="G10" i="18"/>
  <c r="I10" i="18" s="1"/>
  <c r="K10" i="18" s="1"/>
  <c r="E10" i="18"/>
  <c r="G9" i="18"/>
  <c r="I9" i="18" s="1"/>
  <c r="K9" i="18" s="1"/>
  <c r="E9" i="18"/>
  <c r="E8" i="18"/>
  <c r="G8" i="18" s="1"/>
  <c r="I8" i="18" s="1"/>
  <c r="K8" i="18" s="1"/>
  <c r="G7" i="18"/>
  <c r="I7" i="18" s="1"/>
  <c r="K7" i="18" s="1"/>
  <c r="E7" i="18"/>
  <c r="K6" i="18"/>
  <c r="I6" i="18"/>
  <c r="G6" i="18"/>
  <c r="E6" i="18"/>
  <c r="E5" i="18"/>
  <c r="G5" i="18" s="1"/>
  <c r="I5" i="18" s="1"/>
  <c r="K5" i="18" s="1"/>
  <c r="G4" i="18"/>
  <c r="I4" i="18" s="1"/>
  <c r="K4" i="18" s="1"/>
  <c r="E4" i="18"/>
  <c r="K3" i="18"/>
  <c r="G3" i="18"/>
  <c r="I3" i="18" s="1"/>
  <c r="E3" i="18"/>
  <c r="E2" i="18"/>
  <c r="G2" i="18" s="1"/>
  <c r="I2" i="18" s="1"/>
  <c r="K2" i="18" s="1"/>
  <c r="H10" i="17"/>
  <c r="J10" i="17" s="1"/>
  <c r="L10" i="17" s="1"/>
  <c r="F10" i="17"/>
  <c r="L9" i="17"/>
  <c r="J9" i="17"/>
  <c r="H9" i="17"/>
  <c r="F9" i="17"/>
  <c r="F8" i="17"/>
  <c r="H8" i="17" s="1"/>
  <c r="J8" i="17" s="1"/>
  <c r="L8" i="17" s="1"/>
  <c r="H7" i="17"/>
  <c r="J7" i="17" s="1"/>
  <c r="L7" i="17" s="1"/>
  <c r="F7" i="17"/>
  <c r="L6" i="17"/>
  <c r="J6" i="17"/>
  <c r="H6" i="17"/>
  <c r="F6" i="17"/>
  <c r="F5" i="17"/>
  <c r="H5" i="17" s="1"/>
  <c r="J5" i="17" s="1"/>
  <c r="L5" i="17" s="1"/>
  <c r="H4" i="17"/>
  <c r="J4" i="17" s="1"/>
  <c r="L4" i="17" s="1"/>
  <c r="F4" i="17"/>
  <c r="J3" i="17"/>
  <c r="L3" i="17" s="1"/>
  <c r="H3" i="17"/>
  <c r="F3" i="17"/>
  <c r="F2" i="17"/>
  <c r="H2" i="17" s="1"/>
  <c r="J2" i="17" s="1"/>
  <c r="L2" i="17" s="1"/>
  <c r="G38" i="16"/>
  <c r="I38" i="16" s="1"/>
  <c r="K38" i="16" s="1"/>
  <c r="E38" i="16"/>
  <c r="I37" i="16"/>
  <c r="K37" i="16" s="1"/>
  <c r="G37" i="16"/>
  <c r="E37" i="16"/>
  <c r="E36" i="16"/>
  <c r="G36" i="16" s="1"/>
  <c r="I36" i="16" s="1"/>
  <c r="K36" i="16" s="1"/>
  <c r="E35" i="16"/>
  <c r="G35" i="16" s="1"/>
  <c r="I35" i="16" s="1"/>
  <c r="K35" i="16" s="1"/>
  <c r="I34" i="16"/>
  <c r="K34" i="16" s="1"/>
  <c r="G34" i="16"/>
  <c r="E34" i="16"/>
  <c r="E33" i="16"/>
  <c r="G33" i="16" s="1"/>
  <c r="I33" i="16" s="1"/>
  <c r="K33" i="16" s="1"/>
  <c r="E32" i="16"/>
  <c r="G32" i="16" s="1"/>
  <c r="I32" i="16" s="1"/>
  <c r="K32" i="16" s="1"/>
  <c r="G31" i="16"/>
  <c r="I31" i="16" s="1"/>
  <c r="K31" i="16" s="1"/>
  <c r="E31" i="16"/>
  <c r="E30" i="16"/>
  <c r="G30" i="16" s="1"/>
  <c r="I30" i="16" s="1"/>
  <c r="K30" i="16" s="1"/>
  <c r="E29" i="16"/>
  <c r="G29" i="16" s="1"/>
  <c r="I29" i="16" s="1"/>
  <c r="K29" i="16" s="1"/>
  <c r="I28" i="16"/>
  <c r="K28" i="16" s="1"/>
  <c r="G28" i="16"/>
  <c r="E28" i="16"/>
  <c r="E27" i="16"/>
  <c r="G27" i="16" s="1"/>
  <c r="I27" i="16" s="1"/>
  <c r="K27" i="16" s="1"/>
  <c r="G26" i="16"/>
  <c r="I26" i="16" s="1"/>
  <c r="K26" i="16" s="1"/>
  <c r="E26" i="16"/>
  <c r="G25" i="16"/>
  <c r="I25" i="16" s="1"/>
  <c r="K25" i="16" s="1"/>
  <c r="E25" i="16"/>
  <c r="E24" i="16"/>
  <c r="G24" i="16" s="1"/>
  <c r="I24" i="16" s="1"/>
  <c r="K24" i="16" s="1"/>
  <c r="E23" i="16"/>
  <c r="G23" i="16" s="1"/>
  <c r="I23" i="16" s="1"/>
  <c r="K23" i="16" s="1"/>
  <c r="G22" i="16"/>
  <c r="I22" i="16" s="1"/>
  <c r="K22" i="16" s="1"/>
  <c r="E22" i="16"/>
  <c r="E21" i="16"/>
  <c r="G21" i="16" s="1"/>
  <c r="I21" i="16" s="1"/>
  <c r="K21" i="16" s="1"/>
  <c r="G20" i="16"/>
  <c r="I20" i="16" s="1"/>
  <c r="K20" i="16" s="1"/>
  <c r="E20" i="16"/>
  <c r="G19" i="16"/>
  <c r="I19" i="16" s="1"/>
  <c r="K19" i="16" s="1"/>
  <c r="E19" i="16"/>
  <c r="E18" i="16"/>
  <c r="G18" i="16" s="1"/>
  <c r="I18" i="16" s="1"/>
  <c r="K18" i="16" s="1"/>
  <c r="G17" i="16"/>
  <c r="I17" i="16" s="1"/>
  <c r="K17" i="16" s="1"/>
  <c r="E17" i="16"/>
  <c r="K16" i="16"/>
  <c r="I16" i="16"/>
  <c r="G16" i="16"/>
  <c r="E16" i="16"/>
  <c r="E15" i="16"/>
  <c r="G15" i="16" s="1"/>
  <c r="I15" i="16" s="1"/>
  <c r="K15" i="16" s="1"/>
  <c r="G14" i="16"/>
  <c r="I14" i="16" s="1"/>
  <c r="K14" i="16" s="1"/>
  <c r="E14" i="16"/>
  <c r="K13" i="16"/>
  <c r="G13" i="16"/>
  <c r="I13" i="16" s="1"/>
  <c r="E13" i="16"/>
  <c r="E12" i="16"/>
  <c r="G12" i="16" s="1"/>
  <c r="I12" i="16" s="1"/>
  <c r="K12" i="16" s="1"/>
  <c r="G11" i="16"/>
  <c r="I11" i="16" s="1"/>
  <c r="K11" i="16" s="1"/>
  <c r="E11" i="16"/>
  <c r="I10" i="16"/>
  <c r="K10" i="16" s="1"/>
  <c r="G10" i="16"/>
  <c r="E10" i="16"/>
  <c r="E9" i="16"/>
  <c r="G9" i="16" s="1"/>
  <c r="I9" i="16" s="1"/>
  <c r="K9" i="16" s="1"/>
  <c r="G8" i="16"/>
  <c r="I8" i="16" s="1"/>
  <c r="K8" i="16" s="1"/>
  <c r="E8" i="16"/>
  <c r="K7" i="16"/>
  <c r="I7" i="16"/>
  <c r="G7" i="16"/>
  <c r="E7" i="16"/>
  <c r="E6" i="16"/>
  <c r="G6" i="16" s="1"/>
  <c r="I6" i="16" s="1"/>
  <c r="K6" i="16" s="1"/>
  <c r="E5" i="16"/>
  <c r="G5" i="16" s="1"/>
  <c r="I5" i="16" s="1"/>
  <c r="K5" i="16" s="1"/>
  <c r="I4" i="16"/>
  <c r="K4" i="16" s="1"/>
  <c r="G4" i="16"/>
  <c r="E4" i="16"/>
  <c r="E3" i="16"/>
  <c r="G3" i="16" s="1"/>
  <c r="I3" i="16" s="1"/>
  <c r="K3" i="16" s="1"/>
  <c r="G2" i="16"/>
  <c r="I2" i="16" s="1"/>
  <c r="K2" i="16" s="1"/>
  <c r="E2" i="16"/>
  <c r="I11" i="15"/>
  <c r="K11" i="15" s="1"/>
  <c r="G11" i="15"/>
  <c r="E11" i="15"/>
  <c r="E10" i="15"/>
  <c r="G10" i="15" s="1"/>
  <c r="I10" i="15" s="1"/>
  <c r="K10" i="15" s="1"/>
  <c r="E9" i="15"/>
  <c r="G9" i="15" s="1"/>
  <c r="I9" i="15" s="1"/>
  <c r="K9" i="15" s="1"/>
  <c r="I8" i="15"/>
  <c r="K8" i="15" s="1"/>
  <c r="G8" i="15"/>
  <c r="E8" i="15"/>
  <c r="E7" i="15"/>
  <c r="G7" i="15" s="1"/>
  <c r="I7" i="15" s="1"/>
  <c r="K7" i="15" s="1"/>
  <c r="E6" i="15"/>
  <c r="G6" i="15" s="1"/>
  <c r="I6" i="15" s="1"/>
  <c r="K6" i="15" s="1"/>
  <c r="G5" i="15"/>
  <c r="I5" i="15" s="1"/>
  <c r="K5" i="15" s="1"/>
  <c r="E5" i="15"/>
  <c r="E4" i="15"/>
  <c r="G4" i="15" s="1"/>
  <c r="I4" i="15" s="1"/>
  <c r="K4" i="15" s="1"/>
  <c r="E3" i="15"/>
  <c r="G3" i="15" s="1"/>
  <c r="I3" i="15" s="1"/>
  <c r="K3" i="15" s="1"/>
  <c r="I2" i="15"/>
  <c r="K2" i="15" s="1"/>
  <c r="G2" i="15"/>
  <c r="E2" i="15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3" i="14"/>
  <c r="J2" i="14"/>
  <c r="M10" i="13"/>
  <c r="L10" i="13"/>
  <c r="I10" i="13"/>
  <c r="J10" i="13" s="1"/>
  <c r="K10" i="13" s="1"/>
  <c r="I9" i="13"/>
  <c r="J9" i="13" s="1"/>
  <c r="L8" i="13"/>
  <c r="K8" i="13"/>
  <c r="M8" i="13" s="1"/>
  <c r="J8" i="13"/>
  <c r="I8" i="13"/>
  <c r="J7" i="13"/>
  <c r="I7" i="13"/>
  <c r="L6" i="13"/>
  <c r="K6" i="13"/>
  <c r="J6" i="13"/>
  <c r="I6" i="13"/>
  <c r="J5" i="13"/>
  <c r="L5" i="13" s="1"/>
  <c r="I5" i="13"/>
  <c r="J4" i="13"/>
  <c r="I4" i="13"/>
  <c r="K3" i="13"/>
  <c r="I3" i="13"/>
  <c r="J3" i="13" s="1"/>
  <c r="K2" i="13"/>
  <c r="J2" i="13"/>
  <c r="I2" i="13"/>
  <c r="I14" i="12"/>
  <c r="H14" i="12"/>
  <c r="H13" i="12"/>
  <c r="I13" i="12" s="1"/>
  <c r="I12" i="12"/>
  <c r="H12" i="12"/>
  <c r="L11" i="12"/>
  <c r="K11" i="12"/>
  <c r="H11" i="12"/>
  <c r="I11" i="12" s="1"/>
  <c r="J11" i="12" s="1"/>
  <c r="H10" i="12"/>
  <c r="I10" i="12" s="1"/>
  <c r="K9" i="12"/>
  <c r="J9" i="12"/>
  <c r="L9" i="12" s="1"/>
  <c r="I9" i="12"/>
  <c r="H9" i="12"/>
  <c r="I8" i="12"/>
  <c r="H8" i="12"/>
  <c r="K7" i="12"/>
  <c r="J7" i="12"/>
  <c r="I7" i="12"/>
  <c r="H7" i="12"/>
  <c r="I6" i="12"/>
  <c r="K6" i="12" s="1"/>
  <c r="H6" i="12"/>
  <c r="I5" i="12"/>
  <c r="H5" i="12"/>
  <c r="K4" i="12"/>
  <c r="J4" i="12"/>
  <c r="L4" i="12" s="1"/>
  <c r="I4" i="12"/>
  <c r="H4" i="12"/>
  <c r="J3" i="12"/>
  <c r="I3" i="12"/>
  <c r="H3" i="12"/>
  <c r="H2" i="12"/>
  <c r="I2" i="12" s="1"/>
  <c r="G30" i="11"/>
  <c r="I30" i="11" s="1"/>
  <c r="K30" i="11" s="1"/>
  <c r="E30" i="11"/>
  <c r="E29" i="11"/>
  <c r="G29" i="11" s="1"/>
  <c r="I29" i="11" s="1"/>
  <c r="K29" i="11" s="1"/>
  <c r="K28" i="11"/>
  <c r="E28" i="11"/>
  <c r="G28" i="11" s="1"/>
  <c r="I28" i="11" s="1"/>
  <c r="G27" i="11"/>
  <c r="I27" i="11" s="1"/>
  <c r="K27" i="11" s="1"/>
  <c r="E27" i="11"/>
  <c r="E26" i="11"/>
  <c r="G26" i="11" s="1"/>
  <c r="I26" i="11" s="1"/>
  <c r="K26" i="11" s="1"/>
  <c r="E25" i="11"/>
  <c r="G25" i="11" s="1"/>
  <c r="I25" i="11" s="1"/>
  <c r="K25" i="11" s="1"/>
  <c r="G24" i="11"/>
  <c r="I24" i="11" s="1"/>
  <c r="K24" i="11" s="1"/>
  <c r="E24" i="11"/>
  <c r="E23" i="11"/>
  <c r="G23" i="11" s="1"/>
  <c r="I23" i="11" s="1"/>
  <c r="K23" i="11" s="1"/>
  <c r="I22" i="11"/>
  <c r="K22" i="11" s="1"/>
  <c r="G22" i="11"/>
  <c r="E22" i="11"/>
  <c r="G21" i="11"/>
  <c r="I21" i="11" s="1"/>
  <c r="K21" i="11" s="1"/>
  <c r="E21" i="11"/>
  <c r="E20" i="11"/>
  <c r="G20" i="11" s="1"/>
  <c r="I20" i="11" s="1"/>
  <c r="K20" i="11" s="1"/>
  <c r="I19" i="11"/>
  <c r="K19" i="11" s="1"/>
  <c r="E19" i="11"/>
  <c r="G19" i="11" s="1"/>
  <c r="G18" i="11"/>
  <c r="I18" i="11" s="1"/>
  <c r="K18" i="11" s="1"/>
  <c r="E18" i="11"/>
  <c r="E17" i="11"/>
  <c r="G17" i="11" s="1"/>
  <c r="I17" i="11" s="1"/>
  <c r="K17" i="11" s="1"/>
  <c r="G16" i="11"/>
  <c r="I16" i="11" s="1"/>
  <c r="K16" i="11" s="1"/>
  <c r="E16" i="11"/>
  <c r="G15" i="11"/>
  <c r="I15" i="11" s="1"/>
  <c r="K15" i="11" s="1"/>
  <c r="E15" i="11"/>
  <c r="E14" i="11"/>
  <c r="G14" i="11" s="1"/>
  <c r="I14" i="11" s="1"/>
  <c r="K14" i="11" s="1"/>
  <c r="I13" i="11"/>
  <c r="K13" i="11" s="1"/>
  <c r="G13" i="11"/>
  <c r="E13" i="11"/>
  <c r="G12" i="11"/>
  <c r="I12" i="11" s="1"/>
  <c r="K12" i="11" s="1"/>
  <c r="E12" i="11"/>
  <c r="E11" i="11"/>
  <c r="G11" i="11" s="1"/>
  <c r="I11" i="11" s="1"/>
  <c r="K11" i="11" s="1"/>
  <c r="G10" i="11"/>
  <c r="I10" i="11" s="1"/>
  <c r="K10" i="11" s="1"/>
  <c r="E10" i="11"/>
  <c r="G9" i="11"/>
  <c r="I9" i="11" s="1"/>
  <c r="K9" i="11" s="1"/>
  <c r="E9" i="11"/>
  <c r="E8" i="11"/>
  <c r="G8" i="11" s="1"/>
  <c r="I8" i="11" s="1"/>
  <c r="K8" i="11" s="1"/>
  <c r="G7" i="11"/>
  <c r="I7" i="11" s="1"/>
  <c r="K7" i="11" s="1"/>
  <c r="E7" i="11"/>
  <c r="G6" i="11"/>
  <c r="I6" i="11" s="1"/>
  <c r="K6" i="11" s="1"/>
  <c r="E6" i="11"/>
  <c r="E5" i="11"/>
  <c r="G5" i="11" s="1"/>
  <c r="I5" i="11" s="1"/>
  <c r="K5" i="11" s="1"/>
  <c r="G4" i="11"/>
  <c r="I4" i="11" s="1"/>
  <c r="K4" i="11" s="1"/>
  <c r="E4" i="11"/>
  <c r="E3" i="11"/>
  <c r="G3" i="11" s="1"/>
  <c r="I3" i="11" s="1"/>
  <c r="K3" i="11" s="1"/>
  <c r="M3" i="11" s="1"/>
  <c r="E2" i="11"/>
  <c r="G2" i="11" s="1"/>
  <c r="I2" i="11" s="1"/>
  <c r="K2" i="11" s="1"/>
  <c r="M2" i="11" s="1"/>
  <c r="E1" i="11"/>
  <c r="G1" i="11" s="1"/>
  <c r="I1" i="11" s="1"/>
  <c r="K1" i="11" s="1"/>
  <c r="M1" i="11" s="1"/>
  <c r="E39" i="10"/>
  <c r="G39" i="10" s="1"/>
  <c r="I39" i="10" s="1"/>
  <c r="K39" i="10" s="1"/>
  <c r="G38" i="10"/>
  <c r="I38" i="10" s="1"/>
  <c r="K38" i="10" s="1"/>
  <c r="E38" i="10"/>
  <c r="K37" i="10"/>
  <c r="G37" i="10"/>
  <c r="I37" i="10" s="1"/>
  <c r="E37" i="10"/>
  <c r="E36" i="10"/>
  <c r="G36" i="10" s="1"/>
  <c r="I36" i="10" s="1"/>
  <c r="K36" i="10" s="1"/>
  <c r="G35" i="10"/>
  <c r="I35" i="10" s="1"/>
  <c r="K35" i="10" s="1"/>
  <c r="E35" i="10"/>
  <c r="K34" i="10"/>
  <c r="G34" i="10"/>
  <c r="I34" i="10" s="1"/>
  <c r="E34" i="10"/>
  <c r="E33" i="10"/>
  <c r="G33" i="10" s="1"/>
  <c r="I33" i="10" s="1"/>
  <c r="K33" i="10" s="1"/>
  <c r="E32" i="10"/>
  <c r="G32" i="10" s="1"/>
  <c r="I32" i="10" s="1"/>
  <c r="K32" i="10" s="1"/>
  <c r="K31" i="10"/>
  <c r="E31" i="10"/>
  <c r="G31" i="10" s="1"/>
  <c r="I31" i="10" s="1"/>
  <c r="E30" i="10"/>
  <c r="G30" i="10" s="1"/>
  <c r="I30" i="10" s="1"/>
  <c r="K30" i="10" s="1"/>
  <c r="E29" i="10"/>
  <c r="G29" i="10" s="1"/>
  <c r="I29" i="10" s="1"/>
  <c r="K29" i="10" s="1"/>
  <c r="E28" i="10"/>
  <c r="G28" i="10" s="1"/>
  <c r="I28" i="10" s="1"/>
  <c r="K28" i="10" s="1"/>
  <c r="E27" i="10"/>
  <c r="G27" i="10" s="1"/>
  <c r="I27" i="10" s="1"/>
  <c r="K27" i="10" s="1"/>
  <c r="I26" i="10"/>
  <c r="K26" i="10" s="1"/>
  <c r="G26" i="10"/>
  <c r="E26" i="10"/>
  <c r="K25" i="10"/>
  <c r="E25" i="10"/>
  <c r="G25" i="10" s="1"/>
  <c r="I25" i="10" s="1"/>
  <c r="E24" i="10"/>
  <c r="G24" i="10" s="1"/>
  <c r="I24" i="10" s="1"/>
  <c r="K24" i="10" s="1"/>
  <c r="I23" i="10"/>
  <c r="K23" i="10" s="1"/>
  <c r="E23" i="10"/>
  <c r="G23" i="10" s="1"/>
  <c r="K22" i="10"/>
  <c r="E22" i="10"/>
  <c r="G22" i="10" s="1"/>
  <c r="I22" i="10" s="1"/>
  <c r="E21" i="10"/>
  <c r="G21" i="10" s="1"/>
  <c r="I21" i="10" s="1"/>
  <c r="K21" i="10" s="1"/>
  <c r="G20" i="10"/>
  <c r="I20" i="10" s="1"/>
  <c r="K20" i="10" s="1"/>
  <c r="E20" i="10"/>
  <c r="K19" i="10"/>
  <c r="E19" i="10"/>
  <c r="G19" i="10" s="1"/>
  <c r="I19" i="10" s="1"/>
  <c r="E18" i="10"/>
  <c r="G18" i="10" s="1"/>
  <c r="I18" i="10" s="1"/>
  <c r="K18" i="10" s="1"/>
  <c r="I17" i="10"/>
  <c r="K17" i="10" s="1"/>
  <c r="G17" i="10"/>
  <c r="E17" i="10"/>
  <c r="K16" i="10"/>
  <c r="E16" i="10"/>
  <c r="G16" i="10" s="1"/>
  <c r="I16" i="10" s="1"/>
  <c r="E15" i="10"/>
  <c r="G15" i="10" s="1"/>
  <c r="I15" i="10" s="1"/>
  <c r="K15" i="10" s="1"/>
  <c r="G14" i="10"/>
  <c r="I14" i="10" s="1"/>
  <c r="K14" i="10" s="1"/>
  <c r="E14" i="10"/>
  <c r="K13" i="10"/>
  <c r="E13" i="10"/>
  <c r="G13" i="10" s="1"/>
  <c r="I13" i="10" s="1"/>
  <c r="E12" i="10"/>
  <c r="G12" i="10" s="1"/>
  <c r="I12" i="10" s="1"/>
  <c r="K12" i="10" s="1"/>
  <c r="G11" i="10"/>
  <c r="I11" i="10" s="1"/>
  <c r="K11" i="10" s="1"/>
  <c r="E11" i="10"/>
  <c r="G10" i="10"/>
  <c r="I10" i="10" s="1"/>
  <c r="K10" i="10" s="1"/>
  <c r="E10" i="10"/>
  <c r="E9" i="10"/>
  <c r="G9" i="10" s="1"/>
  <c r="I9" i="10" s="1"/>
  <c r="K9" i="10" s="1"/>
  <c r="I8" i="10"/>
  <c r="K8" i="10" s="1"/>
  <c r="E8" i="10"/>
  <c r="G8" i="10" s="1"/>
  <c r="K7" i="10"/>
  <c r="E7" i="10"/>
  <c r="G7" i="10" s="1"/>
  <c r="I7" i="10" s="1"/>
  <c r="E6" i="10"/>
  <c r="G6" i="10" s="1"/>
  <c r="I6" i="10" s="1"/>
  <c r="K6" i="10" s="1"/>
  <c r="G5" i="10"/>
  <c r="I5" i="10" s="1"/>
  <c r="K5" i="10" s="1"/>
  <c r="E5" i="10"/>
  <c r="K4" i="10"/>
  <c r="G4" i="10"/>
  <c r="I4" i="10" s="1"/>
  <c r="E4" i="10"/>
  <c r="E3" i="10"/>
  <c r="G3" i="10" s="1"/>
  <c r="I3" i="10" s="1"/>
  <c r="K3" i="10" s="1"/>
  <c r="K62" i="9"/>
  <c r="E62" i="9"/>
  <c r="G62" i="9" s="1"/>
  <c r="I62" i="9" s="1"/>
  <c r="K61" i="9"/>
  <c r="G61" i="9"/>
  <c r="I61" i="9" s="1"/>
  <c r="E61" i="9"/>
  <c r="E60" i="9"/>
  <c r="G60" i="9" s="1"/>
  <c r="I60" i="9" s="1"/>
  <c r="K60" i="9" s="1"/>
  <c r="G59" i="9"/>
  <c r="I59" i="9" s="1"/>
  <c r="K59" i="9" s="1"/>
  <c r="E59" i="9"/>
  <c r="K58" i="9"/>
  <c r="G58" i="9"/>
  <c r="I58" i="9" s="1"/>
  <c r="E58" i="9"/>
  <c r="E57" i="9"/>
  <c r="G57" i="9" s="1"/>
  <c r="I57" i="9" s="1"/>
  <c r="K57" i="9" s="1"/>
  <c r="G56" i="9"/>
  <c r="I56" i="9" s="1"/>
  <c r="K56" i="9" s="1"/>
  <c r="E56" i="9"/>
  <c r="K55" i="9"/>
  <c r="G55" i="9"/>
  <c r="I55" i="9" s="1"/>
  <c r="E55" i="9"/>
  <c r="E54" i="9"/>
  <c r="G54" i="9" s="1"/>
  <c r="I54" i="9" s="1"/>
  <c r="K54" i="9" s="1"/>
  <c r="K53" i="9"/>
  <c r="E53" i="9"/>
  <c r="G53" i="9" s="1"/>
  <c r="I53" i="9" s="1"/>
  <c r="K52" i="9"/>
  <c r="G52" i="9"/>
  <c r="I52" i="9" s="1"/>
  <c r="E52" i="9"/>
  <c r="E51" i="9"/>
  <c r="G51" i="9" s="1"/>
  <c r="I51" i="9" s="1"/>
  <c r="K51" i="9" s="1"/>
  <c r="K50" i="9"/>
  <c r="G50" i="9"/>
  <c r="I50" i="9" s="1"/>
  <c r="E50" i="9"/>
  <c r="K49" i="9"/>
  <c r="G49" i="9"/>
  <c r="I49" i="9" s="1"/>
  <c r="E49" i="9"/>
  <c r="E48" i="9"/>
  <c r="G48" i="9" s="1"/>
  <c r="I48" i="9" s="1"/>
  <c r="K48" i="9" s="1"/>
  <c r="G47" i="9"/>
  <c r="I47" i="9" s="1"/>
  <c r="K47" i="9" s="1"/>
  <c r="E47" i="9"/>
  <c r="K46" i="9"/>
  <c r="G46" i="9"/>
  <c r="I46" i="9" s="1"/>
  <c r="E46" i="9"/>
  <c r="E45" i="9"/>
  <c r="G45" i="9" s="1"/>
  <c r="I45" i="9" s="1"/>
  <c r="K45" i="9" s="1"/>
  <c r="K44" i="9"/>
  <c r="E44" i="9"/>
  <c r="G44" i="9" s="1"/>
  <c r="I44" i="9" s="1"/>
  <c r="K43" i="9"/>
  <c r="G43" i="9"/>
  <c r="I43" i="9" s="1"/>
  <c r="E43" i="9"/>
  <c r="E42" i="9"/>
  <c r="G42" i="9" s="1"/>
  <c r="I42" i="9" s="1"/>
  <c r="K42" i="9" s="1"/>
  <c r="G41" i="9"/>
  <c r="I41" i="9" s="1"/>
  <c r="K41" i="9" s="1"/>
  <c r="E41" i="9"/>
  <c r="K40" i="9"/>
  <c r="G40" i="9"/>
  <c r="I40" i="9" s="1"/>
  <c r="E40" i="9"/>
  <c r="E39" i="9"/>
  <c r="G39" i="9" s="1"/>
  <c r="I39" i="9" s="1"/>
  <c r="K39" i="9" s="1"/>
  <c r="G38" i="9"/>
  <c r="I38" i="9" s="1"/>
  <c r="K38" i="9" s="1"/>
  <c r="E38" i="9"/>
  <c r="K37" i="9"/>
  <c r="G37" i="9"/>
  <c r="I37" i="9" s="1"/>
  <c r="E37" i="9"/>
  <c r="E36" i="9"/>
  <c r="G36" i="9" s="1"/>
  <c r="I36" i="9" s="1"/>
  <c r="K36" i="9" s="1"/>
  <c r="K35" i="9"/>
  <c r="E35" i="9"/>
  <c r="G35" i="9" s="1"/>
  <c r="I35" i="9" s="1"/>
  <c r="K34" i="9"/>
  <c r="G34" i="9"/>
  <c r="I34" i="9" s="1"/>
  <c r="E34" i="9"/>
  <c r="E33" i="9"/>
  <c r="G33" i="9" s="1"/>
  <c r="I33" i="9" s="1"/>
  <c r="K33" i="9" s="1"/>
  <c r="E32" i="9"/>
  <c r="G32" i="9" s="1"/>
  <c r="I32" i="9" s="1"/>
  <c r="K32" i="9" s="1"/>
  <c r="K31" i="9"/>
  <c r="G31" i="9"/>
  <c r="I31" i="9" s="1"/>
  <c r="E31" i="9"/>
  <c r="I30" i="9"/>
  <c r="K30" i="9" s="1"/>
  <c r="E30" i="9"/>
  <c r="G30" i="9" s="1"/>
  <c r="I29" i="9"/>
  <c r="K29" i="9" s="1"/>
  <c r="E29" i="9"/>
  <c r="G29" i="9" s="1"/>
  <c r="G28" i="9"/>
  <c r="I28" i="9" s="1"/>
  <c r="K28" i="9" s="1"/>
  <c r="E28" i="9"/>
  <c r="I27" i="9"/>
  <c r="K27" i="9" s="1"/>
  <c r="E27" i="9"/>
  <c r="G27" i="9" s="1"/>
  <c r="I26" i="9"/>
  <c r="K26" i="9" s="1"/>
  <c r="G26" i="9"/>
  <c r="E26" i="9"/>
  <c r="K25" i="9"/>
  <c r="G25" i="9"/>
  <c r="I25" i="9" s="1"/>
  <c r="E25" i="9"/>
  <c r="E24" i="9"/>
  <c r="G24" i="9" s="1"/>
  <c r="I24" i="9" s="1"/>
  <c r="K24" i="9" s="1"/>
  <c r="K23" i="9"/>
  <c r="I23" i="9"/>
  <c r="G23" i="9"/>
  <c r="E23" i="9"/>
  <c r="K22" i="9"/>
  <c r="G22" i="9"/>
  <c r="I22" i="9" s="1"/>
  <c r="E22" i="9"/>
  <c r="I21" i="9"/>
  <c r="K21" i="9" s="1"/>
  <c r="E21" i="9"/>
  <c r="G21" i="9" s="1"/>
  <c r="E20" i="9"/>
  <c r="G20" i="9" s="1"/>
  <c r="I20" i="9" s="1"/>
  <c r="K20" i="9" s="1"/>
  <c r="K19" i="9"/>
  <c r="G19" i="9"/>
  <c r="I19" i="9" s="1"/>
  <c r="E19" i="9"/>
  <c r="I17" i="9"/>
  <c r="K17" i="9" s="1"/>
  <c r="E17" i="9"/>
  <c r="G17" i="9" s="1"/>
  <c r="I16" i="9"/>
  <c r="K16" i="9" s="1"/>
  <c r="E16" i="9"/>
  <c r="G16" i="9" s="1"/>
  <c r="G15" i="9"/>
  <c r="I15" i="9" s="1"/>
  <c r="K15" i="9" s="1"/>
  <c r="E15" i="9"/>
  <c r="I14" i="9"/>
  <c r="K14" i="9" s="1"/>
  <c r="E14" i="9"/>
  <c r="G14" i="9" s="1"/>
  <c r="I13" i="9"/>
  <c r="K13" i="9" s="1"/>
  <c r="G13" i="9"/>
  <c r="E13" i="9"/>
  <c r="K12" i="9"/>
  <c r="G12" i="9"/>
  <c r="I12" i="9" s="1"/>
  <c r="E12" i="9"/>
  <c r="E11" i="9"/>
  <c r="G11" i="9" s="1"/>
  <c r="I11" i="9" s="1"/>
  <c r="K11" i="9" s="1"/>
  <c r="I10" i="9"/>
  <c r="K10" i="9" s="1"/>
  <c r="G10" i="9"/>
  <c r="E10" i="9"/>
  <c r="K9" i="9"/>
  <c r="G9" i="9"/>
  <c r="I9" i="9" s="1"/>
  <c r="E9" i="9"/>
  <c r="I7" i="9"/>
  <c r="K7" i="9" s="1"/>
  <c r="E7" i="9"/>
  <c r="G7" i="9" s="1"/>
  <c r="E6" i="9"/>
  <c r="G6" i="9" s="1"/>
  <c r="I6" i="9" s="1"/>
  <c r="K6" i="9" s="1"/>
  <c r="K5" i="9"/>
  <c r="G5" i="9"/>
  <c r="I5" i="9" s="1"/>
  <c r="E5" i="9"/>
  <c r="I4" i="9"/>
  <c r="K4" i="9" s="1"/>
  <c r="E4" i="9"/>
  <c r="G4" i="9" s="1"/>
  <c r="I3" i="9"/>
  <c r="K3" i="9" s="1"/>
  <c r="E3" i="9"/>
  <c r="G3" i="9" s="1"/>
  <c r="K51" i="8"/>
  <c r="I51" i="8"/>
  <c r="G51" i="8"/>
  <c r="E51" i="8"/>
  <c r="I50" i="8"/>
  <c r="K50" i="8" s="1"/>
  <c r="E50" i="8"/>
  <c r="G50" i="8" s="1"/>
  <c r="E49" i="8"/>
  <c r="G49" i="8" s="1"/>
  <c r="I49" i="8" s="1"/>
  <c r="K49" i="8" s="1"/>
  <c r="K48" i="8"/>
  <c r="I48" i="8"/>
  <c r="G48" i="8"/>
  <c r="E48" i="8"/>
  <c r="I47" i="8"/>
  <c r="K47" i="8" s="1"/>
  <c r="E47" i="8"/>
  <c r="G47" i="8" s="1"/>
  <c r="G46" i="8"/>
  <c r="I46" i="8" s="1"/>
  <c r="K46" i="8" s="1"/>
  <c r="E46" i="8"/>
  <c r="K45" i="8"/>
  <c r="I45" i="8"/>
  <c r="G45" i="8"/>
  <c r="E45" i="8"/>
  <c r="E44" i="8"/>
  <c r="G44" i="8" s="1"/>
  <c r="I44" i="8" s="1"/>
  <c r="K44" i="8" s="1"/>
  <c r="K43" i="8"/>
  <c r="I43" i="8"/>
  <c r="G43" i="8"/>
  <c r="E43" i="8"/>
  <c r="K42" i="8"/>
  <c r="I42" i="8"/>
  <c r="G42" i="8"/>
  <c r="E42" i="8"/>
  <c r="E41" i="8"/>
  <c r="G41" i="8" s="1"/>
  <c r="I41" i="8" s="1"/>
  <c r="K41" i="8" s="1"/>
  <c r="G40" i="8"/>
  <c r="I40" i="8" s="1"/>
  <c r="K40" i="8" s="1"/>
  <c r="E40" i="8"/>
  <c r="K39" i="8"/>
  <c r="I39" i="8"/>
  <c r="G39" i="8"/>
  <c r="E39" i="8"/>
  <c r="E38" i="8"/>
  <c r="G38" i="8" s="1"/>
  <c r="I38" i="8" s="1"/>
  <c r="K38" i="8" s="1"/>
  <c r="I37" i="8"/>
  <c r="K37" i="8" s="1"/>
  <c r="E37" i="8"/>
  <c r="G37" i="8" s="1"/>
  <c r="K36" i="8"/>
  <c r="I36" i="8"/>
  <c r="G36" i="8"/>
  <c r="E36" i="8"/>
  <c r="I35" i="8"/>
  <c r="K35" i="8" s="1"/>
  <c r="E35" i="8"/>
  <c r="G35" i="8" s="1"/>
  <c r="E34" i="8"/>
  <c r="G34" i="8" s="1"/>
  <c r="I34" i="8" s="1"/>
  <c r="K34" i="8" s="1"/>
  <c r="K33" i="8"/>
  <c r="I33" i="8"/>
  <c r="G33" i="8"/>
  <c r="E33" i="8"/>
  <c r="I32" i="8"/>
  <c r="K32" i="8" s="1"/>
  <c r="E32" i="8"/>
  <c r="G32" i="8" s="1"/>
  <c r="E31" i="8"/>
  <c r="G31" i="8" s="1"/>
  <c r="I31" i="8" s="1"/>
  <c r="K31" i="8" s="1"/>
  <c r="K30" i="8"/>
  <c r="I30" i="8"/>
  <c r="G30" i="8"/>
  <c r="E30" i="8"/>
  <c r="I29" i="8"/>
  <c r="K29" i="8" s="1"/>
  <c r="E29" i="8"/>
  <c r="G29" i="8" s="1"/>
  <c r="G28" i="8"/>
  <c r="I28" i="8" s="1"/>
  <c r="K28" i="8" s="1"/>
  <c r="E28" i="8"/>
  <c r="K27" i="8"/>
  <c r="I27" i="8"/>
  <c r="G27" i="8"/>
  <c r="E27" i="8"/>
  <c r="E26" i="8"/>
  <c r="G26" i="8" s="1"/>
  <c r="I26" i="8" s="1"/>
  <c r="K26" i="8" s="1"/>
  <c r="I25" i="8"/>
  <c r="K25" i="8" s="1"/>
  <c r="G25" i="8"/>
  <c r="E25" i="8"/>
  <c r="K24" i="8"/>
  <c r="I24" i="8"/>
  <c r="G24" i="8"/>
  <c r="E24" i="8"/>
  <c r="E23" i="8"/>
  <c r="G23" i="8" s="1"/>
  <c r="I23" i="8" s="1"/>
  <c r="K23" i="8" s="1"/>
  <c r="E22" i="8"/>
  <c r="G22" i="8" s="1"/>
  <c r="I22" i="8" s="1"/>
  <c r="K22" i="8" s="1"/>
  <c r="K21" i="8"/>
  <c r="I21" i="8"/>
  <c r="G21" i="8"/>
  <c r="E21" i="8"/>
  <c r="E20" i="8"/>
  <c r="G20" i="8" s="1"/>
  <c r="I20" i="8" s="1"/>
  <c r="K20" i="8" s="1"/>
  <c r="I19" i="8"/>
  <c r="K19" i="8" s="1"/>
  <c r="E19" i="8"/>
  <c r="G19" i="8" s="1"/>
  <c r="E18" i="8"/>
  <c r="G18" i="8" s="1"/>
  <c r="I18" i="8" s="1"/>
  <c r="K18" i="8" s="1"/>
  <c r="I17" i="8"/>
  <c r="K17" i="8" s="1"/>
  <c r="E17" i="8"/>
  <c r="G17" i="8" s="1"/>
  <c r="E16" i="8"/>
  <c r="G16" i="8" s="1"/>
  <c r="I16" i="8" s="1"/>
  <c r="K16" i="8" s="1"/>
  <c r="K15" i="8"/>
  <c r="I15" i="8"/>
  <c r="G15" i="8"/>
  <c r="E15" i="8"/>
  <c r="I14" i="8"/>
  <c r="K14" i="8" s="1"/>
  <c r="E14" i="8"/>
  <c r="G14" i="8" s="1"/>
  <c r="G13" i="8"/>
  <c r="I13" i="8" s="1"/>
  <c r="K13" i="8" s="1"/>
  <c r="E13" i="8"/>
  <c r="K12" i="8"/>
  <c r="I12" i="8"/>
  <c r="G12" i="8"/>
  <c r="E12" i="8"/>
  <c r="E11" i="8"/>
  <c r="G11" i="8" s="1"/>
  <c r="I11" i="8" s="1"/>
  <c r="K11" i="8" s="1"/>
  <c r="E10" i="8"/>
  <c r="G10" i="8" s="1"/>
  <c r="I10" i="8" s="1"/>
  <c r="K10" i="8" s="1"/>
  <c r="K9" i="8"/>
  <c r="E9" i="8"/>
  <c r="G9" i="8" s="1"/>
  <c r="I9" i="8" s="1"/>
  <c r="I8" i="8"/>
  <c r="K8" i="8" s="1"/>
  <c r="E8" i="8"/>
  <c r="G8" i="8" s="1"/>
  <c r="G7" i="8"/>
  <c r="I7" i="8" s="1"/>
  <c r="K7" i="8" s="1"/>
  <c r="E7" i="8"/>
  <c r="K6" i="8"/>
  <c r="E6" i="8"/>
  <c r="G6" i="8" s="1"/>
  <c r="I6" i="8" s="1"/>
  <c r="E5" i="8"/>
  <c r="G5" i="8" s="1"/>
  <c r="I5" i="8" s="1"/>
  <c r="K5" i="8" s="1"/>
  <c r="E4" i="8"/>
  <c r="G4" i="8" s="1"/>
  <c r="I4" i="8" s="1"/>
  <c r="K4" i="8" s="1"/>
  <c r="K3" i="8"/>
  <c r="I3" i="8"/>
  <c r="G3" i="8"/>
  <c r="E3" i="8"/>
  <c r="E2" i="8"/>
  <c r="G2" i="8" s="1"/>
  <c r="I2" i="8" s="1"/>
  <c r="K2" i="8" s="1"/>
  <c r="I55" i="7"/>
  <c r="K55" i="7" s="1"/>
  <c r="E55" i="7"/>
  <c r="G55" i="7" s="1"/>
  <c r="K54" i="7"/>
  <c r="I54" i="7"/>
  <c r="E54" i="7"/>
  <c r="G54" i="7" s="1"/>
  <c r="I53" i="7"/>
  <c r="K53" i="7" s="1"/>
  <c r="G53" i="7"/>
  <c r="E53" i="7"/>
  <c r="K52" i="7"/>
  <c r="G52" i="7"/>
  <c r="I52" i="7" s="1"/>
  <c r="E52" i="7"/>
  <c r="I51" i="7"/>
  <c r="K51" i="7" s="1"/>
  <c r="G51" i="7"/>
  <c r="E51" i="7"/>
  <c r="I50" i="7"/>
  <c r="K50" i="7" s="1"/>
  <c r="G50" i="7"/>
  <c r="E50" i="7"/>
  <c r="K49" i="7"/>
  <c r="G49" i="7"/>
  <c r="I49" i="7" s="1"/>
  <c r="E49" i="7"/>
  <c r="G48" i="7"/>
  <c r="I48" i="7" s="1"/>
  <c r="K48" i="7" s="1"/>
  <c r="E48" i="7"/>
  <c r="I47" i="7"/>
  <c r="K47" i="7" s="1"/>
  <c r="G47" i="7"/>
  <c r="E47" i="7"/>
  <c r="K46" i="7"/>
  <c r="G46" i="7"/>
  <c r="I46" i="7" s="1"/>
  <c r="E46" i="7"/>
  <c r="K45" i="7"/>
  <c r="I45" i="7"/>
  <c r="G45" i="7"/>
  <c r="E45" i="7"/>
  <c r="I44" i="7"/>
  <c r="K44" i="7" s="1"/>
  <c r="G44" i="7"/>
  <c r="E44" i="7"/>
  <c r="K43" i="7"/>
  <c r="G43" i="7"/>
  <c r="I43" i="7" s="1"/>
  <c r="E43" i="7"/>
  <c r="I42" i="7"/>
  <c r="K42" i="7" s="1"/>
  <c r="G42" i="7"/>
  <c r="E42" i="7"/>
  <c r="I41" i="7"/>
  <c r="K41" i="7" s="1"/>
  <c r="G41" i="7"/>
  <c r="E41" i="7"/>
  <c r="K40" i="7"/>
  <c r="G40" i="7"/>
  <c r="I40" i="7" s="1"/>
  <c r="E40" i="7"/>
  <c r="I39" i="7"/>
  <c r="K39" i="7" s="1"/>
  <c r="G39" i="7"/>
  <c r="E39" i="7"/>
  <c r="I38" i="7"/>
  <c r="K38" i="7" s="1"/>
  <c r="G38" i="7"/>
  <c r="E38" i="7"/>
  <c r="G37" i="7"/>
  <c r="I37" i="7" s="1"/>
  <c r="K37" i="7" s="1"/>
  <c r="E37" i="7"/>
  <c r="I36" i="7"/>
  <c r="K36" i="7" s="1"/>
  <c r="G36" i="7"/>
  <c r="E36" i="7"/>
  <c r="I35" i="7"/>
  <c r="K35" i="7" s="1"/>
  <c r="G35" i="7"/>
  <c r="E35" i="7"/>
  <c r="K34" i="7"/>
  <c r="G34" i="7"/>
  <c r="I34" i="7" s="1"/>
  <c r="E34" i="7"/>
  <c r="I33" i="7"/>
  <c r="K33" i="7" s="1"/>
  <c r="G33" i="7"/>
  <c r="E33" i="7"/>
  <c r="I32" i="7"/>
  <c r="K32" i="7" s="1"/>
  <c r="G32" i="7"/>
  <c r="E32" i="7"/>
  <c r="K31" i="7"/>
  <c r="G31" i="7"/>
  <c r="I31" i="7" s="1"/>
  <c r="E31" i="7"/>
  <c r="G30" i="7"/>
  <c r="I30" i="7" s="1"/>
  <c r="K30" i="7" s="1"/>
  <c r="E30" i="7"/>
  <c r="I29" i="7"/>
  <c r="K29" i="7" s="1"/>
  <c r="G29" i="7"/>
  <c r="E29" i="7"/>
  <c r="K28" i="7"/>
  <c r="G28" i="7"/>
  <c r="I28" i="7" s="1"/>
  <c r="E28" i="7"/>
  <c r="K27" i="7"/>
  <c r="I27" i="7"/>
  <c r="G27" i="7"/>
  <c r="E27" i="7"/>
  <c r="I26" i="7"/>
  <c r="K26" i="7" s="1"/>
  <c r="G26" i="7"/>
  <c r="E26" i="7"/>
  <c r="K25" i="7"/>
  <c r="G25" i="7"/>
  <c r="I25" i="7" s="1"/>
  <c r="E25" i="7"/>
  <c r="I24" i="7"/>
  <c r="K24" i="7" s="1"/>
  <c r="G24" i="7"/>
  <c r="E24" i="7"/>
  <c r="I23" i="7"/>
  <c r="K23" i="7" s="1"/>
  <c r="G23" i="7"/>
  <c r="E23" i="7"/>
  <c r="G22" i="7"/>
  <c r="I22" i="7" s="1"/>
  <c r="K22" i="7" s="1"/>
  <c r="E22" i="7"/>
  <c r="I21" i="7"/>
  <c r="K21" i="7" s="1"/>
  <c r="G21" i="7"/>
  <c r="E21" i="7"/>
  <c r="I20" i="7"/>
  <c r="K20" i="7" s="1"/>
  <c r="G20" i="7"/>
  <c r="E20" i="7"/>
  <c r="G19" i="7"/>
  <c r="I19" i="7" s="1"/>
  <c r="K19" i="7" s="1"/>
  <c r="E19" i="7"/>
  <c r="I18" i="7"/>
  <c r="K18" i="7" s="1"/>
  <c r="G18" i="7"/>
  <c r="E18" i="7"/>
  <c r="I17" i="7"/>
  <c r="K17" i="7" s="1"/>
  <c r="G17" i="7"/>
  <c r="E17" i="7"/>
  <c r="K16" i="7"/>
  <c r="G16" i="7"/>
  <c r="I16" i="7" s="1"/>
  <c r="E16" i="7"/>
  <c r="G15" i="7"/>
  <c r="I15" i="7" s="1"/>
  <c r="K15" i="7" s="1"/>
  <c r="E15" i="7"/>
  <c r="I14" i="7"/>
  <c r="K14" i="7" s="1"/>
  <c r="G14" i="7"/>
  <c r="E14" i="7"/>
  <c r="K13" i="7"/>
  <c r="G13" i="7"/>
  <c r="I13" i="7" s="1"/>
  <c r="E13" i="7"/>
  <c r="G12" i="7"/>
  <c r="I12" i="7" s="1"/>
  <c r="K12" i="7" s="1"/>
  <c r="E12" i="7"/>
  <c r="I11" i="7"/>
  <c r="K11" i="7" s="1"/>
  <c r="G11" i="7"/>
  <c r="E11" i="7"/>
  <c r="K10" i="7"/>
  <c r="G10" i="7"/>
  <c r="I10" i="7" s="1"/>
  <c r="E10" i="7"/>
  <c r="K9" i="7"/>
  <c r="I9" i="7"/>
  <c r="G9" i="7"/>
  <c r="E9" i="7"/>
  <c r="I8" i="7"/>
  <c r="K8" i="7" s="1"/>
  <c r="G8" i="7"/>
  <c r="E8" i="7"/>
  <c r="K7" i="7"/>
  <c r="G7" i="7"/>
  <c r="I7" i="7" s="1"/>
  <c r="E7" i="7"/>
  <c r="I6" i="7"/>
  <c r="K6" i="7" s="1"/>
  <c r="G6" i="7"/>
  <c r="E6" i="7"/>
  <c r="I5" i="7"/>
  <c r="K5" i="7" s="1"/>
  <c r="G5" i="7"/>
  <c r="E5" i="7"/>
  <c r="G4" i="7"/>
  <c r="I4" i="7" s="1"/>
  <c r="K4" i="7" s="1"/>
  <c r="E4" i="7"/>
  <c r="I3" i="7"/>
  <c r="K3" i="7" s="1"/>
  <c r="G3" i="7"/>
  <c r="E3" i="7"/>
  <c r="G2" i="7"/>
  <c r="I2" i="7" s="1"/>
  <c r="K2" i="7" s="1"/>
  <c r="E2" i="7"/>
  <c r="G1" i="7"/>
  <c r="I1" i="7" s="1"/>
  <c r="K1" i="7" s="1"/>
  <c r="E1" i="7"/>
  <c r="K32" i="6"/>
  <c r="J32" i="6"/>
  <c r="L32" i="6" s="1"/>
  <c r="I32" i="6"/>
  <c r="H32" i="6"/>
  <c r="I31" i="6"/>
  <c r="H31" i="6"/>
  <c r="H30" i="6"/>
  <c r="I30" i="6" s="1"/>
  <c r="I29" i="6"/>
  <c r="K29" i="6" s="1"/>
  <c r="H29" i="6"/>
  <c r="J28" i="6"/>
  <c r="H28" i="6"/>
  <c r="I28" i="6" s="1"/>
  <c r="K28" i="6" s="1"/>
  <c r="H27" i="6"/>
  <c r="I27" i="6" s="1"/>
  <c r="J27" i="6" s="1"/>
  <c r="J26" i="6"/>
  <c r="H26" i="6"/>
  <c r="I26" i="6" s="1"/>
  <c r="I25" i="6"/>
  <c r="H25" i="6"/>
  <c r="H24" i="6"/>
  <c r="I24" i="6" s="1"/>
  <c r="H23" i="6"/>
  <c r="I23" i="6" s="1"/>
  <c r="H22" i="6"/>
  <c r="I22" i="6" s="1"/>
  <c r="K21" i="6"/>
  <c r="I21" i="6"/>
  <c r="H21" i="6"/>
  <c r="K20" i="6"/>
  <c r="J20" i="6"/>
  <c r="L20" i="6" s="1"/>
  <c r="I20" i="6"/>
  <c r="H20" i="6"/>
  <c r="I19" i="6"/>
  <c r="H19" i="6"/>
  <c r="J18" i="6"/>
  <c r="I18" i="6"/>
  <c r="K18" i="6" s="1"/>
  <c r="H18" i="6"/>
  <c r="I17" i="6"/>
  <c r="K17" i="6" s="1"/>
  <c r="H17" i="6"/>
  <c r="H16" i="6"/>
  <c r="I16" i="6" s="1"/>
  <c r="K16" i="6" s="1"/>
  <c r="H15" i="6"/>
  <c r="I15" i="6" s="1"/>
  <c r="J15" i="6" s="1"/>
  <c r="H14" i="6"/>
  <c r="I14" i="6" s="1"/>
  <c r="J14" i="6" s="1"/>
  <c r="I11" i="6"/>
  <c r="K11" i="6" s="1"/>
  <c r="G11" i="6"/>
  <c r="E11" i="6"/>
  <c r="E10" i="6"/>
  <c r="G10" i="6" s="1"/>
  <c r="I10" i="6" s="1"/>
  <c r="K10" i="6" s="1"/>
  <c r="E9" i="6"/>
  <c r="G9" i="6" s="1"/>
  <c r="I9" i="6" s="1"/>
  <c r="K9" i="6" s="1"/>
  <c r="G8" i="6"/>
  <c r="I8" i="6" s="1"/>
  <c r="K8" i="6" s="1"/>
  <c r="E8" i="6"/>
  <c r="E7" i="6"/>
  <c r="G7" i="6" s="1"/>
  <c r="I7" i="6" s="1"/>
  <c r="K7" i="6" s="1"/>
  <c r="E6" i="6"/>
  <c r="G6" i="6" s="1"/>
  <c r="I6" i="6" s="1"/>
  <c r="K6" i="6" s="1"/>
  <c r="I5" i="6"/>
  <c r="K5" i="6" s="1"/>
  <c r="G5" i="6"/>
  <c r="E5" i="6"/>
  <c r="E4" i="6"/>
  <c r="G4" i="6" s="1"/>
  <c r="I4" i="6" s="1"/>
  <c r="K4" i="6" s="1"/>
  <c r="E3" i="6"/>
  <c r="G3" i="6" s="1"/>
  <c r="I3" i="6" s="1"/>
  <c r="K3" i="6" s="1"/>
  <c r="G2" i="6"/>
  <c r="I2" i="6" s="1"/>
  <c r="K2" i="6" s="1"/>
  <c r="E2" i="6"/>
  <c r="E17" i="5"/>
  <c r="G17" i="5" s="1"/>
  <c r="I17" i="5" s="1"/>
  <c r="K17" i="5" s="1"/>
  <c r="E16" i="5"/>
  <c r="G16" i="5" s="1"/>
  <c r="I16" i="5" s="1"/>
  <c r="K16" i="5" s="1"/>
  <c r="I15" i="5"/>
  <c r="K15" i="5" s="1"/>
  <c r="G15" i="5"/>
  <c r="E15" i="5"/>
  <c r="E14" i="5"/>
  <c r="G14" i="5" s="1"/>
  <c r="I14" i="5" s="1"/>
  <c r="K14" i="5" s="1"/>
  <c r="E13" i="5"/>
  <c r="G13" i="5" s="1"/>
  <c r="I13" i="5" s="1"/>
  <c r="K13" i="5" s="1"/>
  <c r="G12" i="5"/>
  <c r="I12" i="5" s="1"/>
  <c r="K12" i="5" s="1"/>
  <c r="E12" i="5"/>
  <c r="E11" i="5"/>
  <c r="G11" i="5" s="1"/>
  <c r="I11" i="5" s="1"/>
  <c r="K11" i="5" s="1"/>
  <c r="E10" i="5"/>
  <c r="G10" i="5" s="1"/>
  <c r="I10" i="5" s="1"/>
  <c r="K10" i="5" s="1"/>
  <c r="I9" i="5"/>
  <c r="K9" i="5" s="1"/>
  <c r="G9" i="5"/>
  <c r="E9" i="5"/>
  <c r="E8" i="5"/>
  <c r="G8" i="5" s="1"/>
  <c r="I8" i="5" s="1"/>
  <c r="K8" i="5" s="1"/>
  <c r="E7" i="5"/>
  <c r="G7" i="5" s="1"/>
  <c r="I7" i="5" s="1"/>
  <c r="K7" i="5" s="1"/>
  <c r="G6" i="5"/>
  <c r="I6" i="5" s="1"/>
  <c r="K6" i="5" s="1"/>
  <c r="E6" i="5"/>
  <c r="E5" i="5"/>
  <c r="G5" i="5" s="1"/>
  <c r="I5" i="5" s="1"/>
  <c r="K5" i="5" s="1"/>
  <c r="E4" i="5"/>
  <c r="G4" i="5" s="1"/>
  <c r="I4" i="5" s="1"/>
  <c r="K4" i="5" s="1"/>
  <c r="I3" i="5"/>
  <c r="K3" i="5" s="1"/>
  <c r="G3" i="5"/>
  <c r="E3" i="5"/>
  <c r="E2" i="5"/>
  <c r="G2" i="5" s="1"/>
  <c r="I2" i="5" s="1"/>
  <c r="K2" i="5" s="1"/>
  <c r="I20" i="4"/>
  <c r="H20" i="4"/>
  <c r="L19" i="4"/>
  <c r="K19" i="4"/>
  <c r="J19" i="4"/>
  <c r="I19" i="4"/>
  <c r="H19" i="4"/>
  <c r="I18" i="4"/>
  <c r="H18" i="4"/>
  <c r="H17" i="4"/>
  <c r="I17" i="4" s="1"/>
  <c r="I16" i="4"/>
  <c r="K16" i="4" s="1"/>
  <c r="H16" i="4"/>
  <c r="J15" i="4"/>
  <c r="H15" i="4"/>
  <c r="I15" i="4" s="1"/>
  <c r="K15" i="4" s="1"/>
  <c r="L14" i="4"/>
  <c r="K14" i="4"/>
  <c r="H14" i="4"/>
  <c r="I14" i="4" s="1"/>
  <c r="J14" i="4" s="1"/>
  <c r="H13" i="4"/>
  <c r="I13" i="4" s="1"/>
  <c r="I12" i="4"/>
  <c r="H12" i="4"/>
  <c r="H11" i="4"/>
  <c r="I11" i="4" s="1"/>
  <c r="H10" i="4"/>
  <c r="I10" i="4" s="1"/>
  <c r="H9" i="4"/>
  <c r="I9" i="4" s="1"/>
  <c r="I8" i="4"/>
  <c r="H8" i="4"/>
  <c r="K7" i="4"/>
  <c r="J7" i="4"/>
  <c r="L7" i="4" s="1"/>
  <c r="I7" i="4"/>
  <c r="H7" i="4"/>
  <c r="I6" i="4"/>
  <c r="H6" i="4"/>
  <c r="H5" i="4"/>
  <c r="I5" i="4" s="1"/>
  <c r="I4" i="4"/>
  <c r="K4" i="4" s="1"/>
  <c r="H4" i="4"/>
  <c r="J3" i="4"/>
  <c r="H3" i="4"/>
  <c r="I3" i="4" s="1"/>
  <c r="K3" i="4" s="1"/>
  <c r="H2" i="4"/>
  <c r="I2" i="4" s="1"/>
  <c r="J2" i="4" s="1"/>
  <c r="H17" i="3"/>
  <c r="I17" i="3" s="1"/>
  <c r="J17" i="3" s="1"/>
  <c r="I16" i="3"/>
  <c r="H16" i="3"/>
  <c r="H15" i="3"/>
  <c r="I15" i="3" s="1"/>
  <c r="H14" i="3"/>
  <c r="I14" i="3" s="1"/>
  <c r="H13" i="3"/>
  <c r="I13" i="3" s="1"/>
  <c r="K12" i="3"/>
  <c r="I12" i="3"/>
  <c r="H12" i="3"/>
  <c r="K11" i="3"/>
  <c r="J11" i="3"/>
  <c r="L11" i="3" s="1"/>
  <c r="I11" i="3"/>
  <c r="H11" i="3"/>
  <c r="I10" i="3"/>
  <c r="H10" i="3"/>
  <c r="J9" i="3"/>
  <c r="I9" i="3"/>
  <c r="K9" i="3" s="1"/>
  <c r="H9" i="3"/>
  <c r="I8" i="3"/>
  <c r="K8" i="3" s="1"/>
  <c r="H8" i="3"/>
  <c r="H7" i="3"/>
  <c r="I7" i="3" s="1"/>
  <c r="K7" i="3" s="1"/>
  <c r="H6" i="3"/>
  <c r="I6" i="3" s="1"/>
  <c r="J6" i="3" s="1"/>
  <c r="H5" i="3"/>
  <c r="I5" i="3" s="1"/>
  <c r="J5" i="3" s="1"/>
  <c r="K4" i="3"/>
  <c r="J4" i="3"/>
  <c r="I4" i="3"/>
  <c r="H4" i="3"/>
  <c r="H3" i="3"/>
  <c r="I3" i="3" s="1"/>
  <c r="H2" i="3"/>
  <c r="I2" i="3" s="1"/>
  <c r="H24" i="2"/>
  <c r="I24" i="2" s="1"/>
  <c r="I23" i="2"/>
  <c r="K23" i="2" s="1"/>
  <c r="H23" i="2"/>
  <c r="L22" i="2"/>
  <c r="K22" i="2"/>
  <c r="J22" i="2"/>
  <c r="I22" i="2"/>
  <c r="H22" i="2"/>
  <c r="I21" i="2"/>
  <c r="H21" i="2"/>
  <c r="H20" i="2"/>
  <c r="I20" i="2" s="1"/>
  <c r="I19" i="2"/>
  <c r="K19" i="2" s="1"/>
  <c r="H19" i="2"/>
  <c r="H18" i="2"/>
  <c r="I18" i="2" s="1"/>
  <c r="K18" i="2" s="1"/>
  <c r="H17" i="2"/>
  <c r="I17" i="2" s="1"/>
  <c r="J17" i="2" s="1"/>
  <c r="H16" i="2"/>
  <c r="I16" i="2" s="1"/>
  <c r="J15" i="2"/>
  <c r="I15" i="2"/>
  <c r="K15" i="2" s="1"/>
  <c r="H15" i="2"/>
  <c r="H14" i="2"/>
  <c r="I14" i="2" s="1"/>
  <c r="H13" i="2"/>
  <c r="I13" i="2" s="1"/>
  <c r="H12" i="2"/>
  <c r="I12" i="2" s="1"/>
  <c r="I11" i="2"/>
  <c r="H11" i="2"/>
  <c r="L10" i="2"/>
  <c r="K10" i="2"/>
  <c r="J10" i="2"/>
  <c r="I10" i="2"/>
  <c r="H10" i="2"/>
  <c r="I9" i="2"/>
  <c r="H9" i="2"/>
  <c r="H8" i="2"/>
  <c r="I8" i="2" s="1"/>
  <c r="I7" i="2"/>
  <c r="K7" i="2" s="1"/>
  <c r="H7" i="2"/>
  <c r="L6" i="2"/>
  <c r="J6" i="2"/>
  <c r="H6" i="2"/>
  <c r="I6" i="2" s="1"/>
  <c r="K6" i="2" s="1"/>
  <c r="H5" i="2"/>
  <c r="I5" i="2" s="1"/>
  <c r="J5" i="2" s="1"/>
  <c r="H4" i="2"/>
  <c r="I4" i="2" s="1"/>
  <c r="J4" i="2" s="1"/>
  <c r="J3" i="2"/>
  <c r="I3" i="2"/>
  <c r="H3" i="2"/>
  <c r="H2" i="2"/>
  <c r="I2" i="2" s="1"/>
  <c r="E259" i="1"/>
  <c r="G259" i="1" s="1"/>
  <c r="I259" i="1" s="1"/>
  <c r="K259" i="1" s="1"/>
  <c r="E258" i="1"/>
  <c r="G258" i="1" s="1"/>
  <c r="I258" i="1" s="1"/>
  <c r="K258" i="1" s="1"/>
  <c r="E257" i="1"/>
  <c r="G257" i="1" s="1"/>
  <c r="I257" i="1" s="1"/>
  <c r="K257" i="1" s="1"/>
  <c r="E256" i="1"/>
  <c r="G256" i="1" s="1"/>
  <c r="I256" i="1" s="1"/>
  <c r="K256" i="1" s="1"/>
  <c r="E255" i="1"/>
  <c r="G255" i="1" s="1"/>
  <c r="I255" i="1" s="1"/>
  <c r="K255" i="1" s="1"/>
  <c r="E254" i="1"/>
  <c r="G254" i="1" s="1"/>
  <c r="I254" i="1" s="1"/>
  <c r="K254" i="1" s="1"/>
  <c r="E253" i="1"/>
  <c r="G253" i="1" s="1"/>
  <c r="I253" i="1" s="1"/>
  <c r="K253" i="1" s="1"/>
  <c r="E252" i="1"/>
  <c r="G252" i="1" s="1"/>
  <c r="I252" i="1" s="1"/>
  <c r="K252" i="1" s="1"/>
  <c r="E251" i="1"/>
  <c r="G251" i="1" s="1"/>
  <c r="I251" i="1" s="1"/>
  <c r="K251" i="1" s="1"/>
  <c r="E250" i="1"/>
  <c r="G250" i="1" s="1"/>
  <c r="I250" i="1" s="1"/>
  <c r="K250" i="1" s="1"/>
  <c r="E249" i="1"/>
  <c r="G249" i="1" s="1"/>
  <c r="I249" i="1" s="1"/>
  <c r="K249" i="1" s="1"/>
  <c r="E248" i="1"/>
  <c r="G248" i="1" s="1"/>
  <c r="I248" i="1" s="1"/>
  <c r="K248" i="1" s="1"/>
  <c r="E247" i="1"/>
  <c r="G247" i="1" s="1"/>
  <c r="I247" i="1" s="1"/>
  <c r="K247" i="1" s="1"/>
  <c r="E246" i="1"/>
  <c r="G246" i="1" s="1"/>
  <c r="I246" i="1" s="1"/>
  <c r="K246" i="1" s="1"/>
  <c r="E245" i="1"/>
  <c r="G245" i="1" s="1"/>
  <c r="I245" i="1" s="1"/>
  <c r="K245" i="1" s="1"/>
  <c r="E244" i="1"/>
  <c r="G244" i="1" s="1"/>
  <c r="I244" i="1" s="1"/>
  <c r="K244" i="1" s="1"/>
  <c r="E243" i="1"/>
  <c r="G243" i="1" s="1"/>
  <c r="I243" i="1" s="1"/>
  <c r="K243" i="1" s="1"/>
  <c r="E242" i="1"/>
  <c r="G242" i="1" s="1"/>
  <c r="I242" i="1" s="1"/>
  <c r="K242" i="1" s="1"/>
  <c r="E241" i="1"/>
  <c r="G241" i="1" s="1"/>
  <c r="I241" i="1" s="1"/>
  <c r="K241" i="1" s="1"/>
  <c r="E240" i="1"/>
  <c r="G240" i="1" s="1"/>
  <c r="I240" i="1" s="1"/>
  <c r="K240" i="1" s="1"/>
  <c r="E239" i="1"/>
  <c r="G239" i="1" s="1"/>
  <c r="I239" i="1" s="1"/>
  <c r="K239" i="1" s="1"/>
  <c r="E238" i="1"/>
  <c r="G238" i="1" s="1"/>
  <c r="I238" i="1" s="1"/>
  <c r="K238" i="1" s="1"/>
  <c r="E237" i="1"/>
  <c r="G237" i="1" s="1"/>
  <c r="I237" i="1" s="1"/>
  <c r="K237" i="1" s="1"/>
  <c r="E236" i="1"/>
  <c r="G236" i="1" s="1"/>
  <c r="I236" i="1" s="1"/>
  <c r="K236" i="1" s="1"/>
  <c r="E235" i="1"/>
  <c r="G235" i="1" s="1"/>
  <c r="I235" i="1" s="1"/>
  <c r="K235" i="1" s="1"/>
  <c r="E234" i="1"/>
  <c r="G234" i="1" s="1"/>
  <c r="I234" i="1" s="1"/>
  <c r="K234" i="1" s="1"/>
  <c r="E233" i="1"/>
  <c r="G233" i="1" s="1"/>
  <c r="I233" i="1" s="1"/>
  <c r="K233" i="1" s="1"/>
  <c r="E232" i="1"/>
  <c r="G232" i="1" s="1"/>
  <c r="I232" i="1" s="1"/>
  <c r="K232" i="1" s="1"/>
  <c r="E231" i="1"/>
  <c r="G231" i="1" s="1"/>
  <c r="I231" i="1" s="1"/>
  <c r="K231" i="1" s="1"/>
  <c r="E230" i="1"/>
  <c r="G230" i="1" s="1"/>
  <c r="I230" i="1" s="1"/>
  <c r="K230" i="1" s="1"/>
  <c r="E229" i="1"/>
  <c r="G229" i="1" s="1"/>
  <c r="I229" i="1" s="1"/>
  <c r="K229" i="1" s="1"/>
  <c r="E228" i="1"/>
  <c r="G228" i="1" s="1"/>
  <c r="I228" i="1" s="1"/>
  <c r="K228" i="1" s="1"/>
  <c r="E227" i="1"/>
  <c r="G227" i="1" s="1"/>
  <c r="I227" i="1" s="1"/>
  <c r="K227" i="1" s="1"/>
  <c r="E226" i="1"/>
  <c r="G226" i="1" s="1"/>
  <c r="I226" i="1" s="1"/>
  <c r="K226" i="1" s="1"/>
  <c r="E225" i="1"/>
  <c r="G225" i="1" s="1"/>
  <c r="I225" i="1" s="1"/>
  <c r="K225" i="1" s="1"/>
  <c r="E224" i="1"/>
  <c r="G224" i="1" s="1"/>
  <c r="I224" i="1" s="1"/>
  <c r="K224" i="1" s="1"/>
  <c r="E223" i="1"/>
  <c r="G223" i="1" s="1"/>
  <c r="I223" i="1" s="1"/>
  <c r="K223" i="1" s="1"/>
  <c r="E222" i="1"/>
  <c r="G222" i="1" s="1"/>
  <c r="I222" i="1" s="1"/>
  <c r="K222" i="1" s="1"/>
  <c r="E221" i="1"/>
  <c r="G221" i="1" s="1"/>
  <c r="I221" i="1" s="1"/>
  <c r="K221" i="1" s="1"/>
  <c r="E220" i="1"/>
  <c r="G220" i="1" s="1"/>
  <c r="I220" i="1" s="1"/>
  <c r="K220" i="1" s="1"/>
  <c r="E219" i="1"/>
  <c r="G219" i="1" s="1"/>
  <c r="I219" i="1" s="1"/>
  <c r="K219" i="1" s="1"/>
  <c r="E218" i="1"/>
  <c r="G218" i="1" s="1"/>
  <c r="I218" i="1" s="1"/>
  <c r="K218" i="1" s="1"/>
  <c r="E217" i="1"/>
  <c r="G217" i="1" s="1"/>
  <c r="I217" i="1" s="1"/>
  <c r="K217" i="1" s="1"/>
  <c r="E216" i="1"/>
  <c r="G216" i="1" s="1"/>
  <c r="I216" i="1" s="1"/>
  <c r="K216" i="1" s="1"/>
  <c r="E215" i="1"/>
  <c r="G215" i="1" s="1"/>
  <c r="I215" i="1" s="1"/>
  <c r="K215" i="1" s="1"/>
  <c r="E214" i="1"/>
  <c r="G214" i="1" s="1"/>
  <c r="I214" i="1" s="1"/>
  <c r="K214" i="1" s="1"/>
  <c r="E213" i="1"/>
  <c r="G213" i="1" s="1"/>
  <c r="I213" i="1" s="1"/>
  <c r="K213" i="1" s="1"/>
  <c r="E212" i="1"/>
  <c r="G212" i="1" s="1"/>
  <c r="I212" i="1" s="1"/>
  <c r="K212" i="1" s="1"/>
  <c r="E211" i="1"/>
  <c r="G211" i="1" s="1"/>
  <c r="I211" i="1" s="1"/>
  <c r="K211" i="1" s="1"/>
  <c r="E210" i="1"/>
  <c r="G210" i="1" s="1"/>
  <c r="I210" i="1" s="1"/>
  <c r="K210" i="1" s="1"/>
  <c r="E209" i="1"/>
  <c r="G209" i="1" s="1"/>
  <c r="I209" i="1" s="1"/>
  <c r="K209" i="1" s="1"/>
  <c r="E208" i="1"/>
  <c r="G208" i="1" s="1"/>
  <c r="I208" i="1" s="1"/>
  <c r="K208" i="1" s="1"/>
  <c r="E207" i="1"/>
  <c r="G207" i="1" s="1"/>
  <c r="I207" i="1" s="1"/>
  <c r="K207" i="1" s="1"/>
  <c r="E206" i="1"/>
  <c r="G206" i="1" s="1"/>
  <c r="I206" i="1" s="1"/>
  <c r="K206" i="1" s="1"/>
  <c r="E205" i="1"/>
  <c r="G205" i="1" s="1"/>
  <c r="I205" i="1" s="1"/>
  <c r="K205" i="1" s="1"/>
  <c r="E204" i="1"/>
  <c r="G204" i="1" s="1"/>
  <c r="I204" i="1" s="1"/>
  <c r="K204" i="1" s="1"/>
  <c r="E203" i="1"/>
  <c r="G203" i="1" s="1"/>
  <c r="I203" i="1" s="1"/>
  <c r="K203" i="1" s="1"/>
  <c r="E202" i="1"/>
  <c r="G202" i="1" s="1"/>
  <c r="I202" i="1" s="1"/>
  <c r="K202" i="1" s="1"/>
  <c r="E201" i="1"/>
  <c r="G201" i="1" s="1"/>
  <c r="I201" i="1" s="1"/>
  <c r="K201" i="1" s="1"/>
  <c r="E200" i="1"/>
  <c r="G200" i="1" s="1"/>
  <c r="I200" i="1" s="1"/>
  <c r="K200" i="1" s="1"/>
  <c r="E199" i="1"/>
  <c r="G199" i="1" s="1"/>
  <c r="I199" i="1" s="1"/>
  <c r="K199" i="1" s="1"/>
  <c r="E198" i="1"/>
  <c r="G198" i="1" s="1"/>
  <c r="I198" i="1" s="1"/>
  <c r="K198" i="1" s="1"/>
  <c r="E197" i="1"/>
  <c r="G197" i="1" s="1"/>
  <c r="I197" i="1" s="1"/>
  <c r="K197" i="1" s="1"/>
  <c r="E196" i="1"/>
  <c r="G196" i="1" s="1"/>
  <c r="I196" i="1" s="1"/>
  <c r="K196" i="1" s="1"/>
  <c r="E195" i="1"/>
  <c r="G195" i="1" s="1"/>
  <c r="I195" i="1" s="1"/>
  <c r="K195" i="1" s="1"/>
  <c r="E194" i="1"/>
  <c r="G194" i="1" s="1"/>
  <c r="I194" i="1" s="1"/>
  <c r="K194" i="1" s="1"/>
  <c r="E193" i="1"/>
  <c r="G193" i="1" s="1"/>
  <c r="I193" i="1" s="1"/>
  <c r="K193" i="1" s="1"/>
  <c r="E192" i="1"/>
  <c r="G192" i="1" s="1"/>
  <c r="I192" i="1" s="1"/>
  <c r="K192" i="1" s="1"/>
  <c r="E191" i="1"/>
  <c r="G191" i="1" s="1"/>
  <c r="I191" i="1" s="1"/>
  <c r="K191" i="1" s="1"/>
  <c r="E190" i="1"/>
  <c r="G190" i="1" s="1"/>
  <c r="I190" i="1" s="1"/>
  <c r="K190" i="1" s="1"/>
  <c r="E189" i="1"/>
  <c r="G189" i="1" s="1"/>
  <c r="I189" i="1" s="1"/>
  <c r="K189" i="1" s="1"/>
  <c r="E188" i="1"/>
  <c r="G188" i="1" s="1"/>
  <c r="I188" i="1" s="1"/>
  <c r="K188" i="1" s="1"/>
  <c r="E187" i="1"/>
  <c r="G187" i="1" s="1"/>
  <c r="I187" i="1" s="1"/>
  <c r="K187" i="1" s="1"/>
  <c r="E186" i="1"/>
  <c r="G186" i="1" s="1"/>
  <c r="I186" i="1" s="1"/>
  <c r="K186" i="1" s="1"/>
  <c r="E185" i="1"/>
  <c r="G185" i="1" s="1"/>
  <c r="I185" i="1" s="1"/>
  <c r="K185" i="1" s="1"/>
  <c r="E184" i="1"/>
  <c r="G184" i="1" s="1"/>
  <c r="I184" i="1" s="1"/>
  <c r="K184" i="1" s="1"/>
  <c r="E183" i="1"/>
  <c r="G183" i="1" s="1"/>
  <c r="I183" i="1" s="1"/>
  <c r="K183" i="1" s="1"/>
  <c r="E182" i="1"/>
  <c r="G182" i="1" s="1"/>
  <c r="I182" i="1" s="1"/>
  <c r="K182" i="1" s="1"/>
  <c r="E181" i="1"/>
  <c r="G181" i="1" s="1"/>
  <c r="I181" i="1" s="1"/>
  <c r="K181" i="1" s="1"/>
  <c r="E180" i="1"/>
  <c r="G180" i="1" s="1"/>
  <c r="I180" i="1" s="1"/>
  <c r="K180" i="1" s="1"/>
  <c r="E179" i="1"/>
  <c r="G179" i="1" s="1"/>
  <c r="I179" i="1" s="1"/>
  <c r="K179" i="1" s="1"/>
  <c r="E178" i="1"/>
  <c r="G178" i="1" s="1"/>
  <c r="I178" i="1" s="1"/>
  <c r="K178" i="1" s="1"/>
  <c r="E177" i="1"/>
  <c r="G177" i="1" s="1"/>
  <c r="I177" i="1" s="1"/>
  <c r="K177" i="1" s="1"/>
  <c r="E176" i="1"/>
  <c r="G176" i="1" s="1"/>
  <c r="I176" i="1" s="1"/>
  <c r="K176" i="1" s="1"/>
  <c r="E175" i="1"/>
  <c r="G175" i="1" s="1"/>
  <c r="I175" i="1" s="1"/>
  <c r="K175" i="1" s="1"/>
  <c r="E174" i="1"/>
  <c r="G174" i="1" s="1"/>
  <c r="I174" i="1" s="1"/>
  <c r="K174" i="1" s="1"/>
  <c r="E173" i="1"/>
  <c r="G173" i="1" s="1"/>
  <c r="I173" i="1" s="1"/>
  <c r="K173" i="1" s="1"/>
  <c r="E172" i="1"/>
  <c r="G172" i="1" s="1"/>
  <c r="I172" i="1" s="1"/>
  <c r="K172" i="1" s="1"/>
  <c r="E171" i="1"/>
  <c r="G171" i="1" s="1"/>
  <c r="I171" i="1" s="1"/>
  <c r="K171" i="1" s="1"/>
  <c r="E170" i="1"/>
  <c r="G170" i="1" s="1"/>
  <c r="I170" i="1" s="1"/>
  <c r="K170" i="1" s="1"/>
  <c r="E169" i="1"/>
  <c r="G169" i="1" s="1"/>
  <c r="I169" i="1" s="1"/>
  <c r="K169" i="1" s="1"/>
  <c r="E168" i="1"/>
  <c r="G168" i="1" s="1"/>
  <c r="I168" i="1" s="1"/>
  <c r="K168" i="1" s="1"/>
  <c r="E167" i="1"/>
  <c r="G167" i="1" s="1"/>
  <c r="I167" i="1" s="1"/>
  <c r="K167" i="1" s="1"/>
  <c r="E166" i="1"/>
  <c r="G166" i="1" s="1"/>
  <c r="I166" i="1" s="1"/>
  <c r="K166" i="1" s="1"/>
  <c r="E165" i="1"/>
  <c r="G165" i="1" s="1"/>
  <c r="I165" i="1" s="1"/>
  <c r="K165" i="1" s="1"/>
  <c r="E164" i="1"/>
  <c r="G164" i="1" s="1"/>
  <c r="I164" i="1" s="1"/>
  <c r="K164" i="1" s="1"/>
  <c r="E163" i="1"/>
  <c r="G163" i="1" s="1"/>
  <c r="I163" i="1" s="1"/>
  <c r="K163" i="1" s="1"/>
  <c r="E162" i="1"/>
  <c r="G162" i="1" s="1"/>
  <c r="I162" i="1" s="1"/>
  <c r="K162" i="1" s="1"/>
  <c r="E161" i="1"/>
  <c r="G161" i="1" s="1"/>
  <c r="I161" i="1" s="1"/>
  <c r="K161" i="1" s="1"/>
  <c r="E160" i="1"/>
  <c r="G160" i="1" s="1"/>
  <c r="I160" i="1" s="1"/>
  <c r="K160" i="1" s="1"/>
  <c r="E159" i="1"/>
  <c r="G159" i="1" s="1"/>
  <c r="I159" i="1" s="1"/>
  <c r="K159" i="1" s="1"/>
  <c r="E158" i="1"/>
  <c r="G158" i="1" s="1"/>
  <c r="I158" i="1" s="1"/>
  <c r="K158" i="1" s="1"/>
  <c r="E157" i="1"/>
  <c r="G157" i="1" s="1"/>
  <c r="I157" i="1" s="1"/>
  <c r="K157" i="1" s="1"/>
  <c r="E156" i="1"/>
  <c r="G156" i="1" s="1"/>
  <c r="I156" i="1" s="1"/>
  <c r="K156" i="1" s="1"/>
  <c r="E155" i="1"/>
  <c r="G155" i="1" s="1"/>
  <c r="I155" i="1" s="1"/>
  <c r="K155" i="1" s="1"/>
  <c r="E154" i="1"/>
  <c r="G154" i="1" s="1"/>
  <c r="I154" i="1" s="1"/>
  <c r="K154" i="1" s="1"/>
  <c r="E153" i="1"/>
  <c r="G153" i="1" s="1"/>
  <c r="I153" i="1" s="1"/>
  <c r="K153" i="1" s="1"/>
  <c r="E152" i="1"/>
  <c r="G152" i="1" s="1"/>
  <c r="I152" i="1" s="1"/>
  <c r="K152" i="1" s="1"/>
  <c r="E151" i="1"/>
  <c r="G151" i="1" s="1"/>
  <c r="I151" i="1" s="1"/>
  <c r="K151" i="1" s="1"/>
  <c r="E150" i="1"/>
  <c r="G150" i="1" s="1"/>
  <c r="I150" i="1" s="1"/>
  <c r="K150" i="1" s="1"/>
  <c r="E149" i="1"/>
  <c r="G149" i="1" s="1"/>
  <c r="I149" i="1" s="1"/>
  <c r="K149" i="1" s="1"/>
  <c r="E148" i="1"/>
  <c r="G148" i="1" s="1"/>
  <c r="I148" i="1" s="1"/>
  <c r="K148" i="1" s="1"/>
  <c r="E147" i="1"/>
  <c r="G147" i="1" s="1"/>
  <c r="I147" i="1" s="1"/>
  <c r="K147" i="1" s="1"/>
  <c r="E146" i="1"/>
  <c r="G146" i="1" s="1"/>
  <c r="I146" i="1" s="1"/>
  <c r="K146" i="1" s="1"/>
  <c r="E145" i="1"/>
  <c r="G145" i="1" s="1"/>
  <c r="I145" i="1" s="1"/>
  <c r="K145" i="1" s="1"/>
  <c r="E144" i="1"/>
  <c r="G144" i="1" s="1"/>
  <c r="I144" i="1" s="1"/>
  <c r="K144" i="1" s="1"/>
  <c r="E143" i="1"/>
  <c r="G143" i="1" s="1"/>
  <c r="I143" i="1" s="1"/>
  <c r="K143" i="1" s="1"/>
  <c r="E142" i="1"/>
  <c r="G142" i="1" s="1"/>
  <c r="I142" i="1" s="1"/>
  <c r="K142" i="1" s="1"/>
  <c r="E141" i="1"/>
  <c r="G141" i="1" s="1"/>
  <c r="I141" i="1" s="1"/>
  <c r="K141" i="1" s="1"/>
  <c r="E140" i="1"/>
  <c r="G140" i="1" s="1"/>
  <c r="I140" i="1" s="1"/>
  <c r="K140" i="1" s="1"/>
  <c r="E139" i="1"/>
  <c r="G139" i="1" s="1"/>
  <c r="I139" i="1" s="1"/>
  <c r="K139" i="1" s="1"/>
  <c r="E138" i="1"/>
  <c r="G138" i="1" s="1"/>
  <c r="I138" i="1" s="1"/>
  <c r="K138" i="1" s="1"/>
  <c r="E137" i="1"/>
  <c r="G137" i="1" s="1"/>
  <c r="I137" i="1" s="1"/>
  <c r="K137" i="1" s="1"/>
  <c r="E136" i="1"/>
  <c r="G136" i="1" s="1"/>
  <c r="I136" i="1" s="1"/>
  <c r="K136" i="1" s="1"/>
  <c r="E135" i="1"/>
  <c r="G135" i="1" s="1"/>
  <c r="I135" i="1" s="1"/>
  <c r="K135" i="1" s="1"/>
  <c r="E134" i="1"/>
  <c r="G134" i="1" s="1"/>
  <c r="I134" i="1" s="1"/>
  <c r="K134" i="1" s="1"/>
  <c r="E133" i="1"/>
  <c r="G133" i="1" s="1"/>
  <c r="I133" i="1" s="1"/>
  <c r="K133" i="1" s="1"/>
  <c r="E132" i="1"/>
  <c r="G132" i="1" s="1"/>
  <c r="I132" i="1" s="1"/>
  <c r="K132" i="1" s="1"/>
  <c r="E131" i="1"/>
  <c r="G131" i="1" s="1"/>
  <c r="I131" i="1" s="1"/>
  <c r="K131" i="1" s="1"/>
  <c r="E130" i="1"/>
  <c r="G130" i="1" s="1"/>
  <c r="I130" i="1" s="1"/>
  <c r="K130" i="1" s="1"/>
  <c r="E129" i="1"/>
  <c r="G129" i="1" s="1"/>
  <c r="I129" i="1" s="1"/>
  <c r="K129" i="1" s="1"/>
  <c r="E128" i="1"/>
  <c r="G128" i="1" s="1"/>
  <c r="I128" i="1" s="1"/>
  <c r="K128" i="1" s="1"/>
  <c r="E127" i="1"/>
  <c r="G127" i="1" s="1"/>
  <c r="I127" i="1" s="1"/>
  <c r="K127" i="1" s="1"/>
  <c r="E126" i="1"/>
  <c r="G126" i="1" s="1"/>
  <c r="I126" i="1" s="1"/>
  <c r="K126" i="1" s="1"/>
  <c r="E125" i="1"/>
  <c r="G125" i="1" s="1"/>
  <c r="I125" i="1" s="1"/>
  <c r="K125" i="1" s="1"/>
  <c r="E124" i="1"/>
  <c r="G124" i="1" s="1"/>
  <c r="I124" i="1" s="1"/>
  <c r="K124" i="1" s="1"/>
  <c r="E122" i="1"/>
  <c r="G122" i="1" s="1"/>
  <c r="I122" i="1" s="1"/>
  <c r="K122" i="1" s="1"/>
  <c r="E121" i="1"/>
  <c r="G121" i="1" s="1"/>
  <c r="I121" i="1" s="1"/>
  <c r="K121" i="1" s="1"/>
  <c r="E120" i="1"/>
  <c r="G120" i="1" s="1"/>
  <c r="I120" i="1" s="1"/>
  <c r="K120" i="1" s="1"/>
  <c r="E119" i="1"/>
  <c r="G119" i="1" s="1"/>
  <c r="I119" i="1" s="1"/>
  <c r="K119" i="1" s="1"/>
  <c r="E118" i="1"/>
  <c r="G118" i="1" s="1"/>
  <c r="I118" i="1" s="1"/>
  <c r="K118" i="1" s="1"/>
  <c r="E117" i="1"/>
  <c r="G117" i="1" s="1"/>
  <c r="I117" i="1" s="1"/>
  <c r="K117" i="1" s="1"/>
  <c r="E116" i="1"/>
  <c r="G116" i="1" s="1"/>
  <c r="I116" i="1" s="1"/>
  <c r="K116" i="1" s="1"/>
  <c r="E115" i="1"/>
  <c r="G115" i="1" s="1"/>
  <c r="I115" i="1" s="1"/>
  <c r="K115" i="1" s="1"/>
  <c r="E114" i="1"/>
  <c r="G114" i="1" s="1"/>
  <c r="I114" i="1" s="1"/>
  <c r="K114" i="1" s="1"/>
  <c r="E113" i="1"/>
  <c r="G113" i="1" s="1"/>
  <c r="I113" i="1" s="1"/>
  <c r="K113" i="1" s="1"/>
  <c r="E112" i="1"/>
  <c r="G112" i="1" s="1"/>
  <c r="I112" i="1" s="1"/>
  <c r="K112" i="1" s="1"/>
  <c r="E111" i="1"/>
  <c r="G111" i="1" s="1"/>
  <c r="I111" i="1" s="1"/>
  <c r="K111" i="1" s="1"/>
  <c r="E110" i="1"/>
  <c r="G110" i="1" s="1"/>
  <c r="I110" i="1" s="1"/>
  <c r="K110" i="1" s="1"/>
  <c r="E108" i="1"/>
  <c r="G108" i="1" s="1"/>
  <c r="I108" i="1" s="1"/>
  <c r="K108" i="1" s="1"/>
  <c r="E107" i="1"/>
  <c r="G107" i="1" s="1"/>
  <c r="I107" i="1" s="1"/>
  <c r="K107" i="1" s="1"/>
  <c r="E106" i="1"/>
  <c r="G106" i="1" s="1"/>
  <c r="I106" i="1" s="1"/>
  <c r="K106" i="1" s="1"/>
  <c r="E105" i="1"/>
  <c r="G105" i="1" s="1"/>
  <c r="I105" i="1" s="1"/>
  <c r="K105" i="1" s="1"/>
  <c r="E104" i="1"/>
  <c r="G104" i="1" s="1"/>
  <c r="I104" i="1" s="1"/>
  <c r="K104" i="1" s="1"/>
  <c r="E103" i="1"/>
  <c r="G103" i="1" s="1"/>
  <c r="I103" i="1" s="1"/>
  <c r="K103" i="1" s="1"/>
  <c r="E102" i="1"/>
  <c r="G102" i="1" s="1"/>
  <c r="I102" i="1" s="1"/>
  <c r="K102" i="1" s="1"/>
  <c r="E101" i="1"/>
  <c r="G101" i="1" s="1"/>
  <c r="I101" i="1" s="1"/>
  <c r="K101" i="1" s="1"/>
  <c r="E100" i="1"/>
  <c r="G100" i="1" s="1"/>
  <c r="I100" i="1" s="1"/>
  <c r="K100" i="1" s="1"/>
  <c r="E99" i="1"/>
  <c r="G99" i="1" s="1"/>
  <c r="I99" i="1" s="1"/>
  <c r="K99" i="1" s="1"/>
  <c r="E98" i="1"/>
  <c r="G98" i="1" s="1"/>
  <c r="I98" i="1" s="1"/>
  <c r="K98" i="1" s="1"/>
  <c r="E97" i="1"/>
  <c r="G97" i="1" s="1"/>
  <c r="I97" i="1" s="1"/>
  <c r="K97" i="1" s="1"/>
  <c r="E96" i="1"/>
  <c r="G96" i="1" s="1"/>
  <c r="I96" i="1" s="1"/>
  <c r="K96" i="1" s="1"/>
  <c r="E95" i="1"/>
  <c r="G95" i="1" s="1"/>
  <c r="I95" i="1" s="1"/>
  <c r="K95" i="1" s="1"/>
  <c r="E94" i="1"/>
  <c r="G94" i="1" s="1"/>
  <c r="I94" i="1" s="1"/>
  <c r="K94" i="1" s="1"/>
  <c r="E93" i="1"/>
  <c r="G93" i="1" s="1"/>
  <c r="I93" i="1" s="1"/>
  <c r="K93" i="1" s="1"/>
  <c r="E92" i="1"/>
  <c r="G92" i="1" s="1"/>
  <c r="I92" i="1" s="1"/>
  <c r="K92" i="1" s="1"/>
  <c r="E91" i="1"/>
  <c r="G91" i="1" s="1"/>
  <c r="I91" i="1" s="1"/>
  <c r="K91" i="1" s="1"/>
  <c r="E90" i="1"/>
  <c r="G90" i="1" s="1"/>
  <c r="I90" i="1" s="1"/>
  <c r="K90" i="1" s="1"/>
  <c r="E89" i="1"/>
  <c r="G89" i="1" s="1"/>
  <c r="I89" i="1" s="1"/>
  <c r="K89" i="1" s="1"/>
  <c r="E88" i="1"/>
  <c r="G88" i="1" s="1"/>
  <c r="I88" i="1" s="1"/>
  <c r="K88" i="1" s="1"/>
  <c r="E87" i="1"/>
  <c r="G87" i="1" s="1"/>
  <c r="I87" i="1" s="1"/>
  <c r="K87" i="1" s="1"/>
  <c r="E86" i="1"/>
  <c r="G86" i="1" s="1"/>
  <c r="I86" i="1" s="1"/>
  <c r="K86" i="1" s="1"/>
  <c r="E85" i="1"/>
  <c r="G85" i="1" s="1"/>
  <c r="I85" i="1" s="1"/>
  <c r="K85" i="1" s="1"/>
  <c r="E84" i="1"/>
  <c r="G84" i="1" s="1"/>
  <c r="I84" i="1" s="1"/>
  <c r="K84" i="1" s="1"/>
  <c r="E83" i="1"/>
  <c r="G83" i="1" s="1"/>
  <c r="I83" i="1" s="1"/>
  <c r="K83" i="1" s="1"/>
  <c r="E82" i="1"/>
  <c r="G82" i="1" s="1"/>
  <c r="I82" i="1" s="1"/>
  <c r="K82" i="1" s="1"/>
  <c r="E81" i="1"/>
  <c r="G81" i="1" s="1"/>
  <c r="I81" i="1" s="1"/>
  <c r="K81" i="1" s="1"/>
  <c r="E80" i="1"/>
  <c r="G80" i="1" s="1"/>
  <c r="I80" i="1" s="1"/>
  <c r="K80" i="1" s="1"/>
  <c r="E79" i="1"/>
  <c r="G79" i="1" s="1"/>
  <c r="I79" i="1" s="1"/>
  <c r="K79" i="1" s="1"/>
  <c r="E78" i="1"/>
  <c r="G78" i="1" s="1"/>
  <c r="I78" i="1" s="1"/>
  <c r="K78" i="1" s="1"/>
  <c r="E77" i="1"/>
  <c r="G77" i="1" s="1"/>
  <c r="I77" i="1" s="1"/>
  <c r="K77" i="1" s="1"/>
  <c r="E76" i="1"/>
  <c r="G76" i="1" s="1"/>
  <c r="I76" i="1" s="1"/>
  <c r="K76" i="1" s="1"/>
  <c r="E75" i="1"/>
  <c r="G75" i="1" s="1"/>
  <c r="I75" i="1" s="1"/>
  <c r="K75" i="1" s="1"/>
  <c r="E74" i="1"/>
  <c r="G74" i="1" s="1"/>
  <c r="I74" i="1" s="1"/>
  <c r="K74" i="1" s="1"/>
  <c r="E73" i="1"/>
  <c r="G73" i="1" s="1"/>
  <c r="I73" i="1" s="1"/>
  <c r="K73" i="1" s="1"/>
  <c r="E72" i="1"/>
  <c r="G72" i="1" s="1"/>
  <c r="I72" i="1" s="1"/>
  <c r="K72" i="1" s="1"/>
  <c r="E70" i="1"/>
  <c r="G70" i="1" s="1"/>
  <c r="I70" i="1" s="1"/>
  <c r="K70" i="1" s="1"/>
  <c r="E69" i="1"/>
  <c r="G69" i="1" s="1"/>
  <c r="I69" i="1" s="1"/>
  <c r="K69" i="1" s="1"/>
  <c r="E68" i="1"/>
  <c r="G68" i="1" s="1"/>
  <c r="I68" i="1" s="1"/>
  <c r="K68" i="1" s="1"/>
  <c r="E67" i="1"/>
  <c r="G67" i="1" s="1"/>
  <c r="I67" i="1" s="1"/>
  <c r="K67" i="1" s="1"/>
  <c r="E66" i="1"/>
  <c r="G66" i="1" s="1"/>
  <c r="I66" i="1" s="1"/>
  <c r="K66" i="1" s="1"/>
  <c r="E65" i="1"/>
  <c r="G65" i="1" s="1"/>
  <c r="I65" i="1" s="1"/>
  <c r="K65" i="1" s="1"/>
  <c r="E64" i="1"/>
  <c r="G64" i="1" s="1"/>
  <c r="I64" i="1" s="1"/>
  <c r="K64" i="1" s="1"/>
  <c r="E63" i="1"/>
  <c r="G63" i="1" s="1"/>
  <c r="I63" i="1" s="1"/>
  <c r="K63" i="1" s="1"/>
  <c r="E62" i="1"/>
  <c r="G62" i="1" s="1"/>
  <c r="I62" i="1" s="1"/>
  <c r="K62" i="1" s="1"/>
  <c r="E61" i="1"/>
  <c r="G61" i="1" s="1"/>
  <c r="I61" i="1" s="1"/>
  <c r="K61" i="1" s="1"/>
  <c r="E60" i="1"/>
  <c r="G60" i="1" s="1"/>
  <c r="I60" i="1" s="1"/>
  <c r="K60" i="1" s="1"/>
  <c r="E59" i="1"/>
  <c r="G59" i="1" s="1"/>
  <c r="I59" i="1" s="1"/>
  <c r="K59" i="1" s="1"/>
  <c r="E58" i="1"/>
  <c r="G58" i="1" s="1"/>
  <c r="I58" i="1" s="1"/>
  <c r="K58" i="1" s="1"/>
  <c r="E57" i="1"/>
  <c r="G57" i="1" s="1"/>
  <c r="I57" i="1" s="1"/>
  <c r="K57" i="1" s="1"/>
  <c r="E56" i="1"/>
  <c r="G56" i="1" s="1"/>
  <c r="I56" i="1" s="1"/>
  <c r="K56" i="1" s="1"/>
  <c r="E55" i="1"/>
  <c r="G55" i="1" s="1"/>
  <c r="I55" i="1" s="1"/>
  <c r="K55" i="1" s="1"/>
  <c r="E54" i="1"/>
  <c r="G54" i="1" s="1"/>
  <c r="I54" i="1" s="1"/>
  <c r="K54" i="1" s="1"/>
  <c r="E53" i="1"/>
  <c r="G53" i="1" s="1"/>
  <c r="I53" i="1" s="1"/>
  <c r="K53" i="1" s="1"/>
  <c r="E52" i="1"/>
  <c r="G52" i="1" s="1"/>
  <c r="I52" i="1" s="1"/>
  <c r="K52" i="1" s="1"/>
  <c r="E51" i="1"/>
  <c r="G51" i="1" s="1"/>
  <c r="I51" i="1" s="1"/>
  <c r="K51" i="1" s="1"/>
  <c r="E50" i="1"/>
  <c r="G50" i="1" s="1"/>
  <c r="I50" i="1" s="1"/>
  <c r="K50" i="1" s="1"/>
  <c r="E49" i="1"/>
  <c r="G49" i="1" s="1"/>
  <c r="I49" i="1" s="1"/>
  <c r="K49" i="1" s="1"/>
  <c r="E48" i="1"/>
  <c r="G48" i="1" s="1"/>
  <c r="I48" i="1" s="1"/>
  <c r="K48" i="1" s="1"/>
  <c r="E47" i="1"/>
  <c r="G47" i="1" s="1"/>
  <c r="I47" i="1" s="1"/>
  <c r="K47" i="1" s="1"/>
  <c r="E46" i="1"/>
  <c r="G46" i="1" s="1"/>
  <c r="I46" i="1" s="1"/>
  <c r="K46" i="1" s="1"/>
  <c r="E45" i="1"/>
  <c r="G45" i="1" s="1"/>
  <c r="I45" i="1" s="1"/>
  <c r="K45" i="1" s="1"/>
  <c r="E44" i="1"/>
  <c r="G44" i="1" s="1"/>
  <c r="I44" i="1" s="1"/>
  <c r="K44" i="1" s="1"/>
  <c r="E43" i="1"/>
  <c r="G43" i="1" s="1"/>
  <c r="I43" i="1" s="1"/>
  <c r="K43" i="1" s="1"/>
  <c r="E42" i="1"/>
  <c r="G42" i="1" s="1"/>
  <c r="I42" i="1" s="1"/>
  <c r="K42" i="1" s="1"/>
  <c r="E41" i="1"/>
  <c r="G41" i="1" s="1"/>
  <c r="I41" i="1" s="1"/>
  <c r="K41" i="1" s="1"/>
  <c r="E40" i="1"/>
  <c r="G40" i="1" s="1"/>
  <c r="I40" i="1" s="1"/>
  <c r="K40" i="1" s="1"/>
  <c r="E39" i="1"/>
  <c r="G39" i="1" s="1"/>
  <c r="I39" i="1" s="1"/>
  <c r="K39" i="1" s="1"/>
  <c r="E38" i="1"/>
  <c r="G38" i="1" s="1"/>
  <c r="I38" i="1" s="1"/>
  <c r="K38" i="1" s="1"/>
  <c r="E37" i="1"/>
  <c r="G37" i="1" s="1"/>
  <c r="I37" i="1" s="1"/>
  <c r="K37" i="1" s="1"/>
  <c r="E36" i="1"/>
  <c r="G36" i="1" s="1"/>
  <c r="I36" i="1" s="1"/>
  <c r="K36" i="1" s="1"/>
  <c r="E35" i="1"/>
  <c r="G35" i="1" s="1"/>
  <c r="I35" i="1" s="1"/>
  <c r="K35" i="1" s="1"/>
  <c r="E34" i="1"/>
  <c r="G34" i="1" s="1"/>
  <c r="I34" i="1" s="1"/>
  <c r="K34" i="1" s="1"/>
  <c r="E33" i="1"/>
  <c r="G33" i="1" s="1"/>
  <c r="I33" i="1" s="1"/>
  <c r="K33" i="1" s="1"/>
  <c r="E32" i="1"/>
  <c r="G32" i="1" s="1"/>
  <c r="I32" i="1" s="1"/>
  <c r="K32" i="1" s="1"/>
  <c r="E31" i="1"/>
  <c r="G31" i="1" s="1"/>
  <c r="I31" i="1" s="1"/>
  <c r="K31" i="1" s="1"/>
  <c r="E30" i="1"/>
  <c r="G30" i="1" s="1"/>
  <c r="I30" i="1" s="1"/>
  <c r="K30" i="1" s="1"/>
  <c r="E29" i="1"/>
  <c r="G29" i="1" s="1"/>
  <c r="I29" i="1" s="1"/>
  <c r="K29" i="1" s="1"/>
  <c r="E28" i="1"/>
  <c r="G28" i="1" s="1"/>
  <c r="I28" i="1" s="1"/>
  <c r="K28" i="1" s="1"/>
  <c r="E27" i="1"/>
  <c r="G27" i="1" s="1"/>
  <c r="I27" i="1" s="1"/>
  <c r="K27" i="1" s="1"/>
  <c r="E26" i="1"/>
  <c r="G26" i="1" s="1"/>
  <c r="I26" i="1" s="1"/>
  <c r="K26" i="1" s="1"/>
  <c r="E25" i="1"/>
  <c r="G25" i="1" s="1"/>
  <c r="I25" i="1" s="1"/>
  <c r="K25" i="1" s="1"/>
  <c r="E24" i="1"/>
  <c r="G24" i="1" s="1"/>
  <c r="I24" i="1" s="1"/>
  <c r="K24" i="1" s="1"/>
  <c r="E23" i="1"/>
  <c r="G23" i="1" s="1"/>
  <c r="I23" i="1" s="1"/>
  <c r="K23" i="1" s="1"/>
  <c r="E22" i="1"/>
  <c r="G22" i="1" s="1"/>
  <c r="I22" i="1" s="1"/>
  <c r="K22" i="1" s="1"/>
  <c r="M22" i="1" s="1"/>
  <c r="E21" i="1"/>
  <c r="G21" i="1" s="1"/>
  <c r="I21" i="1" s="1"/>
  <c r="K21" i="1" s="1"/>
  <c r="M21" i="1" s="1"/>
  <c r="E20" i="1"/>
  <c r="G20" i="1" s="1"/>
  <c r="I20" i="1" s="1"/>
  <c r="K20" i="1" s="1"/>
  <c r="M20" i="1" s="1"/>
  <c r="E19" i="1"/>
  <c r="G19" i="1" s="1"/>
  <c r="I19" i="1" s="1"/>
  <c r="K19" i="1" s="1"/>
  <c r="M19" i="1" s="1"/>
  <c r="E18" i="1"/>
  <c r="G18" i="1" s="1"/>
  <c r="I18" i="1" s="1"/>
  <c r="K18" i="1" s="1"/>
  <c r="M18" i="1" s="1"/>
  <c r="E17" i="1"/>
  <c r="G17" i="1" s="1"/>
  <c r="I17" i="1" s="1"/>
  <c r="K17" i="1" s="1"/>
  <c r="M17" i="1" s="1"/>
  <c r="E16" i="1"/>
  <c r="G16" i="1" s="1"/>
  <c r="I16" i="1" s="1"/>
  <c r="K16" i="1" s="1"/>
  <c r="M16" i="1" s="1"/>
  <c r="E15" i="1"/>
  <c r="G15" i="1" s="1"/>
  <c r="I15" i="1" s="1"/>
  <c r="K15" i="1" s="1"/>
  <c r="M15" i="1" s="1"/>
  <c r="E14" i="1"/>
  <c r="G14" i="1" s="1"/>
  <c r="I14" i="1" s="1"/>
  <c r="K14" i="1" s="1"/>
  <c r="M14" i="1" s="1"/>
  <c r="E13" i="1"/>
  <c r="G13" i="1" s="1"/>
  <c r="I13" i="1" s="1"/>
  <c r="K13" i="1" s="1"/>
  <c r="M13" i="1" s="1"/>
  <c r="E12" i="1"/>
  <c r="G12" i="1" s="1"/>
  <c r="I12" i="1" s="1"/>
  <c r="K12" i="1" s="1"/>
  <c r="M12" i="1" s="1"/>
  <c r="E11" i="1"/>
  <c r="G11" i="1" s="1"/>
  <c r="I11" i="1" s="1"/>
  <c r="K11" i="1" s="1"/>
  <c r="M11" i="1" s="1"/>
  <c r="E10" i="1"/>
  <c r="G10" i="1" s="1"/>
  <c r="I10" i="1" s="1"/>
  <c r="K10" i="1" s="1"/>
  <c r="M10" i="1" s="1"/>
  <c r="E9" i="1"/>
  <c r="G9" i="1" s="1"/>
  <c r="I9" i="1" s="1"/>
  <c r="K9" i="1" s="1"/>
  <c r="M9" i="1" s="1"/>
  <c r="E8" i="1"/>
  <c r="G8" i="1" s="1"/>
  <c r="I8" i="1" s="1"/>
  <c r="K8" i="1" s="1"/>
  <c r="M8" i="1" s="1"/>
  <c r="E7" i="1"/>
  <c r="G7" i="1" s="1"/>
  <c r="I7" i="1" s="1"/>
  <c r="K7" i="1" s="1"/>
  <c r="M7" i="1" s="1"/>
  <c r="E6" i="1"/>
  <c r="G6" i="1" s="1"/>
  <c r="I6" i="1" s="1"/>
  <c r="K6" i="1" s="1"/>
  <c r="M6" i="1" s="1"/>
  <c r="E5" i="1"/>
  <c r="G5" i="1" s="1"/>
  <c r="I5" i="1" s="1"/>
  <c r="K5" i="1" s="1"/>
  <c r="M5" i="1" s="1"/>
  <c r="E4" i="1"/>
  <c r="G4" i="1" s="1"/>
  <c r="I4" i="1" s="1"/>
  <c r="K4" i="1" s="1"/>
  <c r="M4" i="1" s="1"/>
  <c r="E3" i="1"/>
  <c r="G3" i="1" s="1"/>
  <c r="I3" i="1" s="1"/>
  <c r="K3" i="1" s="1"/>
  <c r="M3" i="1" s="1"/>
  <c r="E2" i="1"/>
  <c r="G2" i="1" s="1"/>
  <c r="I2" i="1" s="1"/>
  <c r="K2" i="1" s="1"/>
  <c r="M2" i="1" s="1"/>
  <c r="M1" i="1"/>
  <c r="M293" i="66" l="1"/>
  <c r="N293" i="66" s="1"/>
  <c r="L67" i="81"/>
  <c r="N45" i="81"/>
  <c r="N42" i="81"/>
  <c r="N70" i="81"/>
  <c r="N8" i="81"/>
  <c r="M54" i="81"/>
  <c r="N54" i="81" s="1"/>
  <c r="M150" i="66"/>
  <c r="N150" i="66" s="1"/>
  <c r="M69" i="81"/>
  <c r="N69" i="81" s="1"/>
  <c r="M57" i="66"/>
  <c r="N57" i="66" s="1"/>
  <c r="M91" i="81"/>
  <c r="N91" i="81" s="1"/>
  <c r="M88" i="81"/>
  <c r="M39" i="82"/>
  <c r="M7" i="82"/>
  <c r="N66" i="82"/>
  <c r="M25" i="81"/>
  <c r="N83" i="81"/>
  <c r="M20" i="81"/>
  <c r="M35" i="82"/>
  <c r="L16" i="82"/>
  <c r="N16" i="82" s="1"/>
  <c r="M17" i="82"/>
  <c r="N17" i="82" s="1"/>
  <c r="N64" i="82"/>
  <c r="M38" i="81"/>
  <c r="N38" i="81" s="1"/>
  <c r="M14" i="81"/>
  <c r="M22" i="82"/>
  <c r="N55" i="82"/>
  <c r="M45" i="82"/>
  <c r="N45" i="82" s="1"/>
  <c r="M34" i="81"/>
  <c r="N35" i="81"/>
  <c r="N5" i="81"/>
  <c r="M71" i="81"/>
  <c r="M20" i="82"/>
  <c r="N68" i="82"/>
  <c r="M201" i="66"/>
  <c r="L43" i="81"/>
  <c r="N43" i="81" s="1"/>
  <c r="L59" i="81"/>
  <c r="N15" i="81"/>
  <c r="N53" i="82"/>
  <c r="M48" i="82"/>
  <c r="N48" i="82" s="1"/>
  <c r="J21" i="46"/>
  <c r="N41" i="81"/>
  <c r="N65" i="82"/>
  <c r="N19" i="81"/>
  <c r="N32" i="81"/>
  <c r="N74" i="81"/>
  <c r="N54" i="82"/>
  <c r="N51" i="82"/>
  <c r="M171" i="66"/>
  <c r="N171" i="66" s="1"/>
  <c r="L16" i="81"/>
  <c r="N16" i="81" s="1"/>
  <c r="N87" i="81"/>
  <c r="M41" i="81"/>
  <c r="N51" i="81"/>
  <c r="M12" i="82"/>
  <c r="N17" i="81"/>
  <c r="N49" i="81"/>
  <c r="N3" i="81"/>
  <c r="N56" i="82"/>
  <c r="N60" i="82"/>
  <c r="N30" i="81"/>
  <c r="N27" i="81"/>
  <c r="M26" i="82"/>
  <c r="N26" i="82" s="1"/>
  <c r="M65" i="82"/>
  <c r="M10" i="82"/>
  <c r="N29" i="82"/>
  <c r="N43" i="82"/>
  <c r="M29" i="66"/>
  <c r="N56" i="81"/>
  <c r="M58" i="81"/>
  <c r="N58" i="81" s="1"/>
  <c r="N59" i="81"/>
  <c r="N59" i="82"/>
  <c r="N62" i="82"/>
  <c r="L64" i="66"/>
  <c r="N64" i="66" s="1"/>
  <c r="N47" i="82"/>
  <c r="N49" i="82"/>
  <c r="N24" i="82"/>
  <c r="N50" i="82"/>
  <c r="N42" i="82"/>
  <c r="N52" i="82"/>
  <c r="N38" i="82"/>
  <c r="N39" i="82"/>
  <c r="L30" i="82"/>
  <c r="N30" i="82" s="1"/>
  <c r="N28" i="82"/>
  <c r="M23" i="82"/>
  <c r="N23" i="82" s="1"/>
  <c r="N22" i="82"/>
  <c r="N21" i="82"/>
  <c r="N18" i="82"/>
  <c r="N14" i="82"/>
  <c r="N7" i="82"/>
  <c r="N11" i="82"/>
  <c r="N2" i="82"/>
  <c r="N33" i="82"/>
  <c r="N35" i="82"/>
  <c r="N15" i="82"/>
  <c r="N20" i="82"/>
  <c r="N5" i="82"/>
  <c r="N40" i="82"/>
  <c r="N31" i="82"/>
  <c r="N41" i="82"/>
  <c r="N10" i="82"/>
  <c r="N25" i="82"/>
  <c r="N3" i="82"/>
  <c r="M8" i="82"/>
  <c r="N8" i="82" s="1"/>
  <c r="N37" i="82"/>
  <c r="N34" i="82"/>
  <c r="N12" i="82"/>
  <c r="N36" i="82"/>
  <c r="N13" i="82"/>
  <c r="N9" i="82"/>
  <c r="N32" i="82"/>
  <c r="N27" i="82"/>
  <c r="N6" i="82"/>
  <c r="M2" i="81"/>
  <c r="N2" i="81" s="1"/>
  <c r="N34" i="81"/>
  <c r="N13" i="81"/>
  <c r="L9" i="81"/>
  <c r="N9" i="81" s="1"/>
  <c r="N10" i="81"/>
  <c r="N61" i="81"/>
  <c r="N24" i="81"/>
  <c r="L89" i="81"/>
  <c r="N89" i="81" s="1"/>
  <c r="N72" i="81"/>
  <c r="N60" i="81"/>
  <c r="N66" i="81"/>
  <c r="N28" i="81"/>
  <c r="L330" i="66"/>
  <c r="N330" i="66" s="1"/>
  <c r="N52" i="81"/>
  <c r="N39" i="81"/>
  <c r="N12" i="81"/>
  <c r="N31" i="81"/>
  <c r="N14" i="81"/>
  <c r="N23" i="81"/>
  <c r="N76" i="81"/>
  <c r="L28" i="66"/>
  <c r="N28" i="66" s="1"/>
  <c r="M202" i="66"/>
  <c r="L354" i="66"/>
  <c r="M307" i="66"/>
  <c r="N307" i="66" s="1"/>
  <c r="M62" i="81"/>
  <c r="N62" i="81" s="1"/>
  <c r="L40" i="81"/>
  <c r="N40" i="81" s="1"/>
  <c r="N63" i="81"/>
  <c r="N77" i="81"/>
  <c r="M18" i="81"/>
  <c r="N18" i="81" s="1"/>
  <c r="M36" i="81"/>
  <c r="N36" i="81" s="1"/>
  <c r="N65" i="81"/>
  <c r="N37" i="81"/>
  <c r="N71" i="81"/>
  <c r="M45" i="66"/>
  <c r="N45" i="66" s="1"/>
  <c r="L384" i="66"/>
  <c r="N11" i="81"/>
  <c r="M26" i="81"/>
  <c r="N26" i="81" s="1"/>
  <c r="L152" i="66"/>
  <c r="N81" i="81"/>
  <c r="N82" i="81"/>
  <c r="N50" i="81"/>
  <c r="N67" i="81"/>
  <c r="J46" i="54"/>
  <c r="M46" i="54" s="1"/>
  <c r="J3" i="47"/>
  <c r="J9" i="47"/>
  <c r="L88" i="66"/>
  <c r="N88" i="66" s="1"/>
  <c r="L234" i="66"/>
  <c r="M134" i="66"/>
  <c r="N134" i="66" s="1"/>
  <c r="M85" i="81"/>
  <c r="N85" i="81" s="1"/>
  <c r="N44" i="81"/>
  <c r="N22" i="81"/>
  <c r="N86" i="81"/>
  <c r="L64" i="81"/>
  <c r="N64" i="81" s="1"/>
  <c r="M55" i="81"/>
  <c r="N55" i="81" s="1"/>
  <c r="M79" i="81"/>
  <c r="N79" i="81" s="1"/>
  <c r="N6" i="81"/>
  <c r="N7" i="81"/>
  <c r="N75" i="81"/>
  <c r="L124" i="66"/>
  <c r="N124" i="66" s="1"/>
  <c r="M296" i="66"/>
  <c r="N296" i="66" s="1"/>
  <c r="M279" i="66"/>
  <c r="N279" i="66" s="1"/>
  <c r="N21" i="81"/>
  <c r="N57" i="81"/>
  <c r="N48" i="81"/>
  <c r="N73" i="81"/>
  <c r="N46" i="81"/>
  <c r="N20" i="81"/>
  <c r="N84" i="81"/>
  <c r="N90" i="81"/>
  <c r="N68" i="81"/>
  <c r="M317" i="66"/>
  <c r="N317" i="66" s="1"/>
  <c r="M233" i="66"/>
  <c r="N233" i="66" s="1"/>
  <c r="N25" i="81"/>
  <c r="N4" i="81"/>
  <c r="N88" i="81"/>
  <c r="N78" i="81"/>
  <c r="N92" i="81"/>
  <c r="L158" i="66"/>
  <c r="M356" i="66"/>
  <c r="N356" i="66" s="1"/>
  <c r="L385" i="66"/>
  <c r="L262" i="66"/>
  <c r="M198" i="66"/>
  <c r="N198" i="66" s="1"/>
  <c r="L402" i="66"/>
  <c r="N402" i="66" s="1"/>
  <c r="M281" i="66"/>
  <c r="N281" i="66" s="1"/>
  <c r="M246" i="66"/>
  <c r="N246" i="66" s="1"/>
  <c r="L108" i="66"/>
  <c r="N108" i="66" s="1"/>
  <c r="M208" i="66"/>
  <c r="N208" i="66" s="1"/>
  <c r="L358" i="66"/>
  <c r="J6" i="54"/>
  <c r="M34" i="66"/>
  <c r="N34" i="66" s="1"/>
  <c r="L47" i="66"/>
  <c r="M102" i="66"/>
  <c r="N102" i="66" s="1"/>
  <c r="M210" i="66"/>
  <c r="N210" i="66" s="1"/>
  <c r="M230" i="66"/>
  <c r="N230" i="66" s="1"/>
  <c r="L391" i="66"/>
  <c r="N391" i="66" s="1"/>
  <c r="L55" i="71"/>
  <c r="L398" i="66"/>
  <c r="N398" i="66" s="1"/>
  <c r="L149" i="66"/>
  <c r="N149" i="66" s="1"/>
  <c r="L136" i="66"/>
  <c r="N136" i="66" s="1"/>
  <c r="M342" i="66"/>
  <c r="M338" i="66"/>
  <c r="N338" i="66" s="1"/>
  <c r="M79" i="66"/>
  <c r="N79" i="66" s="1"/>
  <c r="M155" i="66"/>
  <c r="N155" i="66" s="1"/>
  <c r="M284" i="66"/>
  <c r="N284" i="66" s="1"/>
  <c r="M256" i="66"/>
  <c r="N256" i="66" s="1"/>
  <c r="L156" i="66"/>
  <c r="N156" i="66" s="1"/>
  <c r="L200" i="66"/>
  <c r="N200" i="66" s="1"/>
  <c r="M61" i="66"/>
  <c r="N61" i="66" s="1"/>
  <c r="J10" i="54"/>
  <c r="L10" i="54" s="1"/>
  <c r="M83" i="66"/>
  <c r="N83" i="66" s="1"/>
  <c r="M269" i="66"/>
  <c r="N269" i="66" s="1"/>
  <c r="L63" i="71"/>
  <c r="N63" i="71" s="1"/>
  <c r="M97" i="66"/>
  <c r="N97" i="66" s="1"/>
  <c r="M258" i="66"/>
  <c r="N258" i="66" s="1"/>
  <c r="M59" i="66"/>
  <c r="N59" i="66" s="1"/>
  <c r="M35" i="71"/>
  <c r="N35" i="71" s="1"/>
  <c r="M287" i="66"/>
  <c r="N287" i="66" s="1"/>
  <c r="M203" i="66"/>
  <c r="N203" i="66" s="1"/>
  <c r="M74" i="66"/>
  <c r="N74" i="66" s="1"/>
  <c r="M106" i="66"/>
  <c r="N106" i="66" s="1"/>
  <c r="M146" i="66"/>
  <c r="N146" i="66" s="1"/>
  <c r="M105" i="66"/>
  <c r="N105" i="66" s="1"/>
  <c r="M18" i="66"/>
  <c r="N18" i="66" s="1"/>
  <c r="M199" i="66"/>
  <c r="N199" i="66" s="1"/>
  <c r="L96" i="66"/>
  <c r="L318" i="66"/>
  <c r="N318" i="66" s="1"/>
  <c r="L271" i="66"/>
  <c r="N271" i="66" s="1"/>
  <c r="M121" i="66"/>
  <c r="N121" i="66" s="1"/>
  <c r="M14" i="71"/>
  <c r="N14" i="71" s="1"/>
  <c r="M255" i="66"/>
  <c r="N255" i="66" s="1"/>
  <c r="M81" i="66"/>
  <c r="N81" i="66" s="1"/>
  <c r="M162" i="66"/>
  <c r="N162" i="66" s="1"/>
  <c r="M242" i="66"/>
  <c r="N242" i="66" s="1"/>
  <c r="L265" i="66"/>
  <c r="N265" i="66" s="1"/>
  <c r="M67" i="66"/>
  <c r="N67" i="66" s="1"/>
  <c r="M226" i="66"/>
  <c r="N226" i="66" s="1"/>
  <c r="M127" i="66"/>
  <c r="N127" i="66" s="1"/>
  <c r="M245" i="66"/>
  <c r="N245" i="66" s="1"/>
  <c r="M118" i="66"/>
  <c r="N118" i="66" s="1"/>
  <c r="M8" i="71"/>
  <c r="N8" i="71" s="1"/>
  <c r="M369" i="66"/>
  <c r="N369" i="66" s="1"/>
  <c r="L12" i="66"/>
  <c r="N12" i="66" s="1"/>
  <c r="L374" i="66"/>
  <c r="N374" i="66" s="1"/>
  <c r="L49" i="71"/>
  <c r="M68" i="71"/>
  <c r="N68" i="71" s="1"/>
  <c r="L119" i="66"/>
  <c r="L387" i="66"/>
  <c r="N387" i="66" s="1"/>
  <c r="M377" i="66"/>
  <c r="N377" i="66" s="1"/>
  <c r="M251" i="66"/>
  <c r="N251" i="66" s="1"/>
  <c r="L128" i="66"/>
  <c r="N128" i="66" s="1"/>
  <c r="M161" i="66"/>
  <c r="N161" i="66" s="1"/>
  <c r="M180" i="66"/>
  <c r="N180" i="66" s="1"/>
  <c r="M257" i="66"/>
  <c r="N257" i="66" s="1"/>
  <c r="L243" i="66"/>
  <c r="N243" i="66" s="1"/>
  <c r="N288" i="66"/>
  <c r="M66" i="66"/>
  <c r="N66" i="66" s="1"/>
  <c r="M282" i="66"/>
  <c r="N282" i="66" s="1"/>
  <c r="L362" i="66"/>
  <c r="N362" i="66" s="1"/>
  <c r="M64" i="71"/>
  <c r="N64" i="71" s="1"/>
  <c r="L99" i="66"/>
  <c r="N99" i="66" s="1"/>
  <c r="M78" i="66"/>
  <c r="N78" i="66" s="1"/>
  <c r="M21" i="66"/>
  <c r="N21" i="66" s="1"/>
  <c r="L80" i="66"/>
  <c r="N80" i="66" s="1"/>
  <c r="L164" i="66"/>
  <c r="N164" i="66" s="1"/>
  <c r="M237" i="66"/>
  <c r="N237" i="66" s="1"/>
  <c r="M140" i="66"/>
  <c r="N140" i="66" s="1"/>
  <c r="L212" i="66"/>
  <c r="N212" i="66" s="1"/>
  <c r="M322" i="66"/>
  <c r="M34" i="71"/>
  <c r="N34" i="71" s="1"/>
  <c r="M60" i="66"/>
  <c r="N60" i="66" s="1"/>
  <c r="L215" i="66"/>
  <c r="N215" i="66" s="1"/>
  <c r="M305" i="66"/>
  <c r="N305" i="66" s="1"/>
  <c r="M399" i="66"/>
  <c r="N399" i="66" s="1"/>
  <c r="L70" i="66"/>
  <c r="N70" i="66" s="1"/>
  <c r="L52" i="66"/>
  <c r="N52" i="66" s="1"/>
  <c r="L144" i="66"/>
  <c r="N144" i="66" s="1"/>
  <c r="M268" i="66"/>
  <c r="N268" i="66" s="1"/>
  <c r="L370" i="66"/>
  <c r="N370" i="66" s="1"/>
  <c r="L378" i="66"/>
  <c r="N378" i="66" s="1"/>
  <c r="M214" i="66"/>
  <c r="N214" i="66" s="1"/>
  <c r="M110" i="66"/>
  <c r="N110" i="66" s="1"/>
  <c r="L273" i="66"/>
  <c r="N273" i="66" s="1"/>
  <c r="M323" i="66"/>
  <c r="N323" i="66" s="1"/>
  <c r="L50" i="66"/>
  <c r="N50" i="66" s="1"/>
  <c r="L130" i="66"/>
  <c r="N130" i="66" s="1"/>
  <c r="M154" i="66"/>
  <c r="N154" i="66" s="1"/>
  <c r="M172" i="66"/>
  <c r="N172" i="66" s="1"/>
  <c r="M341" i="66"/>
  <c r="N341" i="66" s="1"/>
  <c r="L348" i="66"/>
  <c r="N348" i="66" s="1"/>
  <c r="M137" i="66"/>
  <c r="N137" i="66" s="1"/>
  <c r="L132" i="66"/>
  <c r="N132" i="66" s="1"/>
  <c r="M31" i="66"/>
  <c r="N31" i="66" s="1"/>
  <c r="M69" i="66"/>
  <c r="N69" i="66" s="1"/>
  <c r="M266" i="66"/>
  <c r="N266" i="66" s="1"/>
  <c r="M373" i="66"/>
  <c r="N373" i="66" s="1"/>
  <c r="M376" i="66"/>
  <c r="N376" i="66" s="1"/>
  <c r="L26" i="66"/>
  <c r="N26" i="66" s="1"/>
  <c r="M77" i="66"/>
  <c r="N77" i="66" s="1"/>
  <c r="M166" i="66"/>
  <c r="N166" i="66" s="1"/>
  <c r="M336" i="66"/>
  <c r="N336" i="66" s="1"/>
  <c r="M143" i="66"/>
  <c r="N143" i="66" s="1"/>
  <c r="M56" i="71"/>
  <c r="N56" i="71" s="1"/>
  <c r="M191" i="66"/>
  <c r="N191" i="66" s="1"/>
  <c r="M205" i="66"/>
  <c r="N205" i="66" s="1"/>
  <c r="M389" i="66"/>
  <c r="N389" i="66" s="1"/>
  <c r="M267" i="66"/>
  <c r="N267" i="66" s="1"/>
  <c r="J22" i="65"/>
  <c r="M22" i="65" s="1"/>
  <c r="M194" i="66"/>
  <c r="N194" i="66" s="1"/>
  <c r="L372" i="66"/>
  <c r="N372" i="66" s="1"/>
  <c r="L89" i="66"/>
  <c r="N89" i="66" s="1"/>
  <c r="M285" i="66"/>
  <c r="N285" i="66" s="1"/>
  <c r="M54" i="66"/>
  <c r="N54" i="66" s="1"/>
  <c r="M91" i="66"/>
  <c r="N91" i="66" s="1"/>
  <c r="M169" i="66"/>
  <c r="N169" i="66" s="1"/>
  <c r="M308" i="66"/>
  <c r="N308" i="66" s="1"/>
  <c r="M340" i="66"/>
  <c r="M241" i="66"/>
  <c r="N241" i="66" s="1"/>
  <c r="M115" i="66"/>
  <c r="N115" i="66" s="1"/>
  <c r="M345" i="66"/>
  <c r="N345" i="66" s="1"/>
  <c r="M47" i="71"/>
  <c r="N47" i="71" s="1"/>
  <c r="M351" i="66"/>
  <c r="N351" i="66" s="1"/>
  <c r="M263" i="66"/>
  <c r="N263" i="66" s="1"/>
  <c r="L48" i="71"/>
  <c r="N48" i="71" s="1"/>
  <c r="L112" i="66"/>
  <c r="N112" i="66" s="1"/>
  <c r="L223" i="66"/>
  <c r="N223" i="66" s="1"/>
  <c r="L244" i="66"/>
  <c r="N244" i="66" s="1"/>
  <c r="M250" i="66"/>
  <c r="N250" i="66" s="1"/>
  <c r="M381" i="66"/>
  <c r="N381" i="66" s="1"/>
  <c r="L264" i="66"/>
  <c r="N264" i="66" s="1"/>
  <c r="M19" i="71"/>
  <c r="N19" i="71" s="1"/>
  <c r="L5" i="80"/>
  <c r="M5" i="80"/>
  <c r="M7" i="80"/>
  <c r="L7" i="80"/>
  <c r="N7" i="80" s="1"/>
  <c r="M4" i="80"/>
  <c r="N4" i="80"/>
  <c r="M3" i="80"/>
  <c r="N3" i="80"/>
  <c r="M8" i="80"/>
  <c r="N8" i="80"/>
  <c r="M10" i="80"/>
  <c r="N10" i="80" s="1"/>
  <c r="M2" i="80"/>
  <c r="N2" i="80" s="1"/>
  <c r="L192" i="66"/>
  <c r="N192" i="66" s="1"/>
  <c r="M270" i="66"/>
  <c r="N270" i="66" s="1"/>
  <c r="L383" i="66"/>
  <c r="N383" i="66" s="1"/>
  <c r="L58" i="66"/>
  <c r="N58" i="66" s="1"/>
  <c r="M238" i="66"/>
  <c r="N238" i="66" s="1"/>
  <c r="M357" i="66"/>
  <c r="N357" i="66" s="1"/>
  <c r="M400" i="66"/>
  <c r="N400" i="66" s="1"/>
  <c r="L261" i="66"/>
  <c r="N261" i="66" s="1"/>
  <c r="M209" i="66"/>
  <c r="N209" i="66" s="1"/>
  <c r="M117" i="66"/>
  <c r="N117" i="66" s="1"/>
  <c r="L37" i="66"/>
  <c r="N37" i="66" s="1"/>
  <c r="M109" i="66"/>
  <c r="N109" i="66" s="1"/>
  <c r="M197" i="66"/>
  <c r="N197" i="66" s="1"/>
  <c r="L206" i="66"/>
  <c r="N206" i="66" s="1"/>
  <c r="L403" i="66"/>
  <c r="N403" i="66" s="1"/>
  <c r="L225" i="66"/>
  <c r="N225" i="66" s="1"/>
  <c r="L142" i="66"/>
  <c r="N142" i="66" s="1"/>
  <c r="L84" i="66"/>
  <c r="N84" i="66" s="1"/>
  <c r="L325" i="66"/>
  <c r="N325" i="66" s="1"/>
  <c r="M175" i="66"/>
  <c r="N175" i="66" s="1"/>
  <c r="L321" i="66"/>
  <c r="N321" i="66" s="1"/>
  <c r="M72" i="66"/>
  <c r="N72" i="66" s="1"/>
  <c r="M254" i="66"/>
  <c r="N254" i="66" s="1"/>
  <c r="M274" i="66"/>
  <c r="N274" i="66" s="1"/>
  <c r="L394" i="66"/>
  <c r="N394" i="66" s="1"/>
  <c r="L350" i="66"/>
  <c r="N350" i="66" s="1"/>
  <c r="L277" i="66"/>
  <c r="N277" i="66" s="1"/>
  <c r="J3" i="65"/>
  <c r="M3" i="65" s="1"/>
  <c r="L148" i="66"/>
  <c r="N148" i="66" s="1"/>
  <c r="M56" i="66"/>
  <c r="N56" i="66" s="1"/>
  <c r="M36" i="66"/>
  <c r="N36" i="66" s="1"/>
  <c r="M153" i="66"/>
  <c r="N153" i="66" s="1"/>
  <c r="M145" i="66"/>
  <c r="N145" i="66" s="1"/>
  <c r="L167" i="66"/>
  <c r="N167" i="66" s="1"/>
  <c r="M360" i="66"/>
  <c r="N360" i="66" s="1"/>
  <c r="M216" i="66"/>
  <c r="N216" i="66" s="1"/>
  <c r="M395" i="66"/>
  <c r="N395" i="66" s="1"/>
  <c r="M185" i="66"/>
  <c r="N185" i="66" s="1"/>
  <c r="L73" i="66"/>
  <c r="N73" i="66" s="1"/>
  <c r="M141" i="66"/>
  <c r="N141" i="66" s="1"/>
  <c r="L388" i="66"/>
  <c r="N388" i="66" s="1"/>
  <c r="M253" i="66"/>
  <c r="N253" i="66" s="1"/>
  <c r="L188" i="66"/>
  <c r="N188" i="66" s="1"/>
  <c r="M239" i="66"/>
  <c r="N239" i="66" s="1"/>
  <c r="L306" i="66"/>
  <c r="N306" i="66" s="1"/>
  <c r="M283" i="66"/>
  <c r="N283" i="66" s="1"/>
  <c r="M103" i="66"/>
  <c r="N103" i="66" s="1"/>
  <c r="M85" i="66"/>
  <c r="N85" i="66" s="1"/>
  <c r="M165" i="66"/>
  <c r="N165" i="66" s="1"/>
  <c r="M176" i="66"/>
  <c r="N176" i="66" s="1"/>
  <c r="M260" i="66"/>
  <c r="N260" i="66" s="1"/>
  <c r="M310" i="66"/>
  <c r="N310" i="66" s="1"/>
  <c r="M363" i="66"/>
  <c r="N363" i="66" s="1"/>
  <c r="M46" i="71"/>
  <c r="N46" i="71" s="1"/>
  <c r="M327" i="66"/>
  <c r="N327" i="66" s="1"/>
  <c r="L228" i="66"/>
  <c r="N228" i="66" s="1"/>
  <c r="M393" i="66"/>
  <c r="N393" i="66" s="1"/>
  <c r="M397" i="66"/>
  <c r="N397" i="66" s="1"/>
  <c r="L364" i="66"/>
  <c r="N364" i="66" s="1"/>
  <c r="M331" i="66"/>
  <c r="N331" i="66" s="1"/>
  <c r="M193" i="66"/>
  <c r="N193" i="66" s="1"/>
  <c r="M139" i="66"/>
  <c r="N139" i="66" s="1"/>
  <c r="L23" i="66"/>
  <c r="N23" i="66" s="1"/>
  <c r="M39" i="66"/>
  <c r="N39" i="66" s="1"/>
  <c r="M320" i="66"/>
  <c r="N320" i="66" s="1"/>
  <c r="M67" i="71"/>
  <c r="N67" i="71" s="1"/>
  <c r="L396" i="66"/>
  <c r="N396" i="66" s="1"/>
  <c r="M25" i="66"/>
  <c r="N25" i="66" s="1"/>
  <c r="M71" i="66"/>
  <c r="N71" i="66" s="1"/>
  <c r="M157" i="66"/>
  <c r="N157" i="66" s="1"/>
  <c r="L181" i="66"/>
  <c r="N181" i="66" s="1"/>
  <c r="L196" i="66"/>
  <c r="N196" i="66" s="1"/>
  <c r="M278" i="66"/>
  <c r="N278" i="66" s="1"/>
  <c r="M280" i="66"/>
  <c r="N280" i="66" s="1"/>
  <c r="M299" i="66"/>
  <c r="N299" i="66" s="1"/>
  <c r="L361" i="66"/>
  <c r="N361" i="66" s="1"/>
  <c r="M333" i="66"/>
  <c r="N333" i="66" s="1"/>
  <c r="M275" i="66"/>
  <c r="N275" i="66" s="1"/>
  <c r="M10" i="71"/>
  <c r="N10" i="71" s="1"/>
  <c r="M86" i="66"/>
  <c r="N86" i="66" s="1"/>
  <c r="M63" i="66"/>
  <c r="N63" i="66" s="1"/>
  <c r="L135" i="66"/>
  <c r="N135" i="66" s="1"/>
  <c r="M178" i="66"/>
  <c r="N178" i="66" s="1"/>
  <c r="M129" i="66"/>
  <c r="N129" i="66" s="1"/>
  <c r="L184" i="66"/>
  <c r="N184" i="66" s="1"/>
  <c r="M227" i="66"/>
  <c r="N227" i="66" s="1"/>
  <c r="M304" i="66"/>
  <c r="N304" i="66" s="1"/>
  <c r="M45" i="71"/>
  <c r="N45" i="71" s="1"/>
  <c r="L52" i="71"/>
  <c r="N52" i="71" s="1"/>
  <c r="L276" i="66"/>
  <c r="N276" i="66" s="1"/>
  <c r="M126" i="66"/>
  <c r="N126" i="66" s="1"/>
  <c r="M182" i="66"/>
  <c r="N182" i="66" s="1"/>
  <c r="M312" i="66"/>
  <c r="N312" i="66" s="1"/>
  <c r="L337" i="66"/>
  <c r="N337" i="66" s="1"/>
  <c r="J45" i="65"/>
  <c r="L45" i="65" s="1"/>
  <c r="M92" i="66"/>
  <c r="N92" i="66" s="1"/>
  <c r="M186" i="66"/>
  <c r="N186" i="66" s="1"/>
  <c r="L390" i="66"/>
  <c r="N390" i="66" s="1"/>
  <c r="M87" i="66"/>
  <c r="N87" i="66" s="1"/>
  <c r="M236" i="66"/>
  <c r="N236" i="66" s="1"/>
  <c r="M38" i="66"/>
  <c r="N38" i="66" s="1"/>
  <c r="M22" i="66"/>
  <c r="N22" i="66" s="1"/>
  <c r="L300" i="66"/>
  <c r="N300" i="66" s="1"/>
  <c r="L319" i="66"/>
  <c r="N319" i="66" s="1"/>
  <c r="J50" i="46"/>
  <c r="L50" i="46" s="1"/>
  <c r="J26" i="46"/>
  <c r="L26" i="46" s="1"/>
  <c r="J14" i="46"/>
  <c r="M14" i="46" s="1"/>
  <c r="N32" i="66"/>
  <c r="M68" i="66"/>
  <c r="N68" i="66" s="1"/>
  <c r="M131" i="66"/>
  <c r="N131" i="66" s="1"/>
  <c r="M302" i="66"/>
  <c r="N302" i="66" s="1"/>
  <c r="M315" i="66"/>
  <c r="M98" i="66"/>
  <c r="N98" i="66" s="1"/>
  <c r="M62" i="71"/>
  <c r="N62" i="71" s="1"/>
  <c r="L344" i="66"/>
  <c r="N344" i="66" s="1"/>
  <c r="L252" i="66"/>
  <c r="L100" i="66"/>
  <c r="N100" i="66" s="1"/>
  <c r="M11" i="66"/>
  <c r="N11" i="66" s="1"/>
  <c r="M35" i="66"/>
  <c r="N35" i="66" s="1"/>
  <c r="M179" i="66"/>
  <c r="N179" i="66" s="1"/>
  <c r="M195" i="66"/>
  <c r="N195" i="66" s="1"/>
  <c r="M326" i="66"/>
  <c r="N326" i="66" s="1"/>
  <c r="M311" i="66"/>
  <c r="N311" i="66" s="1"/>
  <c r="L368" i="66"/>
  <c r="N368" i="66" s="1"/>
  <c r="M252" i="66"/>
  <c r="J66" i="65"/>
  <c r="J60" i="65"/>
  <c r="M151" i="66"/>
  <c r="N151" i="66" s="1"/>
  <c r="M189" i="66"/>
  <c r="N189" i="66" s="1"/>
  <c r="M213" i="66"/>
  <c r="N213" i="66" s="1"/>
  <c r="M294" i="66"/>
  <c r="N294" i="66" s="1"/>
  <c r="L309" i="66"/>
  <c r="N309" i="66" s="1"/>
  <c r="M51" i="66"/>
  <c r="N51" i="66" s="1"/>
  <c r="M159" i="66"/>
  <c r="N159" i="66" s="1"/>
  <c r="M66" i="71"/>
  <c r="N66" i="71" s="1"/>
  <c r="M19" i="66"/>
  <c r="N19" i="66" s="1"/>
  <c r="N133" i="66"/>
  <c r="M272" i="66"/>
  <c r="N272" i="66" s="1"/>
  <c r="M346" i="66"/>
  <c r="N346" i="66" s="1"/>
  <c r="M27" i="66"/>
  <c r="N27" i="66" s="1"/>
  <c r="M46" i="66"/>
  <c r="N46" i="66" s="1"/>
  <c r="M324" i="66"/>
  <c r="N324" i="66" s="1"/>
  <c r="L297" i="66"/>
  <c r="N297" i="66" s="1"/>
  <c r="J22" i="46"/>
  <c r="L22" i="46" s="1"/>
  <c r="M163" i="66"/>
  <c r="N163" i="66" s="1"/>
  <c r="M190" i="66"/>
  <c r="N190" i="66" s="1"/>
  <c r="M335" i="66"/>
  <c r="N335" i="66" s="1"/>
  <c r="M249" i="66"/>
  <c r="N249" i="66" s="1"/>
  <c r="M379" i="66"/>
  <c r="N379" i="66" s="1"/>
  <c r="M147" i="66"/>
  <c r="N147" i="66" s="1"/>
  <c r="M113" i="66"/>
  <c r="N113" i="66" s="1"/>
  <c r="M17" i="66"/>
  <c r="N17" i="66" s="1"/>
  <c r="M26" i="71"/>
  <c r="N26" i="71" s="1"/>
  <c r="M55" i="66"/>
  <c r="N55" i="66" s="1"/>
  <c r="M33" i="66"/>
  <c r="N33" i="66" s="1"/>
  <c r="M221" i="66"/>
  <c r="N221" i="66" s="1"/>
  <c r="M301" i="66"/>
  <c r="N301" i="66" s="1"/>
  <c r="J41" i="65"/>
  <c r="M183" i="66"/>
  <c r="N183" i="66" s="1"/>
  <c r="L349" i="66"/>
  <c r="N349" i="66" s="1"/>
  <c r="L2" i="71"/>
  <c r="N2" i="71" s="1"/>
  <c r="M13" i="66"/>
  <c r="N13" i="66" s="1"/>
  <c r="M107" i="66"/>
  <c r="N107" i="66" s="1"/>
  <c r="L220" i="66"/>
  <c r="N220" i="66" s="1"/>
  <c r="M343" i="66"/>
  <c r="N343" i="66" s="1"/>
  <c r="J9" i="46"/>
  <c r="M9" i="46" s="1"/>
  <c r="J43" i="46"/>
  <c r="L43" i="46" s="1"/>
  <c r="J31" i="46"/>
  <c r="L31" i="46" s="1"/>
  <c r="J19" i="46"/>
  <c r="L19" i="46" s="1"/>
  <c r="J11" i="54"/>
  <c r="L11" i="54" s="1"/>
  <c r="J17" i="54"/>
  <c r="M17" i="54" s="1"/>
  <c r="J23" i="54"/>
  <c r="L23" i="54" s="1"/>
  <c r="J29" i="54"/>
  <c r="M29" i="54" s="1"/>
  <c r="J4" i="47"/>
  <c r="M4" i="47" s="1"/>
  <c r="J10" i="47"/>
  <c r="L10" i="47" s="1"/>
  <c r="N168" i="66"/>
  <c r="M259" i="66"/>
  <c r="N259" i="66" s="1"/>
  <c r="M53" i="66"/>
  <c r="N53" i="66" s="1"/>
  <c r="M332" i="66"/>
  <c r="N332" i="66" s="1"/>
  <c r="M334" i="66"/>
  <c r="N334" i="66" s="1"/>
  <c r="M303" i="66"/>
  <c r="N303" i="66" s="1"/>
  <c r="L28" i="71"/>
  <c r="N28" i="71" s="1"/>
  <c r="N170" i="66"/>
  <c r="M366" i="66"/>
  <c r="N366" i="66" s="1"/>
  <c r="M23" i="71"/>
  <c r="N23" i="71" s="1"/>
  <c r="N385" i="66"/>
  <c r="M359" i="66"/>
  <c r="N359" i="66" s="1"/>
  <c r="M14" i="66"/>
  <c r="N14" i="66" s="1"/>
  <c r="M120" i="66"/>
  <c r="N120" i="66" s="1"/>
  <c r="M240" i="66"/>
  <c r="N240" i="66" s="1"/>
  <c r="L295" i="66"/>
  <c r="N295" i="66" s="1"/>
  <c r="M313" i="66"/>
  <c r="N313" i="66" s="1"/>
  <c r="J68" i="65"/>
  <c r="M68" i="65" s="1"/>
  <c r="J36" i="65"/>
  <c r="L36" i="65" s="1"/>
  <c r="M51" i="71"/>
  <c r="N51" i="71" s="1"/>
  <c r="J10" i="46"/>
  <c r="M10" i="46" s="1"/>
  <c r="J16" i="65"/>
  <c r="M16" i="65" s="1"/>
  <c r="M93" i="66"/>
  <c r="N93" i="66" s="1"/>
  <c r="L49" i="66"/>
  <c r="N49" i="66" s="1"/>
  <c r="M292" i="66"/>
  <c r="N292" i="66" s="1"/>
  <c r="L298" i="66"/>
  <c r="N298" i="66" s="1"/>
  <c r="L382" i="66"/>
  <c r="N382" i="66" s="1"/>
  <c r="L62" i="66"/>
  <c r="N62" i="66" s="1"/>
  <c r="L94" i="66"/>
  <c r="M94" i="66"/>
  <c r="L291" i="66"/>
  <c r="M291" i="66"/>
  <c r="J8" i="46"/>
  <c r="M90" i="66"/>
  <c r="N90" i="66" s="1"/>
  <c r="M104" i="66"/>
  <c r="N104" i="66" s="1"/>
  <c r="N177" i="66"/>
  <c r="M204" i="66"/>
  <c r="N204" i="66" s="1"/>
  <c r="M328" i="66"/>
  <c r="N328" i="66" s="1"/>
  <c r="M60" i="71"/>
  <c r="N60" i="71" s="1"/>
  <c r="L75" i="66"/>
  <c r="N75" i="66" s="1"/>
  <c r="M15" i="66"/>
  <c r="N15" i="66" s="1"/>
  <c r="M38" i="71"/>
  <c r="N38" i="71" s="1"/>
  <c r="M65" i="71"/>
  <c r="N65" i="71" s="1"/>
  <c r="M41" i="71"/>
  <c r="N41" i="71" s="1"/>
  <c r="L122" i="66"/>
  <c r="N122" i="66" s="1"/>
  <c r="J42" i="46"/>
  <c r="L42" i="46" s="1"/>
  <c r="J30" i="46"/>
  <c r="L30" i="46" s="1"/>
  <c r="L231" i="66"/>
  <c r="N231" i="66" s="1"/>
  <c r="M352" i="66"/>
  <c r="N352" i="66" s="1"/>
  <c r="L16" i="71"/>
  <c r="N16" i="71" s="1"/>
  <c r="M173" i="66"/>
  <c r="N173" i="66" s="1"/>
  <c r="M217" i="66"/>
  <c r="N217" i="66" s="1"/>
  <c r="M101" i="66"/>
  <c r="N101" i="66" s="1"/>
  <c r="J27" i="46"/>
  <c r="M27" i="46" s="1"/>
  <c r="J15" i="46"/>
  <c r="L15" i="46" s="1"/>
  <c r="M20" i="66"/>
  <c r="N20" i="66" s="1"/>
  <c r="M187" i="66"/>
  <c r="N187" i="66" s="1"/>
  <c r="M353" i="66"/>
  <c r="N353" i="66" s="1"/>
  <c r="M59" i="71"/>
  <c r="N59" i="71" s="1"/>
  <c r="M43" i="71"/>
  <c r="N43" i="71" s="1"/>
  <c r="L40" i="71"/>
  <c r="N40" i="71" s="1"/>
  <c r="L82" i="66"/>
  <c r="N82" i="66" s="1"/>
  <c r="M286" i="66"/>
  <c r="N286" i="66" s="1"/>
  <c r="M41" i="66"/>
  <c r="N41" i="66" s="1"/>
  <c r="M27" i="71"/>
  <c r="N27" i="71" s="1"/>
  <c r="J35" i="65"/>
  <c r="L35" i="65" s="1"/>
  <c r="L76" i="66"/>
  <c r="N76" i="66" s="1"/>
  <c r="L160" i="66"/>
  <c r="N160" i="66" s="1"/>
  <c r="M314" i="66"/>
  <c r="N314" i="66" s="1"/>
  <c r="M61" i="71"/>
  <c r="N61" i="71" s="1"/>
  <c r="L289" i="66"/>
  <c r="J11" i="65"/>
  <c r="L11" i="65" s="1"/>
  <c r="M95" i="66"/>
  <c r="N95" i="66" s="1"/>
  <c r="M69" i="71"/>
  <c r="N69" i="71" s="1"/>
  <c r="M289" i="66"/>
  <c r="L224" i="66"/>
  <c r="M224" i="66"/>
  <c r="N119" i="66"/>
  <c r="N201" i="66"/>
  <c r="N218" i="66"/>
  <c r="M365" i="66"/>
  <c r="N365" i="66" s="1"/>
  <c r="N375" i="66"/>
  <c r="J33" i="65"/>
  <c r="L33" i="65" s="1"/>
  <c r="N55" i="71"/>
  <c r="J8" i="65"/>
  <c r="L8" i="65" s="1"/>
  <c r="M371" i="66"/>
  <c r="N371" i="66" s="1"/>
  <c r="M111" i="66"/>
  <c r="N111" i="66" s="1"/>
  <c r="N49" i="71"/>
  <c r="L65" i="66"/>
  <c r="M65" i="66"/>
  <c r="M44" i="66"/>
  <c r="N44" i="66" s="1"/>
  <c r="M54" i="71"/>
  <c r="N54" i="71" s="1"/>
  <c r="J62" i="65"/>
  <c r="J57" i="65"/>
  <c r="L57" i="65" s="1"/>
  <c r="J51" i="65"/>
  <c r="M51" i="65" s="1"/>
  <c r="M114" i="66"/>
  <c r="N114" i="66" s="1"/>
  <c r="L53" i="71"/>
  <c r="N53" i="71" s="1"/>
  <c r="M219" i="66"/>
  <c r="L219" i="66"/>
  <c r="M235" i="66"/>
  <c r="L235" i="66"/>
  <c r="L16" i="66"/>
  <c r="N16" i="66" s="1"/>
  <c r="M347" i="66"/>
  <c r="N347" i="66" s="1"/>
  <c r="M39" i="71"/>
  <c r="N39" i="71" s="1"/>
  <c r="M58" i="71"/>
  <c r="N58" i="71" s="1"/>
  <c r="J23" i="65"/>
  <c r="M23" i="65" s="1"/>
  <c r="J17" i="65"/>
  <c r="L17" i="65" s="1"/>
  <c r="J65" i="65"/>
  <c r="L65" i="65" s="1"/>
  <c r="J39" i="65"/>
  <c r="L39" i="65" s="1"/>
  <c r="J28" i="65"/>
  <c r="J48" i="65"/>
  <c r="L48" i="65" s="1"/>
  <c r="J38" i="65"/>
  <c r="L38" i="65" s="1"/>
  <c r="J43" i="65"/>
  <c r="L43" i="65" s="1"/>
  <c r="J9" i="65"/>
  <c r="L9" i="65" s="1"/>
  <c r="J63" i="65"/>
  <c r="M63" i="65" s="1"/>
  <c r="J52" i="65"/>
  <c r="J20" i="65"/>
  <c r="J15" i="54"/>
  <c r="M15" i="54" s="1"/>
  <c r="J2" i="47"/>
  <c r="L2" i="47" s="1"/>
  <c r="J8" i="47"/>
  <c r="M8" i="47" s="1"/>
  <c r="J56" i="65"/>
  <c r="J18" i="65"/>
  <c r="L18" i="65" s="1"/>
  <c r="J12" i="65"/>
  <c r="L12" i="65" s="1"/>
  <c r="J6" i="65"/>
  <c r="L6" i="65" s="1"/>
  <c r="M43" i="66"/>
  <c r="N43" i="66" s="1"/>
  <c r="N24" i="66"/>
  <c r="N158" i="66"/>
  <c r="M392" i="66"/>
  <c r="N392" i="66" s="1"/>
  <c r="M48" i="66"/>
  <c r="N48" i="66" s="1"/>
  <c r="N315" i="66"/>
  <c r="M13" i="71"/>
  <c r="N13" i="71" s="1"/>
  <c r="M22" i="71"/>
  <c r="N22" i="71" s="1"/>
  <c r="L125" i="66"/>
  <c r="M125" i="66"/>
  <c r="M401" i="66"/>
  <c r="N401" i="66" s="1"/>
  <c r="M229" i="66"/>
  <c r="N229" i="66" s="1"/>
  <c r="M57" i="71"/>
  <c r="N57" i="71" s="1"/>
  <c r="M17" i="71"/>
  <c r="N17" i="71" s="1"/>
  <c r="M70" i="71"/>
  <c r="N70" i="71" s="1"/>
  <c r="M207" i="66"/>
  <c r="L207" i="66"/>
  <c r="N152" i="66"/>
  <c r="N384" i="66"/>
  <c r="M30" i="71"/>
  <c r="N30" i="71" s="1"/>
  <c r="L232" i="66"/>
  <c r="M232" i="66"/>
  <c r="L40" i="66"/>
  <c r="N40" i="66" s="1"/>
  <c r="M386" i="66"/>
  <c r="N386" i="66" s="1"/>
  <c r="L37" i="71"/>
  <c r="N37" i="71" s="1"/>
  <c r="M42" i="66"/>
  <c r="N42" i="66" s="1"/>
  <c r="M20" i="71"/>
  <c r="N20" i="71" s="1"/>
  <c r="N11" i="71"/>
  <c r="M32" i="71"/>
  <c r="N32" i="71" s="1"/>
  <c r="M31" i="71"/>
  <c r="N31" i="71" s="1"/>
  <c r="M21" i="71"/>
  <c r="N21" i="71" s="1"/>
  <c r="M33" i="71"/>
  <c r="N33" i="71" s="1"/>
  <c r="M5" i="71"/>
  <c r="N5" i="71" s="1"/>
  <c r="M7" i="71"/>
  <c r="N7" i="71" s="1"/>
  <c r="M15" i="71"/>
  <c r="N15" i="71" s="1"/>
  <c r="M3" i="71"/>
  <c r="N3" i="71" s="1"/>
  <c r="M25" i="71"/>
  <c r="N25" i="71" s="1"/>
  <c r="L24" i="71"/>
  <c r="N24" i="71" s="1"/>
  <c r="M18" i="71"/>
  <c r="N18" i="71" s="1"/>
  <c r="M9" i="71"/>
  <c r="N9" i="71" s="1"/>
  <c r="M29" i="71"/>
  <c r="N29" i="71" s="1"/>
  <c r="L4" i="71"/>
  <c r="N4" i="71" s="1"/>
  <c r="M6" i="71"/>
  <c r="N6" i="71" s="1"/>
  <c r="M12" i="71"/>
  <c r="N12" i="71" s="1"/>
  <c r="M44" i="71"/>
  <c r="N44" i="71" s="1"/>
  <c r="M36" i="71"/>
  <c r="N36" i="71" s="1"/>
  <c r="M50" i="71"/>
  <c r="N50" i="71" s="1"/>
  <c r="M42" i="71"/>
  <c r="N42" i="71" s="1"/>
  <c r="N29" i="66"/>
  <c r="N47" i="66"/>
  <c r="M367" i="66"/>
  <c r="N367" i="66" s="1"/>
  <c r="N340" i="66"/>
  <c r="N234" i="66"/>
  <c r="M355" i="66"/>
  <c r="N355" i="66" s="1"/>
  <c r="N116" i="66"/>
  <c r="M380" i="66"/>
  <c r="N380" i="66" s="1"/>
  <c r="N262" i="66"/>
  <c r="M316" i="66"/>
  <c r="N316" i="66" s="1"/>
  <c r="N358" i="66"/>
  <c r="N248" i="66"/>
  <c r="N174" i="66"/>
  <c r="M222" i="66"/>
  <c r="N222" i="66" s="1"/>
  <c r="N322" i="66"/>
  <c r="N342" i="66"/>
  <c r="N96" i="66"/>
  <c r="N354" i="66"/>
  <c r="N202" i="66"/>
  <c r="J29" i="65"/>
  <c r="L29" i="65" s="1"/>
  <c r="J24" i="65"/>
  <c r="L24" i="65" s="1"/>
  <c r="J14" i="65"/>
  <c r="M14" i="65" s="1"/>
  <c r="J10" i="65"/>
  <c r="M10" i="65" s="1"/>
  <c r="J5" i="65"/>
  <c r="L5" i="65" s="1"/>
  <c r="J4" i="65"/>
  <c r="M4" i="65" s="1"/>
  <c r="J7" i="47"/>
  <c r="M7" i="47" s="1"/>
  <c r="J61" i="65"/>
  <c r="L61" i="65" s="1"/>
  <c r="J42" i="65"/>
  <c r="L42" i="65" s="1"/>
  <c r="J37" i="65"/>
  <c r="M37" i="65" s="1"/>
  <c r="J32" i="65"/>
  <c r="M32" i="65" s="1"/>
  <c r="J50" i="65"/>
  <c r="M50" i="65" s="1"/>
  <c r="J46" i="65"/>
  <c r="L46" i="65" s="1"/>
  <c r="J26" i="65"/>
  <c r="M26" i="65" s="1"/>
  <c r="J21" i="65"/>
  <c r="L21" i="65" s="1"/>
  <c r="J64" i="65"/>
  <c r="L64" i="65" s="1"/>
  <c r="J59" i="65"/>
  <c r="M59" i="65" s="1"/>
  <c r="J55" i="65"/>
  <c r="L55" i="65" s="1"/>
  <c r="J32" i="46"/>
  <c r="L32" i="46" s="1"/>
  <c r="J20" i="46"/>
  <c r="L20" i="46" s="1"/>
  <c r="J40" i="65"/>
  <c r="M40" i="65" s="1"/>
  <c r="J54" i="65"/>
  <c r="L54" i="65" s="1"/>
  <c r="J49" i="65"/>
  <c r="L49" i="65" s="1"/>
  <c r="J44" i="65"/>
  <c r="L44" i="65" s="1"/>
  <c r="J24" i="54"/>
  <c r="L24" i="54" s="1"/>
  <c r="J5" i="47"/>
  <c r="L5" i="47" s="1"/>
  <c r="J58" i="65"/>
  <c r="L58" i="65" s="1"/>
  <c r="J34" i="65"/>
  <c r="L34" i="65" s="1"/>
  <c r="J18" i="46"/>
  <c r="M18" i="46" s="1"/>
  <c r="J6" i="47"/>
  <c r="L6" i="47" s="1"/>
  <c r="J47" i="65"/>
  <c r="L47" i="65" s="1"/>
  <c r="J67" i="65"/>
  <c r="M67" i="65" s="1"/>
  <c r="J53" i="65"/>
  <c r="M53" i="65" s="1"/>
  <c r="J2" i="65"/>
  <c r="M2" i="65" s="1"/>
  <c r="J27" i="65"/>
  <c r="M27" i="65" s="1"/>
  <c r="J31" i="65"/>
  <c r="L31" i="65" s="1"/>
  <c r="J30" i="65"/>
  <c r="L30" i="65" s="1"/>
  <c r="J15" i="65"/>
  <c r="M15" i="65" s="1"/>
  <c r="J7" i="65"/>
  <c r="L7" i="65" s="1"/>
  <c r="J25" i="65"/>
  <c r="L25" i="65" s="1"/>
  <c r="J13" i="65"/>
  <c r="L13" i="65" s="1"/>
  <c r="J19" i="65"/>
  <c r="M19" i="65" s="1"/>
  <c r="J69" i="65"/>
  <c r="M69" i="65" s="1"/>
  <c r="J7" i="46"/>
  <c r="M7" i="46" s="1"/>
  <c r="J41" i="46"/>
  <c r="M41" i="46" s="1"/>
  <c r="J29" i="46"/>
  <c r="M29" i="46" s="1"/>
  <c r="J39" i="46"/>
  <c r="M39" i="46" s="1"/>
  <c r="J33" i="54"/>
  <c r="M33" i="54" s="1"/>
  <c r="J44" i="54"/>
  <c r="M44" i="54" s="1"/>
  <c r="J6" i="46"/>
  <c r="M6" i="46" s="1"/>
  <c r="J17" i="46"/>
  <c r="M17" i="46" s="1"/>
  <c r="J40" i="46"/>
  <c r="L40" i="46" s="1"/>
  <c r="J40" i="54"/>
  <c r="M40" i="54" s="1"/>
  <c r="J38" i="46"/>
  <c r="M38" i="46" s="1"/>
  <c r="J48" i="46"/>
  <c r="L48" i="46" s="1"/>
  <c r="J36" i="46"/>
  <c r="L36" i="46" s="1"/>
  <c r="J24" i="46"/>
  <c r="L24" i="46" s="1"/>
  <c r="J12" i="46"/>
  <c r="M12" i="46" s="1"/>
  <c r="J46" i="46"/>
  <c r="L46" i="46" s="1"/>
  <c r="J34" i="46"/>
  <c r="J34" i="54"/>
  <c r="J47" i="46"/>
  <c r="L47" i="46" s="1"/>
  <c r="J35" i="46"/>
  <c r="M35" i="46" s="1"/>
  <c r="J23" i="46"/>
  <c r="M23" i="46" s="1"/>
  <c r="J19" i="47"/>
  <c r="M19" i="47" s="1"/>
  <c r="J30" i="54"/>
  <c r="J35" i="54"/>
  <c r="J20" i="47"/>
  <c r="L20" i="47" s="1"/>
  <c r="J7" i="54"/>
  <c r="J36" i="54"/>
  <c r="M36" i="54" s="1"/>
  <c r="J41" i="54"/>
  <c r="M41" i="54" s="1"/>
  <c r="J45" i="46"/>
  <c r="M45" i="46" s="1"/>
  <c r="J33" i="46"/>
  <c r="J14" i="54"/>
  <c r="M14" i="54" s="1"/>
  <c r="J26" i="54"/>
  <c r="M26" i="54" s="1"/>
  <c r="J42" i="54"/>
  <c r="J16" i="47"/>
  <c r="L16" i="47" s="1"/>
  <c r="J44" i="46"/>
  <c r="M44" i="46" s="1"/>
  <c r="J17" i="47"/>
  <c r="M17" i="47" s="1"/>
  <c r="J22" i="54"/>
  <c r="L22" i="54" s="1"/>
  <c r="J28" i="54"/>
  <c r="L28" i="54" s="1"/>
  <c r="J49" i="46"/>
  <c r="J37" i="46"/>
  <c r="J25" i="46"/>
  <c r="M25" i="46" s="1"/>
  <c r="J13" i="46"/>
  <c r="J18" i="47"/>
  <c r="L18" i="47" s="1"/>
  <c r="J15" i="47"/>
  <c r="M15" i="47" s="1"/>
  <c r="J14" i="47"/>
  <c r="M14" i="47" s="1"/>
  <c r="J13" i="47"/>
  <c r="L13" i="47" s="1"/>
  <c r="J12" i="47"/>
  <c r="M12" i="47" s="1"/>
  <c r="J11" i="47"/>
  <c r="M11" i="47" s="1"/>
  <c r="M9" i="47"/>
  <c r="L9" i="47"/>
  <c r="L3" i="47"/>
  <c r="M3" i="47"/>
  <c r="J39" i="54"/>
  <c r="L39" i="54" s="1"/>
  <c r="J16" i="46"/>
  <c r="L16" i="46" s="1"/>
  <c r="J21" i="54"/>
  <c r="M21" i="54" s="1"/>
  <c r="J27" i="54"/>
  <c r="L27" i="54" s="1"/>
  <c r="J31" i="54"/>
  <c r="M31" i="54" s="1"/>
  <c r="J47" i="54"/>
  <c r="M47" i="54" s="1"/>
  <c r="J32" i="54"/>
  <c r="M32" i="54" s="1"/>
  <c r="J43" i="54"/>
  <c r="M43" i="54" s="1"/>
  <c r="J28" i="46"/>
  <c r="J48" i="54"/>
  <c r="L48" i="54" s="1"/>
  <c r="J11" i="46"/>
  <c r="L11" i="46" s="1"/>
  <c r="J45" i="54"/>
  <c r="M45" i="54" s="1"/>
  <c r="J49" i="54"/>
  <c r="M49" i="54" s="1"/>
  <c r="J37" i="54"/>
  <c r="M37" i="54" s="1"/>
  <c r="J50" i="54"/>
  <c r="M50" i="54" s="1"/>
  <c r="J13" i="54"/>
  <c r="L13" i="54" s="1"/>
  <c r="J19" i="54"/>
  <c r="M19" i="54" s="1"/>
  <c r="J25" i="54"/>
  <c r="L25" i="54" s="1"/>
  <c r="J38" i="54"/>
  <c r="M38" i="54" s="1"/>
  <c r="M43" i="46"/>
  <c r="J2" i="46"/>
  <c r="M2" i="46" s="1"/>
  <c r="J4" i="54"/>
  <c r="M4" i="54" s="1"/>
  <c r="J2" i="54"/>
  <c r="L2" i="54" s="1"/>
  <c r="J3" i="54"/>
  <c r="L3" i="54" s="1"/>
  <c r="J9" i="54"/>
  <c r="L9" i="54" s="1"/>
  <c r="J20" i="54"/>
  <c r="M20" i="54" s="1"/>
  <c r="J16" i="54"/>
  <c r="L16" i="54" s="1"/>
  <c r="J5" i="54"/>
  <c r="M5" i="54" s="1"/>
  <c r="J12" i="54"/>
  <c r="L12" i="54" s="1"/>
  <c r="J8" i="54"/>
  <c r="M8" i="54" s="1"/>
  <c r="M6" i="54"/>
  <c r="L6" i="54"/>
  <c r="M18" i="54"/>
  <c r="L18" i="54"/>
  <c r="L46" i="54"/>
  <c r="N46" i="54" s="1"/>
  <c r="L21" i="46"/>
  <c r="M5" i="46"/>
  <c r="M3" i="46"/>
  <c r="L4" i="46"/>
  <c r="M21" i="46"/>
  <c r="M59" i="46"/>
  <c r="L59" i="46"/>
  <c r="K5" i="4"/>
  <c r="J5" i="4"/>
  <c r="L5" i="4" s="1"/>
  <c r="J10" i="4"/>
  <c r="L10" i="4" s="1"/>
  <c r="K10" i="4"/>
  <c r="J14" i="3"/>
  <c r="L14" i="3" s="1"/>
  <c r="K14" i="3"/>
  <c r="K20" i="2"/>
  <c r="L20" i="2" s="1"/>
  <c r="J20" i="2"/>
  <c r="J13" i="2"/>
  <c r="L13" i="2" s="1"/>
  <c r="K13" i="2"/>
  <c r="K17" i="4"/>
  <c r="J17" i="4"/>
  <c r="L17" i="4" s="1"/>
  <c r="L2" i="3"/>
  <c r="J2" i="3"/>
  <c r="K2" i="3"/>
  <c r="K8" i="2"/>
  <c r="L8" i="2" s="1"/>
  <c r="J8" i="2"/>
  <c r="K30" i="6"/>
  <c r="J30" i="6"/>
  <c r="L30" i="6" s="1"/>
  <c r="J23" i="6"/>
  <c r="L23" i="6" s="1"/>
  <c r="K23" i="6"/>
  <c r="K22" i="6"/>
  <c r="J22" i="6"/>
  <c r="L22" i="6" s="1"/>
  <c r="L3" i="2"/>
  <c r="L9" i="3"/>
  <c r="K2" i="4"/>
  <c r="K6" i="4"/>
  <c r="J6" i="4"/>
  <c r="L6" i="4" s="1"/>
  <c r="L18" i="6"/>
  <c r="K27" i="6"/>
  <c r="L27" i="6" s="1"/>
  <c r="L31" i="6"/>
  <c r="K31" i="6"/>
  <c r="J31" i="6"/>
  <c r="L11" i="2"/>
  <c r="J11" i="2"/>
  <c r="K16" i="2"/>
  <c r="K24" i="2"/>
  <c r="J24" i="2"/>
  <c r="L2" i="4"/>
  <c r="M3" i="13"/>
  <c r="J29" i="44"/>
  <c r="L29" i="44" s="1"/>
  <c r="K29" i="44"/>
  <c r="K3" i="2"/>
  <c r="K11" i="2"/>
  <c r="J16" i="2"/>
  <c r="L16" i="2" s="1"/>
  <c r="L24" i="2"/>
  <c r="K6" i="3"/>
  <c r="L6" i="3" s="1"/>
  <c r="K10" i="3"/>
  <c r="J10" i="3"/>
  <c r="L10" i="3" s="1"/>
  <c r="L11" i="4"/>
  <c r="K11" i="4"/>
  <c r="J11" i="4"/>
  <c r="L15" i="4"/>
  <c r="K15" i="6"/>
  <c r="L15" i="6" s="1"/>
  <c r="K19" i="6"/>
  <c r="J19" i="6"/>
  <c r="L19" i="6" s="1"/>
  <c r="K13" i="3"/>
  <c r="J13" i="3"/>
  <c r="L13" i="3" s="1"/>
  <c r="K17" i="2"/>
  <c r="L21" i="2"/>
  <c r="K21" i="2"/>
  <c r="J21" i="2"/>
  <c r="L15" i="3"/>
  <c r="K15" i="3"/>
  <c r="J15" i="3"/>
  <c r="L3" i="4"/>
  <c r="L24" i="6"/>
  <c r="K24" i="6"/>
  <c r="J24" i="6"/>
  <c r="L28" i="6"/>
  <c r="L17" i="2"/>
  <c r="J7" i="3"/>
  <c r="L7" i="3" s="1"/>
  <c r="J12" i="4"/>
  <c r="L12" i="4" s="1"/>
  <c r="L20" i="4"/>
  <c r="J20" i="4"/>
  <c r="J16" i="6"/>
  <c r="K18" i="29"/>
  <c r="J18" i="29"/>
  <c r="L18" i="29" s="1"/>
  <c r="K5" i="3"/>
  <c r="L5" i="3" s="1"/>
  <c r="K5" i="2"/>
  <c r="L5" i="2" s="1"/>
  <c r="L9" i="2"/>
  <c r="K9" i="2"/>
  <c r="J9" i="2"/>
  <c r="L3" i="3"/>
  <c r="K3" i="3"/>
  <c r="J3" i="3"/>
  <c r="K12" i="4"/>
  <c r="K20" i="4"/>
  <c r="L16" i="6"/>
  <c r="L12" i="12"/>
  <c r="K12" i="12"/>
  <c r="J12" i="12"/>
  <c r="L23" i="2"/>
  <c r="J23" i="2"/>
  <c r="J18" i="2"/>
  <c r="J16" i="3"/>
  <c r="L16" i="3" s="1"/>
  <c r="J8" i="4"/>
  <c r="K13" i="4"/>
  <c r="J25" i="6"/>
  <c r="L25" i="6" s="1"/>
  <c r="L14" i="6"/>
  <c r="K14" i="6"/>
  <c r="L4" i="2"/>
  <c r="K4" i="2"/>
  <c r="K2" i="12"/>
  <c r="L2" i="12" s="1"/>
  <c r="J2" i="12"/>
  <c r="L14" i="2"/>
  <c r="K14" i="2"/>
  <c r="J14" i="2"/>
  <c r="L18" i="2"/>
  <c r="L4" i="3"/>
  <c r="K16" i="3"/>
  <c r="K8" i="4"/>
  <c r="L8" i="4" s="1"/>
  <c r="J13" i="4"/>
  <c r="L13" i="4" s="1"/>
  <c r="K25" i="6"/>
  <c r="K12" i="2"/>
  <c r="J12" i="2"/>
  <c r="L12" i="2" s="1"/>
  <c r="J12" i="3"/>
  <c r="L12" i="3" s="1"/>
  <c r="K17" i="3"/>
  <c r="L17" i="3" s="1"/>
  <c r="K9" i="4"/>
  <c r="J9" i="4"/>
  <c r="L9" i="4" s="1"/>
  <c r="L21" i="6"/>
  <c r="J21" i="6"/>
  <c r="L26" i="6"/>
  <c r="K26" i="6"/>
  <c r="K2" i="2"/>
  <c r="J2" i="2"/>
  <c r="L2" i="2" s="1"/>
  <c r="L15" i="2"/>
  <c r="K18" i="4"/>
  <c r="J18" i="4"/>
  <c r="L18" i="4" s="1"/>
  <c r="L31" i="29"/>
  <c r="L8" i="12"/>
  <c r="L3" i="13"/>
  <c r="L5" i="29"/>
  <c r="K5" i="29"/>
  <c r="J5" i="29"/>
  <c r="L19" i="29"/>
  <c r="K32" i="29"/>
  <c r="J32" i="29"/>
  <c r="L32" i="29" s="1"/>
  <c r="L13" i="12"/>
  <c r="K13" i="12"/>
  <c r="J13" i="12"/>
  <c r="K13" i="29"/>
  <c r="J13" i="29"/>
  <c r="L13" i="29" s="1"/>
  <c r="K5" i="12"/>
  <c r="J5" i="12"/>
  <c r="L5" i="12" s="1"/>
  <c r="L4" i="13"/>
  <c r="K4" i="13"/>
  <c r="M4" i="13" s="1"/>
  <c r="J14" i="12"/>
  <c r="L14" i="12" s="1"/>
  <c r="J14" i="29"/>
  <c r="L14" i="29" s="1"/>
  <c r="K14" i="29"/>
  <c r="L27" i="29"/>
  <c r="K27" i="29"/>
  <c r="J27" i="29"/>
  <c r="J40" i="37"/>
  <c r="L40" i="37"/>
  <c r="K40" i="37"/>
  <c r="K14" i="12"/>
  <c r="J7" i="2"/>
  <c r="L7" i="2" s="1"/>
  <c r="J19" i="2"/>
  <c r="L19" i="2" s="1"/>
  <c r="J8" i="3"/>
  <c r="L8" i="3" s="1"/>
  <c r="J4" i="4"/>
  <c r="L4" i="4" s="1"/>
  <c r="J16" i="4"/>
  <c r="L16" i="4" s="1"/>
  <c r="J17" i="6"/>
  <c r="L17" i="6" s="1"/>
  <c r="J29" i="6"/>
  <c r="L29" i="6" s="1"/>
  <c r="K10" i="12"/>
  <c r="J10" i="12"/>
  <c r="L10" i="12" s="1"/>
  <c r="L9" i="13"/>
  <c r="K9" i="13"/>
  <c r="M9" i="13" s="1"/>
  <c r="L10" i="29"/>
  <c r="K10" i="29"/>
  <c r="J10" i="29"/>
  <c r="K19" i="37"/>
  <c r="L19" i="37"/>
  <c r="J19" i="37"/>
  <c r="L7" i="12"/>
  <c r="M2" i="13"/>
  <c r="M6" i="13"/>
  <c r="K29" i="29"/>
  <c r="L29" i="29" s="1"/>
  <c r="J29" i="29"/>
  <c r="L41" i="37"/>
  <c r="K41" i="37"/>
  <c r="J41" i="37"/>
  <c r="K19" i="29"/>
  <c r="L33" i="29"/>
  <c r="K31" i="37"/>
  <c r="J31" i="37"/>
  <c r="L31" i="37" s="1"/>
  <c r="K37" i="37"/>
  <c r="J37" i="37"/>
  <c r="L37" i="37" s="1"/>
  <c r="M58" i="46"/>
  <c r="L58" i="46"/>
  <c r="L24" i="29"/>
  <c r="J32" i="37"/>
  <c r="L32" i="37" s="1"/>
  <c r="K32" i="37"/>
  <c r="L23" i="44"/>
  <c r="K23" i="44"/>
  <c r="J23" i="44"/>
  <c r="K6" i="29"/>
  <c r="J6" i="29"/>
  <c r="L6" i="29" s="1"/>
  <c r="K15" i="29"/>
  <c r="J15" i="29"/>
  <c r="L15" i="29" s="1"/>
  <c r="K20" i="29"/>
  <c r="J20" i="29"/>
  <c r="L20" i="29" s="1"/>
  <c r="J24" i="29"/>
  <c r="K24" i="29"/>
  <c r="K43" i="37"/>
  <c r="J43" i="37"/>
  <c r="L43" i="37" s="1"/>
  <c r="J7" i="29"/>
  <c r="L7" i="29" s="1"/>
  <c r="J21" i="29"/>
  <c r="K25" i="29"/>
  <c r="J25" i="29"/>
  <c r="L25" i="29" s="1"/>
  <c r="K30" i="29"/>
  <c r="L30" i="29" s="1"/>
  <c r="J30" i="29"/>
  <c r="K27" i="37"/>
  <c r="J27" i="37"/>
  <c r="K3" i="12"/>
  <c r="L3" i="12" s="1"/>
  <c r="J8" i="12"/>
  <c r="L2" i="13"/>
  <c r="K7" i="13"/>
  <c r="M7" i="13" s="1"/>
  <c r="K7" i="29"/>
  <c r="L21" i="29"/>
  <c r="K23" i="37"/>
  <c r="J23" i="37"/>
  <c r="L23" i="37" s="1"/>
  <c r="L27" i="37"/>
  <c r="K8" i="12"/>
  <c r="L7" i="13"/>
  <c r="J31" i="29"/>
  <c r="J6" i="12"/>
  <c r="L6" i="12" s="1"/>
  <c r="K5" i="13"/>
  <c r="M5" i="13" s="1"/>
  <c r="K3" i="29"/>
  <c r="J3" i="29"/>
  <c r="L3" i="29" s="1"/>
  <c r="K8" i="29"/>
  <c r="L8" i="29" s="1"/>
  <c r="J8" i="29"/>
  <c r="K17" i="29"/>
  <c r="K22" i="29"/>
  <c r="J22" i="29"/>
  <c r="L22" i="29" s="1"/>
  <c r="J28" i="37"/>
  <c r="L28" i="37" s="1"/>
  <c r="K28" i="37"/>
  <c r="K12" i="29"/>
  <c r="L12" i="29" s="1"/>
  <c r="J17" i="29"/>
  <c r="L17" i="29" s="1"/>
  <c r="L26" i="29"/>
  <c r="K24" i="37"/>
  <c r="L24" i="37" s="1"/>
  <c r="K14" i="44"/>
  <c r="J14" i="44"/>
  <c r="L14" i="44" s="1"/>
  <c r="M63" i="46"/>
  <c r="L63" i="46"/>
  <c r="L57" i="46"/>
  <c r="M57" i="46"/>
  <c r="J20" i="37"/>
  <c r="L20" i="37"/>
  <c r="K20" i="37"/>
  <c r="L25" i="37"/>
  <c r="K25" i="37"/>
  <c r="K29" i="37"/>
  <c r="J29" i="37"/>
  <c r="L29" i="37" s="1"/>
  <c r="J33" i="44"/>
  <c r="L33" i="44" s="1"/>
  <c r="M51" i="46"/>
  <c r="L51" i="46"/>
  <c r="J25" i="37"/>
  <c r="K34" i="37"/>
  <c r="J34" i="37"/>
  <c r="L34" i="37" s="1"/>
  <c r="K33" i="44"/>
  <c r="L30" i="37"/>
  <c r="K35" i="37"/>
  <c r="J35" i="37"/>
  <c r="L35" i="37" s="1"/>
  <c r="J44" i="37"/>
  <c r="K44" i="37"/>
  <c r="L44" i="37" s="1"/>
  <c r="J30" i="37"/>
  <c r="L5" i="46"/>
  <c r="K19" i="44"/>
  <c r="J19" i="44"/>
  <c r="K20" i="44"/>
  <c r="J20" i="44"/>
  <c r="L20" i="44" s="1"/>
  <c r="K22" i="37"/>
  <c r="L22" i="37" s="1"/>
  <c r="J22" i="37"/>
  <c r="L36" i="37"/>
  <c r="J21" i="44"/>
  <c r="L21" i="44" s="1"/>
  <c r="K27" i="44"/>
  <c r="J27" i="44"/>
  <c r="L27" i="44" s="1"/>
  <c r="K34" i="44"/>
  <c r="L34" i="44" s="1"/>
  <c r="M4" i="46"/>
  <c r="K15" i="44"/>
  <c r="J15" i="44"/>
  <c r="L15" i="44" s="1"/>
  <c r="K22" i="44"/>
  <c r="J22" i="44"/>
  <c r="L22" i="44" s="1"/>
  <c r="L26" i="37"/>
  <c r="L38" i="37"/>
  <c r="K24" i="44"/>
  <c r="J24" i="44"/>
  <c r="L24" i="44" s="1"/>
  <c r="M60" i="46"/>
  <c r="L60" i="46"/>
  <c r="M66" i="46"/>
  <c r="L66" i="46"/>
  <c r="L11" i="44"/>
  <c r="K11" i="44"/>
  <c r="J11" i="44"/>
  <c r="J17" i="44"/>
  <c r="L17" i="44" s="1"/>
  <c r="K30" i="44"/>
  <c r="L30" i="44" s="1"/>
  <c r="J30" i="44"/>
  <c r="M67" i="46"/>
  <c r="L67" i="46"/>
  <c r="K12" i="44"/>
  <c r="J12" i="44"/>
  <c r="K17" i="44"/>
  <c r="M54" i="46"/>
  <c r="L54" i="46"/>
  <c r="K18" i="44"/>
  <c r="L18" i="44" s="1"/>
  <c r="J18" i="44"/>
  <c r="K31" i="44"/>
  <c r="J31" i="44"/>
  <c r="L31" i="44" s="1"/>
  <c r="M55" i="46"/>
  <c r="L55" i="46"/>
  <c r="L42" i="37"/>
  <c r="L26" i="44"/>
  <c r="K26" i="44"/>
  <c r="L32" i="44"/>
  <c r="K32" i="44"/>
  <c r="J32" i="44"/>
  <c r="M56" i="46"/>
  <c r="L56" i="46"/>
  <c r="M62" i="46"/>
  <c r="L62" i="46"/>
  <c r="L53" i="46"/>
  <c r="N53" i="46" s="1"/>
  <c r="L65" i="46"/>
  <c r="N65" i="46" s="1"/>
  <c r="J13" i="44"/>
  <c r="J25" i="44"/>
  <c r="L61" i="46"/>
  <c r="K13" i="44"/>
  <c r="K25" i="44"/>
  <c r="L25" i="44" s="1"/>
  <c r="M61" i="46"/>
  <c r="J16" i="44"/>
  <c r="L16" i="44" s="1"/>
  <c r="J28" i="44"/>
  <c r="L28" i="44" s="1"/>
  <c r="L52" i="46"/>
  <c r="N52" i="46" s="1"/>
  <c r="L64" i="46"/>
  <c r="N64" i="46" s="1"/>
  <c r="M10" i="54" l="1"/>
  <c r="L17" i="54"/>
  <c r="L9" i="46"/>
  <c r="M10" i="47"/>
  <c r="M11" i="54"/>
  <c r="M23" i="54"/>
  <c r="N23" i="54" s="1"/>
  <c r="M31" i="46"/>
  <c r="N31" i="46" s="1"/>
  <c r="M45" i="65"/>
  <c r="N45" i="65" s="1"/>
  <c r="M2" i="47"/>
  <c r="N2" i="47" s="1"/>
  <c r="L3" i="65"/>
  <c r="N3" i="65" s="1"/>
  <c r="L4" i="47"/>
  <c r="N4" i="47" s="1"/>
  <c r="L14" i="65"/>
  <c r="N14" i="65" s="1"/>
  <c r="L8" i="47"/>
  <c r="N8" i="47" s="1"/>
  <c r="N224" i="66"/>
  <c r="M66" i="65"/>
  <c r="L66" i="65"/>
  <c r="M60" i="65"/>
  <c r="L60" i="65"/>
  <c r="L41" i="65"/>
  <c r="M41" i="65"/>
  <c r="L8" i="46"/>
  <c r="M8" i="46"/>
  <c r="L62" i="65"/>
  <c r="M62" i="65"/>
  <c r="M28" i="65"/>
  <c r="L28" i="65"/>
  <c r="M52" i="65"/>
  <c r="L52" i="65"/>
  <c r="N52" i="65" s="1"/>
  <c r="M20" i="65"/>
  <c r="L20" i="65"/>
  <c r="M56" i="65"/>
  <c r="L56" i="65"/>
  <c r="M24" i="65"/>
  <c r="N24" i="65" s="1"/>
  <c r="M39" i="65"/>
  <c r="N39" i="65" s="1"/>
  <c r="L22" i="65"/>
  <c r="N22" i="65" s="1"/>
  <c r="M65" i="65"/>
  <c r="N65" i="65" s="1"/>
  <c r="N5" i="80"/>
  <c r="M11" i="65"/>
  <c r="N11" i="65" s="1"/>
  <c r="M50" i="46"/>
  <c r="N50" i="46" s="1"/>
  <c r="M35" i="65"/>
  <c r="N35" i="65" s="1"/>
  <c r="N291" i="66"/>
  <c r="L29" i="46"/>
  <c r="N29" i="46" s="1"/>
  <c r="L32" i="65"/>
  <c r="N32" i="65" s="1"/>
  <c r="L53" i="65"/>
  <c r="N53" i="65" s="1"/>
  <c r="L44" i="54"/>
  <c r="N44" i="54" s="1"/>
  <c r="L50" i="65"/>
  <c r="N50" i="65" s="1"/>
  <c r="N289" i="66"/>
  <c r="M49" i="65"/>
  <c r="N49" i="65" s="1"/>
  <c r="M44" i="65"/>
  <c r="N44" i="65" s="1"/>
  <c r="N252" i="66"/>
  <c r="L23" i="65"/>
  <c r="N23" i="65" s="1"/>
  <c r="L27" i="46"/>
  <c r="N27" i="46" s="1"/>
  <c r="M58" i="65"/>
  <c r="N58" i="65" s="1"/>
  <c r="M36" i="65"/>
  <c r="N36" i="65" s="1"/>
  <c r="L63" i="65"/>
  <c r="N63" i="65" s="1"/>
  <c r="M6" i="47"/>
  <c r="N6" i="47" s="1"/>
  <c r="L29" i="54"/>
  <c r="N29" i="54" s="1"/>
  <c r="L26" i="65"/>
  <c r="N26" i="65" s="1"/>
  <c r="N94" i="66"/>
  <c r="L68" i="65"/>
  <c r="N68" i="65" s="1"/>
  <c r="L51" i="65"/>
  <c r="N51" i="65" s="1"/>
  <c r="M5" i="47"/>
  <c r="N5" i="47" s="1"/>
  <c r="M12" i="65"/>
  <c r="N12" i="65" s="1"/>
  <c r="M6" i="65"/>
  <c r="N6" i="65" s="1"/>
  <c r="M16" i="47"/>
  <c r="N16" i="47" s="1"/>
  <c r="M43" i="65"/>
  <c r="N43" i="65" s="1"/>
  <c r="L40" i="65"/>
  <c r="N40" i="65" s="1"/>
  <c r="M13" i="47"/>
  <c r="N13" i="47" s="1"/>
  <c r="L69" i="65"/>
  <c r="N69" i="65" s="1"/>
  <c r="N125" i="66"/>
  <c r="M9" i="65"/>
  <c r="N9" i="65" s="1"/>
  <c r="M42" i="65"/>
  <c r="N42" i="65" s="1"/>
  <c r="M32" i="46"/>
  <c r="N32" i="46" s="1"/>
  <c r="M20" i="46"/>
  <c r="N20" i="46" s="1"/>
  <c r="M15" i="46"/>
  <c r="N15" i="46" s="1"/>
  <c r="M24" i="54"/>
  <c r="N24" i="54" s="1"/>
  <c r="L39" i="46"/>
  <c r="N39" i="46" s="1"/>
  <c r="L11" i="47"/>
  <c r="N11" i="47" s="1"/>
  <c r="L33" i="54"/>
  <c r="N33" i="54" s="1"/>
  <c r="M8" i="65"/>
  <c r="N8" i="65" s="1"/>
  <c r="M61" i="65"/>
  <c r="N61" i="65" s="1"/>
  <c r="M33" i="65"/>
  <c r="N33" i="65" s="1"/>
  <c r="M38" i="65"/>
  <c r="N38" i="65" s="1"/>
  <c r="L16" i="65"/>
  <c r="N16" i="65" s="1"/>
  <c r="M48" i="65"/>
  <c r="N48" i="65" s="1"/>
  <c r="M18" i="65"/>
  <c r="N18" i="65" s="1"/>
  <c r="M57" i="65"/>
  <c r="N57" i="65" s="1"/>
  <c r="L10" i="65"/>
  <c r="N10" i="65" s="1"/>
  <c r="N219" i="66"/>
  <c r="M46" i="65"/>
  <c r="N46" i="65" s="1"/>
  <c r="L67" i="65"/>
  <c r="N67" i="65" s="1"/>
  <c r="M17" i="65"/>
  <c r="N17" i="65" s="1"/>
  <c r="L44" i="46"/>
  <c r="N44" i="46" s="1"/>
  <c r="N207" i="66"/>
  <c r="N65" i="66"/>
  <c r="L14" i="54"/>
  <c r="N14" i="54" s="1"/>
  <c r="L15" i="54"/>
  <c r="N15" i="54" s="1"/>
  <c r="M28" i="54"/>
  <c r="N28" i="54" s="1"/>
  <c r="L37" i="65"/>
  <c r="N37" i="65" s="1"/>
  <c r="N232" i="66"/>
  <c r="L32" i="54"/>
  <c r="N32" i="54" s="1"/>
  <c r="M54" i="65"/>
  <c r="N54" i="65" s="1"/>
  <c r="M31" i="65"/>
  <c r="N31" i="65" s="1"/>
  <c r="L38" i="46"/>
  <c r="N38" i="46" s="1"/>
  <c r="L21" i="54"/>
  <c r="N21" i="54" s="1"/>
  <c r="L7" i="47"/>
  <c r="N7" i="47" s="1"/>
  <c r="M47" i="65"/>
  <c r="N47" i="65" s="1"/>
  <c r="L40" i="54"/>
  <c r="N40" i="54" s="1"/>
  <c r="N235" i="66"/>
  <c r="M29" i="65"/>
  <c r="N29" i="65" s="1"/>
  <c r="M21" i="65"/>
  <c r="N21" i="65" s="1"/>
  <c r="M5" i="65"/>
  <c r="N5" i="65" s="1"/>
  <c r="L4" i="65"/>
  <c r="N4" i="65" s="1"/>
  <c r="M64" i="65"/>
  <c r="N64" i="65" s="1"/>
  <c r="M55" i="65"/>
  <c r="N55" i="65" s="1"/>
  <c r="L4" i="54"/>
  <c r="N4" i="54" s="1"/>
  <c r="L12" i="47"/>
  <c r="N12" i="47" s="1"/>
  <c r="M30" i="65"/>
  <c r="N30" i="65" s="1"/>
  <c r="M34" i="65"/>
  <c r="N34" i="65" s="1"/>
  <c r="L59" i="65"/>
  <c r="N59" i="65" s="1"/>
  <c r="L15" i="65"/>
  <c r="N15" i="65" s="1"/>
  <c r="L2" i="65"/>
  <c r="N2" i="65" s="1"/>
  <c r="L19" i="65"/>
  <c r="N19" i="65" s="1"/>
  <c r="M7" i="65"/>
  <c r="N7" i="65" s="1"/>
  <c r="M25" i="65"/>
  <c r="N25" i="65" s="1"/>
  <c r="M13" i="65"/>
  <c r="N13" i="65" s="1"/>
  <c r="L27" i="65"/>
  <c r="N27" i="65" s="1"/>
  <c r="L49" i="54"/>
  <c r="N49" i="54" s="1"/>
  <c r="M20" i="47"/>
  <c r="N20" i="47" s="1"/>
  <c r="M22" i="54"/>
  <c r="N22" i="54" s="1"/>
  <c r="L17" i="47"/>
  <c r="N17" i="47" s="1"/>
  <c r="N3" i="47"/>
  <c r="L41" i="46"/>
  <c r="N41" i="46" s="1"/>
  <c r="M46" i="46"/>
  <c r="N46" i="46" s="1"/>
  <c r="M47" i="46"/>
  <c r="N47" i="46" s="1"/>
  <c r="L19" i="44"/>
  <c r="L13" i="44"/>
  <c r="L12" i="44"/>
  <c r="N43" i="46"/>
  <c r="M34" i="46"/>
  <c r="L34" i="46"/>
  <c r="M34" i="54"/>
  <c r="L34" i="54"/>
  <c r="M30" i="54"/>
  <c r="L30" i="54"/>
  <c r="L35" i="54"/>
  <c r="M35" i="54"/>
  <c r="M7" i="54"/>
  <c r="L7" i="54"/>
  <c r="M33" i="46"/>
  <c r="L33" i="46"/>
  <c r="L42" i="54"/>
  <c r="M42" i="54"/>
  <c r="M49" i="46"/>
  <c r="L49" i="46"/>
  <c r="M37" i="46"/>
  <c r="L37" i="46"/>
  <c r="M13" i="46"/>
  <c r="L13" i="46"/>
  <c r="M28" i="46"/>
  <c r="L28" i="46"/>
  <c r="L26" i="54"/>
  <c r="N26" i="54" s="1"/>
  <c r="L36" i="54"/>
  <c r="N36" i="54" s="1"/>
  <c r="M39" i="54"/>
  <c r="N39" i="54" s="1"/>
  <c r="M18" i="47"/>
  <c r="N18" i="47" s="1"/>
  <c r="N18" i="54"/>
  <c r="L47" i="54"/>
  <c r="N47" i="54" s="1"/>
  <c r="L35" i="46"/>
  <c r="N35" i="46" s="1"/>
  <c r="M25" i="54"/>
  <c r="N25" i="54" s="1"/>
  <c r="L19" i="47"/>
  <c r="N19" i="47" s="1"/>
  <c r="M40" i="46"/>
  <c r="N40" i="46" s="1"/>
  <c r="L45" i="46"/>
  <c r="N45" i="46" s="1"/>
  <c r="M27" i="54"/>
  <c r="N27" i="54" s="1"/>
  <c r="M2" i="54"/>
  <c r="N2" i="54" s="1"/>
  <c r="N6" i="54"/>
  <c r="L25" i="46"/>
  <c r="N25" i="46" s="1"/>
  <c r="L50" i="54"/>
  <c r="N50" i="54" s="1"/>
  <c r="L37" i="54"/>
  <c r="N37" i="54" s="1"/>
  <c r="L41" i="54"/>
  <c r="N41" i="54" s="1"/>
  <c r="L45" i="54"/>
  <c r="N45" i="54" s="1"/>
  <c r="N10" i="54"/>
  <c r="L14" i="47"/>
  <c r="N14" i="47" s="1"/>
  <c r="N9" i="47"/>
  <c r="L15" i="47"/>
  <c r="N15" i="47" s="1"/>
  <c r="N10" i="47"/>
  <c r="M13" i="54"/>
  <c r="N13" i="54" s="1"/>
  <c r="M48" i="54"/>
  <c r="N48" i="54" s="1"/>
  <c r="M3" i="54"/>
  <c r="N3" i="54" s="1"/>
  <c r="L38" i="54"/>
  <c r="N38" i="54" s="1"/>
  <c r="L19" i="54"/>
  <c r="N19" i="54" s="1"/>
  <c r="L43" i="54"/>
  <c r="N43" i="54" s="1"/>
  <c r="N17" i="54"/>
  <c r="L31" i="54"/>
  <c r="N31" i="54" s="1"/>
  <c r="M16" i="54"/>
  <c r="N16" i="54" s="1"/>
  <c r="M12" i="54"/>
  <c r="N12" i="54" s="1"/>
  <c r="M9" i="54"/>
  <c r="N9" i="54" s="1"/>
  <c r="L5" i="54"/>
  <c r="N5" i="54" s="1"/>
  <c r="L8" i="54"/>
  <c r="N8" i="54" s="1"/>
  <c r="L20" i="54"/>
  <c r="N20" i="54" s="1"/>
  <c r="N11" i="54"/>
  <c r="N21" i="46"/>
  <c r="M22" i="46"/>
  <c r="N22" i="46" s="1"/>
  <c r="M36" i="46"/>
  <c r="N36" i="46" s="1"/>
  <c r="M42" i="46"/>
  <c r="N42" i="46" s="1"/>
  <c r="M48" i="46"/>
  <c r="N48" i="46" s="1"/>
  <c r="M26" i="46"/>
  <c r="N26" i="46" s="1"/>
  <c r="M30" i="46"/>
  <c r="N30" i="46" s="1"/>
  <c r="N4" i="46"/>
  <c r="L3" i="46"/>
  <c r="N3" i="46" s="1"/>
  <c r="L18" i="46"/>
  <c r="N18" i="46" s="1"/>
  <c r="L14" i="46"/>
  <c r="N14" i="46" s="1"/>
  <c r="L12" i="46"/>
  <c r="N12" i="46" s="1"/>
  <c r="M11" i="46"/>
  <c r="N11" i="46" s="1"/>
  <c r="L6" i="46"/>
  <c r="N6" i="46" s="1"/>
  <c r="M24" i="46"/>
  <c r="N24" i="46" s="1"/>
  <c r="M19" i="46"/>
  <c r="N19" i="46" s="1"/>
  <c r="L10" i="46"/>
  <c r="N10" i="46" s="1"/>
  <c r="M16" i="46"/>
  <c r="N16" i="46" s="1"/>
  <c r="L7" i="46"/>
  <c r="N7" i="46" s="1"/>
  <c r="L17" i="46"/>
  <c r="N17" i="46" s="1"/>
  <c r="L23" i="46"/>
  <c r="N23" i="46" s="1"/>
  <c r="L2" i="46"/>
  <c r="N2" i="46" s="1"/>
  <c r="N56" i="46"/>
  <c r="N60" i="46"/>
  <c r="N54" i="46"/>
  <c r="N63" i="46"/>
  <c r="N67" i="46"/>
  <c r="N51" i="46"/>
  <c r="N58" i="46"/>
  <c r="N5" i="46"/>
  <c r="N59" i="46"/>
  <c r="N55" i="46"/>
  <c r="N66" i="46"/>
  <c r="N57" i="46"/>
  <c r="N62" i="46"/>
  <c r="N61" i="46"/>
  <c r="N9" i="46"/>
  <c r="N8" i="46" l="1"/>
  <c r="N60" i="65"/>
  <c r="N41" i="65"/>
  <c r="N20" i="65"/>
  <c r="N66" i="65"/>
  <c r="N28" i="65"/>
  <c r="N62" i="65"/>
  <c r="N56" i="65"/>
  <c r="N34" i="46"/>
  <c r="N42" i="54"/>
  <c r="N30" i="54"/>
  <c r="N49" i="46"/>
  <c r="N33" i="46"/>
  <c r="N13" i="46"/>
  <c r="N35" i="54"/>
  <c r="N28" i="46"/>
  <c r="N7" i="54"/>
  <c r="N37" i="46"/>
  <c r="N34" i="5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700-000001000000}">
      <text>
        <r>
          <rPr>
            <sz val="10"/>
            <color rgb="FF000000"/>
            <rFont val="Arial"/>
            <scheme val="minor"/>
          </rPr>
          <t>ΤΙΜΗ ΜΕ ΜΕΓΑΛΗ ΕΚΠΤΩΣΗ -40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D00-000001000000}">
      <text>
        <r>
          <rPr>
            <sz val="10"/>
            <color rgb="FF000000"/>
            <rFont val="Arial"/>
            <scheme val="minor"/>
          </rPr>
          <t xml:space="preserve">79
</t>
        </r>
      </text>
    </comment>
    <comment ref="J3" authorId="0" shapeId="0" xr:uid="{00000000-0006-0000-0D00-000002000000}">
      <text>
        <r>
          <rPr>
            <sz val="10"/>
            <color rgb="FF000000"/>
            <rFont val="Arial"/>
            <scheme val="minor"/>
          </rPr>
          <t xml:space="preserve">82
</t>
        </r>
      </text>
    </comment>
    <comment ref="J4" authorId="0" shapeId="0" xr:uid="{00000000-0006-0000-0D00-000003000000}">
      <text>
        <r>
          <rPr>
            <sz val="10"/>
            <color rgb="FF000000"/>
            <rFont val="Arial"/>
            <scheme val="minor"/>
          </rPr>
          <t xml:space="preserve">93
</t>
        </r>
      </text>
    </comment>
    <comment ref="J5" authorId="0" shapeId="0" xr:uid="{00000000-0006-0000-0D00-000004000000}">
      <text>
        <r>
          <rPr>
            <sz val="10"/>
            <color rgb="FF000000"/>
            <rFont val="Arial"/>
            <scheme val="minor"/>
          </rPr>
          <t>82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4" authorId="0" shapeId="0" xr:uid="{00000000-0006-0000-2800-000001000000}">
      <text>
        <r>
          <rPr>
            <sz val="10"/>
            <color rgb="FF000000"/>
            <rFont val="Arial"/>
            <scheme val="minor"/>
          </rPr>
          <t>ειχα παρει σε προσφορα 120 κομματια σετ 1500+750 με τιμη 41,79 μοιραζοντας την εκπτωση βγαινει 23,37 το 1500
και 18,41 το 750
δηλ 8 και 6 ευρω χαμηλοτερη τιμη απο την αρχικη τους</t>
        </r>
      </text>
    </comment>
    <comment ref="B15" authorId="0" shapeId="0" xr:uid="{00000000-0006-0000-2800-000002000000}">
      <text>
        <r>
          <rPr>
            <sz val="10"/>
            <color rgb="FF000000"/>
            <rFont val="Arial"/>
            <scheme val="minor"/>
          </rPr>
          <t>το κατεβασα 2 απο τα 6 σαν χτ</t>
        </r>
      </text>
    </comment>
    <comment ref="B24" authorId="0" shapeId="0" xr:uid="{00000000-0006-0000-2800-000003000000}">
      <text>
        <r>
          <rPr>
            <sz val="10"/>
            <color rgb="FF000000"/>
            <rFont val="Arial"/>
            <scheme val="minor"/>
          </rPr>
          <t>το κατεβασα 0,7 επειδη το ειχα παρει σε σετακια μαζι με AMINO ACID</t>
        </r>
      </text>
    </comment>
    <comment ref="A29" authorId="0" shapeId="0" xr:uid="{00000000-0006-0000-2800-000004000000}">
      <text>
        <r>
          <rPr>
            <sz val="10"/>
            <color rgb="FF000000"/>
            <rFont val="Arial"/>
            <scheme val="minor"/>
          </rPr>
          <t>ειχα παρει σε προσφορα 120 κομματια σετ 1500+750 με τιμη 41,79 μοιραζοντας την εκπτωση βγαινει 23,37 το 1500
και 18,41 το 750
δηλ 8 και 6 ευρω χαμηλοτερη τιμη απο την αρχικη τους</t>
        </r>
      </text>
    </comment>
    <comment ref="B30" authorId="0" shapeId="0" xr:uid="{00000000-0006-0000-2800-000005000000}">
      <text>
        <r>
          <rPr>
            <sz val="10"/>
            <color rgb="FF000000"/>
            <rFont val="Arial"/>
            <scheme val="minor"/>
          </rPr>
          <t xml:space="preserve">το κατεβασα σαν χτ 1 ευρω απο τα 8 </t>
        </r>
      </text>
    </comment>
    <comment ref="A43" authorId="0" shapeId="0" xr:uid="{00000000-0006-0000-2800-000006000000}">
      <text>
        <r>
          <rPr>
            <sz val="10"/>
            <color rgb="FF000000"/>
            <rFont val="Arial"/>
            <scheme val="minor"/>
          </rPr>
          <t>ΣΕΤΑΚΙ</t>
        </r>
      </text>
    </comment>
    <comment ref="A44" authorId="0" shapeId="0" xr:uid="{00000000-0006-0000-2800-000007000000}">
      <text>
        <r>
          <rPr>
            <sz val="10"/>
            <color rgb="FF000000"/>
            <rFont val="Arial"/>
            <scheme val="minor"/>
          </rPr>
          <t>ΣΕΤΑΚΙ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Λευτέρης</author>
    <author/>
  </authors>
  <commentList>
    <comment ref="K1" authorId="0" shapeId="0" xr:uid="{CA92E1B2-81E6-4CC2-8C7C-485FFC5EF509}">
      <text>
        <r>
          <rPr>
            <b/>
            <sz val="9"/>
            <color indexed="81"/>
            <rFont val="Tahoma"/>
            <charset val="1"/>
          </rPr>
          <t xml:space="preserve">ΕΊΝΑΙ Η ΤΙΜΗ ΠΟΥ ΜΟΥΕΧΕΙ ΟΡΙΣΕΙ ΣΑΝ ΤΙΜΗ ΠΩΛΗΣΗΣ Η ΕΤΑΙΡΙΑ </t>
        </r>
      </text>
    </comment>
    <comment ref="A9" authorId="1" shapeId="0" xr:uid="{6DE64B78-A1AF-4BB5-BC18-EDCBAFAAF3FE}">
      <text>
        <r>
          <rPr>
            <sz val="10"/>
            <color rgb="FF000000"/>
            <rFont val="Arial"/>
            <scheme val="minor"/>
          </rPr>
          <t>ΝΑ ΞΑΝΑΤΣΕΚΑΡΩ ΤΗΝ ΤΙΜΗ ΤΟΥ</t>
        </r>
      </text>
    </comment>
    <comment ref="A14" authorId="1" shapeId="0" xr:uid="{6B2CFD91-47DE-43B7-B46F-E2C2C899D5BB}">
      <text>
        <r>
          <rPr>
            <sz val="10"/>
            <color rgb="FF000000"/>
            <rFont val="Arial"/>
            <scheme val="minor"/>
          </rPr>
          <t xml:space="preserve">TO EBALA TOSO FTHNA EPEIDH MOY ANTEKATESTHSE KAPOIA KOMMATIA H ETAIRIA </t>
        </r>
      </text>
    </comment>
  </commentList>
</comments>
</file>

<file path=xl/sharedStrings.xml><?xml version="1.0" encoding="utf-8"?>
<sst xmlns="http://schemas.openxmlformats.org/spreadsheetml/2006/main" count="2587" uniqueCount="2227">
  <si>
    <t xml:space="preserve">Μικρές χρεώσεις, μεγάλες ευκαιρίες. Προμήθεια μόνο 0.2€ για προϊόντα αξίας έως 7€ και 0.35€ για 7€-10€. Ισχύει για προϊόντα κάτω των 2kg. </t>
  </si>
  <si>
    <t>Some By Mi 30 Days Miracle Clear Spot Patch 18τμχ</t>
  </si>
  <si>
    <t>Anua Heartleaf Pore Control Cleansing Oil Έλαιο Καθαρισμού, 200ml</t>
  </si>
  <si>
    <t xml:space="preserve">Anua Υγρό Τόνωσης 77% Soothing 250ml </t>
  </si>
  <si>
    <t>Omega Pharma Jungle Formula Maximum Original Εντομοαπωθητική Λοσιόν σε Spray με IRF 4 75ml</t>
  </si>
  <si>
    <t>Missha Aqua Αδιάβροχη Αντηλιακή Κρέμα Προσώπου SPF50 50ml</t>
  </si>
  <si>
    <t>Some By Mi Υγρό Τόνωσης για Ευαίσθητες Επιδερμίδες 150ml</t>
  </si>
  <si>
    <t>Some By Mi Truecica Aqua Calming Αντηλιακή Κρέμα Προσώπου SPF50 50ml</t>
  </si>
  <si>
    <t>Round Lab 24ωρη Ενυδατική Κρέμα Προσώπου Ημέρας με Υαλουρονικό Οξύ 80ml</t>
  </si>
  <si>
    <t>Skin1004 Madagascar Centella Ampoule Ενυδατικό Serum Προσώπου για Λάμψη 30ml</t>
  </si>
  <si>
    <t>Skin1004 Madagascar Centella Hyalu Cica Αντηλιακή Κρέμα Προσώπου SPF50 50ml</t>
  </si>
  <si>
    <t>Durex Προφυλακτικά Classic 12τμχ</t>
  </si>
  <si>
    <t>Durex Προφυλακτικά Total Contact Λεπτά 6τμχ</t>
  </si>
  <si>
    <t>Durex Προφυλακτικά Classic 18τμχ</t>
  </si>
  <si>
    <t>Durex Προφυλακτικά Sensitive Λεπτά 12τμχ</t>
  </si>
  <si>
    <t>Durex Προφυλακτικά Performax Intense με Επιβραδυντικό και Ραβδώσεις 12τμχ</t>
  </si>
  <si>
    <t>Durex Προφυλακτικά Sensitive Λεπτά 18τμχ</t>
  </si>
  <si>
    <t>Durex Προφυλακτικά Classic 6τμχ</t>
  </si>
  <si>
    <t>Clearblue Digital Ovulation 10τμχ Ψηφιακό Τεστ Ωορρηξίας</t>
  </si>
  <si>
    <t>Clearblue Double Check &amp; Date 2τμχ Ψηφιακό Τεστ Εγκυμοσύνης Πρώιμος Έλεγχος &amp; Ημερομηνία</t>
  </si>
  <si>
    <t>Korres Yoghurt Αντηλιακό Gel Προσώπου SPF50 Protect &amp; Hydrate 40ml</t>
  </si>
  <si>
    <t>Korres Γιαούρτι Αντηλιακή Κρέμα Προσώπου Με Χρώμα Spf50 50ml.</t>
  </si>
  <si>
    <t>5203069126444</t>
  </si>
  <si>
    <t>Korres Yoghurt Αδιάβροχη Αντηλιακή Κρέμα Προσώπου SPF50 με Χρώμα 40ml</t>
  </si>
  <si>
    <t>5203069100239</t>
  </si>
  <si>
    <t xml:space="preserve">Korres After Sun Gel για Πρόσωπο και Σώμα με Γιαούρτι 150ml </t>
  </si>
  <si>
    <t>Clearblue 2τμχ Τεστ Εγκυμοσύνης</t>
  </si>
  <si>
    <t>5011321914759</t>
  </si>
  <si>
    <t>Clearblue Early 1τμχ Τεστ Εγκυμοσύνης Πρόωρης Ανίχνευσης</t>
  </si>
  <si>
    <t>8001090693877</t>
  </si>
  <si>
    <t>Clearblue Rapid Detection 1τμχ Τεστ Εγκυμοσύνης Γρήγορης Ανίχνευσης μετά από 1 Λεπτό</t>
  </si>
  <si>
    <t>5011321914834</t>
  </si>
  <si>
    <t>Predictor Early 1τμχ Τεστ Εγκυμοσύνης 6 Ημέρες Νωρίτερα</t>
  </si>
  <si>
    <t>5391520944314</t>
  </si>
  <si>
    <t>Predictor Early &amp; Express 2τμχ Τεστ Εγκυμοσύνης</t>
  </si>
  <si>
    <t>5391520944796</t>
  </si>
  <si>
    <t>Korres Γιαούρτι Αντηλιακό Γαλάκτωμα Σπρέι Προσώπου &amp; Σώματος Spf50 150ml.</t>
  </si>
  <si>
    <t>Korres Γιαούρτι Αντηλιακό Γαλάκτωμα Σπρέι Προσώπου &amp; Σώματος Spf30 150ml.</t>
  </si>
  <si>
    <t>ANUA HEARTLEAF PORE CONTROL CLEANSING OIL 200ML</t>
  </si>
  <si>
    <t>Isntree Green Tea Fresh Toner 200ml</t>
  </si>
  <si>
    <t>La Roche Posay UVMune 400 Αντηλιακό Προσώπου με Άρωμα SPF50 50ml</t>
  </si>
  <si>
    <t>Korres Εντομοαπωθητικό Γαλάκτωμα σε Spray Ευκάλυπτος &amp; Μύρτιλο Κατάλληλο για Παιδιά 100ml</t>
  </si>
  <si>
    <t>Aquilea Sueno Συμπλήρωμα για τον Ύπνο 30 ταμπλέτες</t>
  </si>
  <si>
    <t>LANEIGE LIP SLEEPING MASK EX</t>
  </si>
  <si>
    <t xml:space="preserve">La Roche Posay Anthelios Anti Brillance Ultra Αδιάβροχο Αντηλιακό Mist Προσώπου SPF50 75ml </t>
  </si>
  <si>
    <t>Superfoods Ιπποφαές 50 μαλακές κάψουλες</t>
  </si>
  <si>
    <t>Tecnoskin Sun Protect Αντηλιακή Λοσιόν για το Σώμα SPF50 σε Spray 200ml</t>
  </si>
  <si>
    <t>Superfoods Γαϊδουράγκαθο 50 φυτικές κάψουλες</t>
  </si>
  <si>
    <t>Superfoods CranbeCare 30 κάψουλες</t>
  </si>
  <si>
    <t>Γιαούρτι Αντηλιακό Γαλάκτωμα Σώματος &amp; Προσώπου Spf50 200ml</t>
  </si>
  <si>
    <t>Aquilea Ειδικό Συμπλήρωμα Διατροφής 30 ζελεδάκια</t>
  </si>
  <si>
    <t>Round Lab Αντηλιακή Κρέμα Προσώπου SPF50 50ml</t>
  </si>
  <si>
    <t>Durex Προφυλακτικά Classic XL 12τμχ</t>
  </si>
  <si>
    <t>Haruharu Lotion Τόνωσης Wonder Black Rice Hyaluronic for Sensitive Skin 150ml</t>
  </si>
  <si>
    <t>Banila Co Balm Καθαρισμού Clean 100ml</t>
  </si>
  <si>
    <t>8809759903011</t>
  </si>
  <si>
    <t>LANEIGE CICA SLEEPING MASK</t>
  </si>
  <si>
    <t>8809803590846</t>
  </si>
  <si>
    <t>MUGWORT CALMING POWDER WASH</t>
  </si>
  <si>
    <t>8809800940163</t>
  </si>
  <si>
    <t>Isntree C-Niacin Serum Προσώπου 50ml</t>
  </si>
  <si>
    <t>8809187049350</t>
  </si>
  <si>
    <t>Isntree Υγρό Τόνωσης 200ml</t>
  </si>
  <si>
    <t>8809540517557</t>
  </si>
  <si>
    <t>Isntree Mugwort Powder Wash 15g</t>
  </si>
  <si>
    <t>8809800940217</t>
  </si>
  <si>
    <t>Isntree Hyaluronic Acid Airy Sun Αντηλιακό Stick Προσώπου SPF50 22gr</t>
  </si>
  <si>
    <t>Banila Co Gel Καθαρισμού Clean It Zero Purifying 100ml</t>
  </si>
  <si>
    <t>Missha Cucumber Μάσκα Προσώπου για Ενυδάτωση</t>
  </si>
  <si>
    <t>Olvos Science Cretan Iama &amp; Vitamin D3 Συμπλήρωμα για την Ενίσχυση του Ανοσοποιητικού 14 μαλακές κάψουλες</t>
  </si>
  <si>
    <t>5214000579014</t>
  </si>
  <si>
    <t>Missha Airy Fit Ginseng Μάσκα Προσώπου για Αναζωογόνηση / Ενυδάτωση 19gr</t>
  </si>
  <si>
    <t>8809581454774</t>
  </si>
  <si>
    <t>Missha Aloe Μάσκα Προσώπου για Ενυδάτωση 21gr</t>
  </si>
  <si>
    <t>8809581454743</t>
  </si>
  <si>
    <t>Missha Shea Butter Μάσκα Προσώπου για Ενυδάτωση</t>
  </si>
  <si>
    <t>8809581454798</t>
  </si>
  <si>
    <t>Missha Airy Fit Honey Μάσκα Προσώπου για Λάμψη 19gr</t>
  </si>
  <si>
    <t>8809581454811</t>
  </si>
  <si>
    <t>Elogis Pharma Forte Blue Συμπλήρωμα για την Σεξουαλική Υγεία 1 κάψουλες</t>
  </si>
  <si>
    <t>Erbozeta Zeta Colest 30 κάψουλες</t>
  </si>
  <si>
    <t>Supradyn Immunity Boost Βιταμίνη για το Ανοσοποιητικό με 1000mg Βιταμίνη C &amp; 10 ακόμη Βιταμίνες &amp; Μέταλλα 30 Αναβράζοντα Δισκία</t>
  </si>
  <si>
    <t>Durex Προφυλακτικά Intense με Επιβραδυντικό και Ραβδώσεις 6τμχ</t>
  </si>
  <si>
    <t xml:space="preserve">Lanes Xtra Energy Βιταμίνη για Ενέργεια 30 ταμπλέτες </t>
  </si>
  <si>
    <t>Lanes Vitamin C Eff Βιταμίνη για το Ανοσοποιητικό 1000mg Πορτοκάλι 20 αναβράζοντα δισκία</t>
  </si>
  <si>
    <t>Lanes Xtra Energy Βιταμίνη για Ενέργεια Orange Grapefruit 20 αναβράζοντα δισκία</t>
  </si>
  <si>
    <t>Lanes Echinacea Vitamin C Βιταμίνη για το Ανοσοποιητικό 135mg Honey Lemon 20 αναβράζοντα δισκία</t>
  </si>
  <si>
    <t xml:space="preserve">Haruharu Lotion Τόνωσης Wonder Black Rice Hyaluronic Toner 150ml </t>
  </si>
  <si>
    <t>Isntree Hyaluronic Acid Αντηλιακό Gel Προσώπου SPF50 50ml</t>
  </si>
  <si>
    <t xml:space="preserve">Lanes Vitamin C Βιταμίνη για το Ανοσοποιητικό 1000mg 30 ταμπλέτες </t>
  </si>
  <si>
    <t>Aquilea EnRelax Συμπλήρωμα για το Άγχος 48 κάψουλες</t>
  </si>
  <si>
    <t>Vichy Dercos Ultra Soothing Σαμπουάν για το Ευαίσθητο Τριχωτό για Ξηρά Μαλλιά Μαλλιά 200ml</t>
  </si>
  <si>
    <t>Haruharu Black Rice Bakuchiol Αντιγηραντική Κρέμα Ματιών κατά των Μαύρων Κύκλων 20ml</t>
  </si>
  <si>
    <t>Durex Προφυλακτικά Real Feel χωρίς Λάτεξ 12τμχ</t>
  </si>
  <si>
    <t>Durex Προφυλακτικά Intense με Ραβδώσεις 12τμχ</t>
  </si>
  <si>
    <t>Superfoods Maca 50 κάψουλες</t>
  </si>
  <si>
    <t>Lanes Vitamin C Eff Βιταμίνη για το Ανοσοποιητικό 1000mg Cranberry 20 αναβράζοντα δισκία</t>
  </si>
  <si>
    <t>ALTION Tonovit Multivitamin</t>
  </si>
  <si>
    <t>Haleon Voltanatura Gel 50ml Γέλη Φυτικής Προέλευσης Μυς &amp; Μώλωπες</t>
  </si>
  <si>
    <t>Pharmaton Geriatric με Ginseng G115 Πολυβιταμίνη για Ενέργεια, Ενίσχυση του Ανοσοποιητικού &amp; το Νευρικό Σύστημα 30 ταμπλέτες</t>
  </si>
  <si>
    <t>Altion Tonovit Senior Multivitamin Βιταμίνη για Ενέργεια 40 κάψουλες</t>
  </si>
  <si>
    <t>Pharmaton Geriatric με Ginseng G115 Βιταμίνη για Ενέργεια &amp; Αντιοξειδωτικό Πορτοκάλι 20 αναβράζοντα δισκία</t>
  </si>
  <si>
    <t>Physiomer Jet Fort Ρινικό Σπρέι με Θαλασσινό Νερό για Όλη την Οικογένεια από 10 Ετών 210ml</t>
  </si>
  <si>
    <t>Haruharu Υγρό Τόνωσης Black Rice Hyaluronic για Ευαίσθητες Επιδερμίδες 300ml</t>
  </si>
  <si>
    <t>Elogis Pharma Forte Blue Συμπλήρωμα για την Σεξουαλική Υγεία 10 κάψουλες</t>
  </si>
  <si>
    <t>Omega Pharma Jungle Formula Strong Soft Care Άοσμη Εντομοαπωθητική Λοσιόν σε Spray με IRF 3 Κατάλληλη για Παιδιά 75ml</t>
  </si>
  <si>
    <t>Lanes 50+ Vitality Βιταμίνη για Ενέργεια 30 ταμπλέτες</t>
  </si>
  <si>
    <t>Lanes Immune Relief Συμπλήρωμα για την Ενίσχυση του Ανοσοποιητικού 30 κάψουλες</t>
  </si>
  <si>
    <t>Lanes Zinc 25mg με Βιταμίνη C 30 κάψουλες</t>
  </si>
  <si>
    <t>Elogis Pharma Forte Blue Συμπλήρωμα για την Σεξουαλική Υγεία 4 κάψουλες</t>
  </si>
  <si>
    <t>ZzzQuil Natura Melatonin Συμπλήρωμα για τον Ύπνο 60 ζελεδάκια Forest Fruits</t>
  </si>
  <si>
    <t>ZzzQuil Natura Melatonin Συμπλήρωμα για τον Ύπνο 30 ζελεδάκια Forest Fruits</t>
  </si>
  <si>
    <t>SOME BY MI TEA TREE CALMING GLOW LUMINOUS AMPOULE MASK</t>
  </si>
  <si>
    <t>Dr. Jart+ Cicapair Tiger Grass Color Correcting Treatment Ενυδατική &amp; Αναπλαστική Κρέμα Προσώπου Ημέρας με SPF30 για Ευαίσθητες Επιδερμίδες 50ml</t>
  </si>
  <si>
    <t>Laneige Radian-C Κρέμα Προσώπου για Λάμψη 30ml</t>
  </si>
  <si>
    <t>Ascensia Contour Care Ταινίες Μέτρησης Σακχάρου 50τμχ</t>
  </si>
  <si>
    <t>Bayer Contour Next Ταινίες Μέτρησης Σακχάρου 50τμχ</t>
  </si>
  <si>
    <t>Superfoods Ιπποφαές 50+ Ενισχυμένη Σύνθεση 30 μαλακές κάψουλες</t>
  </si>
  <si>
    <t>Oral-B IO Series 5 Ηλεκτρική Οδοντόβουρτσα με Αισθητήρα Πίεσης και Θήκη Ταξιδίου White</t>
  </si>
  <si>
    <t>Sudocrem Καταπραϋντική Κρέμα 250gr</t>
  </si>
  <si>
    <t>5011025015004 / 5203275407924</t>
  </si>
  <si>
    <t>Sudocrem Καταπραϋντική Κρέμα 125gr</t>
  </si>
  <si>
    <t>Tonotil Plus Βιταμίνη 15τμχ x 10ml για Ενέργεια</t>
  </si>
  <si>
    <t>Vican After Shave Lotion Wise Men Fresh για Ευαίσθητες Επιδερμίδες με Αλόη 200ml</t>
  </si>
  <si>
    <t>5204559516127</t>
  </si>
  <si>
    <t>Vican Bald Head Care Spicy Cream 100ml</t>
  </si>
  <si>
    <t>5204559516011</t>
  </si>
  <si>
    <t>Vican After Shave Lotion Wise Men Spicy για Ευαίσθητες Επιδερμίδες με Αλόη 200ml</t>
  </si>
  <si>
    <t>5204559516110</t>
  </si>
  <si>
    <t>Vican Λάδι Περιποίησης για Γένια και Μουστάκι Wise Men Jelly Spicy 30ml</t>
  </si>
  <si>
    <t>5204559515915</t>
  </si>
  <si>
    <t>Vican Σαπούνι Περιποίησης για Γένια και Μουστάκι Wise Men Spicy 200ml</t>
  </si>
  <si>
    <t>5204559515618</t>
  </si>
  <si>
    <t>Amhes Losebig Spray Συμπλήρωμα για Αδυνάτισμα 30ml Γκρέιπφρουτ</t>
  </si>
  <si>
    <t>5212002713931</t>
  </si>
  <si>
    <t>Amhes Losebig Spray Συμπλήρωμα για Αδυνάτισμα 30ml Μέντα</t>
  </si>
  <si>
    <t>5212002713917</t>
  </si>
  <si>
    <t>Amhes Losebig Spray Συμπλήρωμα για Αδυνάτισμα 30ml Σοκολάτα Μπανάνα</t>
  </si>
  <si>
    <t>5212002713948</t>
  </si>
  <si>
    <t>Amhes Losebig Spray Συμπλήρωμα για Αδυνάτισμα 30ml Πράσινο Μήλο</t>
  </si>
  <si>
    <t>5212002713924</t>
  </si>
  <si>
    <t>Aboca Grintuss Adult Σιρόπι για Ξηρό και Παραγωγικό Βήχα χωρίς Γλουτένη 180gr</t>
  </si>
  <si>
    <t>8032472009382</t>
  </si>
  <si>
    <t>Sanofi PhytoΒisolvon Complete Σιρόπι για Παιδιά για Ξηρό και Παραγωγικό Βήχα χωρίς Γλουτένη Μέλι &amp; Θυμάρι 180gr</t>
  </si>
  <si>
    <t>03664798006315</t>
  </si>
  <si>
    <t>Pharma Unimedis Epineuron Συμπλήρωμα για την Ενίσχυση του Ανοσοποιητικού 30 ταμπλέτες</t>
  </si>
  <si>
    <t>8055748841523</t>
  </si>
  <si>
    <t>Vitabiotics Pregnacare Breast Feeding Συμπλήρωμα για την Εγκυμοσύνη 84 ταμπλέτες</t>
  </si>
  <si>
    <t>5021265232062</t>
  </si>
  <si>
    <t>Korres Γιαούρτι Αντηλιακό Προσώπου Με Χρώμα SPF50 50ml, Αφρώδης Κρέμα Καθαρισμού 20ml &amp; Serum Προσώπου 1,5ml</t>
  </si>
  <si>
    <t>Korres Yoghurt Σετ με Αντηλιακή Κρέμα Προσώπου &amp; Serum</t>
  </si>
  <si>
    <t>Korres Γιαούρτι Αντηλιακή Κρέμα Προσώπου Spf30 50ml.</t>
  </si>
  <si>
    <t>Korres Αντηλιακή Κρέμα-τζελ Προσώπου Spf50 50ml.</t>
  </si>
  <si>
    <t>Durex Προφυλακτικά Invisible Extra Thin 12τμχ</t>
  </si>
  <si>
    <t>Durex Extended Pleasure Προφυλακτικά 12τεμ</t>
  </si>
  <si>
    <t>Durex Προφυλακτικά Sensitive Extra Lube Λεπτά 6τμχ</t>
  </si>
  <si>
    <t>Parthenogen Redostim Βιταμίνη για την Υγεία του Νευρικού Συστήματος 40 ταμπλέτες</t>
  </si>
  <si>
    <t>7629999403246</t>
  </si>
  <si>
    <t>Parthenogen Impryl 30 κάψουλες Unflavoured</t>
  </si>
  <si>
    <t>7629999031258</t>
  </si>
  <si>
    <t>Tecnoskin Sun Protect Αδιάβροχη Αντηλιακή Λοσιόν Προσώπου SPF50+ 50ml</t>
  </si>
  <si>
    <t>5206281120481</t>
  </si>
  <si>
    <t>Tecnoskin Sun Protect Spot Prevent Αντηλιακή Κρέμα Προσώπου SPF50 50ml</t>
  </si>
  <si>
    <t>5206281120627</t>
  </si>
  <si>
    <t>Tecnoskin Sun Protect Αντηλιακή Κρέμα Προσώπου SPF50 50ml</t>
  </si>
  <si>
    <t>5206281120603</t>
  </si>
  <si>
    <t>Tecnoskin Sun Protect Αδιάβροχο Παιδικό Αντηλιακό Γαλάκτωμα για Πρόσωπο &amp; Σώμα SPF50 200ml AR1002039</t>
  </si>
  <si>
    <t>5206281120399</t>
  </si>
  <si>
    <t>Pharmaluce Glicoper Ειδικό Συμπλήρωμα Διατροφής 30 κάψουλες</t>
  </si>
  <si>
    <t>5214001855223</t>
  </si>
  <si>
    <t>Erbozeta Gastrodep 24 μασώμενες ταμπλέτες</t>
  </si>
  <si>
    <t>5214001855216</t>
  </si>
  <si>
    <t>Erbozeta Gastrodep 150ml</t>
  </si>
  <si>
    <t>5214001855063</t>
  </si>
  <si>
    <t>Vican Λάδι Περιποίησης για Γένια και Μουστάκι Wise Men Spicy 30ml</t>
  </si>
  <si>
    <t>Vican Wise Men Spicy Shower Gel 500ml</t>
  </si>
  <si>
    <t>Vican Wise Men Fresh Shower Gel 500ml</t>
  </si>
  <si>
    <t>BREATHE RIGHT ORIGINAL ΓΙΑ ΚΑΝΟΝΙΚΗ ΕΠΙΔΕΡΜΙΔΑ 30 ΤΑΙΝΙΕΣ</t>
  </si>
  <si>
    <t>Papoutsanis Micellar Water Ντεμακιγιάζ 3in1 2x300ml</t>
  </si>
  <si>
    <t>Clinofar Αμπούλες Φυσιολογικού Ορού για Όλη την Οικογένεια 40τμχ</t>
  </si>
  <si>
    <t>Parodontax Original Οδοντόκρεμα Mint &amp; Ginger για Ούλα που Αιμορραγούν 75ml</t>
  </si>
  <si>
    <t>Elogis Pharma Florea Προβιοτικά 30 κάψουλες</t>
  </si>
  <si>
    <t>Zita West Femceive Ειδικό Συμπλήρωμα Διατροφής 34 κάψουλες</t>
  </si>
  <si>
    <t>5060074940485</t>
  </si>
  <si>
    <t>PROBIO7 50PLUS</t>
  </si>
  <si>
    <t>5017978104772</t>
  </si>
  <si>
    <t>PROBIO7 RESTORE 30 CAPS</t>
  </si>
  <si>
    <t>5017978000180</t>
  </si>
  <si>
    <t>Bausch &amp; Lomb Ocuvite Complete Ειδικό Συμπλήρωμα Διατροφής 60 ταμπλέτες</t>
  </si>
  <si>
    <t>4030571002994</t>
  </si>
  <si>
    <t>ZzzQuil Natura Συμπλήρωμα για τον Ύπνο 30 ζελεδάκια Μάνγκο Μπανάνα</t>
  </si>
  <si>
    <t>8006540795842</t>
  </si>
  <si>
    <t xml:space="preserve">Altion Kids Polyvitamins Πολυβιταμίνη για Ενέργεια &amp; Ενίσχυση του Ανοσοποιητικού Πορτοκάλι Κεράσι 60 x 1 ζελεδάκια 60τμχ </t>
  </si>
  <si>
    <t xml:space="preserve">Altion Kids Vitaminc C Βιταμίνη για Ενίσχυση του Ανοσοποιητικού, τo Δέρμα &amp; Αντιοξειδωτική δράση Κεράσι 60 ζελεδάκια </t>
  </si>
  <si>
    <t>Altion Kids IQ Πολυβιταμίνη για το Νευρικό Σύστημα &amp; Αντιοξειδωτική δράση Λεμόνι 60 ζελεδάκια</t>
  </si>
  <si>
    <t>Amhes Losebig 500mg Ειδικό Συμπλήρωμα Διατροφής 90 κάψουλες Apple Cider</t>
  </si>
  <si>
    <t>5212002714105</t>
  </si>
  <si>
    <t>Isntree Green Tea Serum Προσώπου 120ml</t>
  </si>
  <si>
    <t>BANILA CO clean it zero original</t>
  </si>
  <si>
    <t>Medical Pharmaquality Derbimed Συμπλήρωμα για την Ενίσχυση του Ανοσοποιητικού 30 κάψουλες</t>
  </si>
  <si>
    <t>5200120390240</t>
  </si>
  <si>
    <t>Abbott Free Style Libre 2 Plus Αισθητήρας Μέτρησης Σακχάρου με Bluetooth</t>
  </si>
  <si>
    <t>5021791006984</t>
  </si>
  <si>
    <t>Nevralip 600 Retard Ειδικό Συμπλήρωμα Διατροφής 30 ταμπλέτες</t>
  </si>
  <si>
    <t>5200120390073</t>
  </si>
  <si>
    <t>Medical Pharmaquality Syalox 300 Plus Συμπλήρωμα για την Υγεία των Αρθρώσεων 20 ταμπλέτες</t>
  </si>
  <si>
    <t>5200120390004</t>
  </si>
  <si>
    <t>ZzzQuil Sleep 1mg Συμπλήρωμα για τον Ύπνο 30ml</t>
  </si>
  <si>
    <t>Abbott Precision Ταινίες Μέτρησης Σακχάρου 50τμχ</t>
  </si>
  <si>
    <t>La Roche Posay Anthelios Family Αδιάβροχη Αντηλιακή Λοσιόν για το Σώμα SPF50 σε Spray 300ml</t>
  </si>
  <si>
    <t>La Roche Posay Anthelios Invisible Αδιάβροχη Αντηλιακή Λοσιόν για το Σώμα SPF50 σε Spray 200ml</t>
  </si>
  <si>
    <t>La Roche Posay Anthelios Uvmune 400 Dermo Pediatrics Αδιάβροχο Παιδικό Αντηλιακό Γαλάκτωμα για Πρόσωπο &amp; Σώμα SPF50 250ml</t>
  </si>
  <si>
    <t>La Roche Posay Αδιάβροχο Παιδικό Αντηλιακό Γαλάκτωμα SPF50 200ml</t>
  </si>
  <si>
    <t>La Roche Posay Anthelios Uvmune 400 Invisible Fluid With Perfume Αντηλιακή Κρέμα Προσώπου SPF50 50ml</t>
  </si>
  <si>
    <t>La Roche Posay UVMune 400 Αντηλιακή Κρέμα Προσώπου SPF50 50ml</t>
  </si>
  <si>
    <t>Gehwol Med Foot Powder Αποσμητικό σε Πούδρα για Μύκητες Ποδιών 100gr</t>
  </si>
  <si>
    <t>La Roche Posay Anthelios UVmune 400 Oil Control Αδιάβροχη Αντηλιακή Κρέμα Προσώπου SPF50 50ml</t>
  </si>
  <si>
    <t>La Roche Posay Anthelios Uv Air Αντηλιακό Προσώπου SPF50+ 40ml</t>
  </si>
  <si>
    <t>Oral-B AquaCare 4 Water Flosser Λευκό</t>
  </si>
  <si>
    <t>8700216345224</t>
  </si>
  <si>
    <t>Oral-B IO Series 5 Ηλεκτρική Οδοντόβουρτσα με Αισθητήρα Πίεσης και Θήκη Ταξιδίου Black</t>
  </si>
  <si>
    <t>4210201415473</t>
  </si>
  <si>
    <t>Vitamain Life 11 με Προβιοτικά και Πρεβιοτικά 30 κάψουλες</t>
  </si>
  <si>
    <t>5200148860008</t>
  </si>
  <si>
    <t>Vitamain Pulse CoQ10 80mg &amp; L-Carnitine 200mg 30 κάψουλες</t>
  </si>
  <si>
    <t>5200148860039</t>
  </si>
  <si>
    <t>Vitamain Cosmos Multivitamin Πολυβιταμίνη για Ενέργεια, Ενίσχυση του Ανοσοποιητικού &amp; Αντιοξειδωτική δράση 60 κάψουλες</t>
  </si>
  <si>
    <t>5200148860022</t>
  </si>
  <si>
    <t>Vitamain Magnesium Bisglycinate 700mg 60 κάψουλες</t>
  </si>
  <si>
    <t>5200148860015</t>
  </si>
  <si>
    <t>Haruharu Black Rice Peeling Προσώπου 100ml</t>
  </si>
  <si>
    <t>Round Lab 1025 Dokdo Αντιγηραντικό Serum Προσώπου με Βιταμίνη E &amp; Υαλουρονικό Οξύ 45gr</t>
  </si>
  <si>
    <t>Oral-B Io Series 2 Water Flosser με Αισθητήρα Πίεσης και Θήκη Ταξιδίου Πράσινο</t>
  </si>
  <si>
    <t>Vitamain Βιταμίνη C για Ενίσχυση του Ανοσοποιητικού, τo Δέρμα &amp; Αντιοξειδωτική δράση 1500mg 60 κάψουλες</t>
  </si>
  <si>
    <t>Round Lab 1025 Dokdo Μάσκα Προσώπου για Ενυδάτωση Νύχτας 100ml</t>
  </si>
  <si>
    <t>ROUND LAB MUGWORT CALMING SOOTHING FACE SERUM</t>
  </si>
  <si>
    <t>InterMed Skin Pharmacist 5 in 1 Micellar Cleansing Water 200ml</t>
  </si>
  <si>
    <t>Korres Yoghurt Σετ με Αντηλιακό Γαλάκτωμα Σώματος &amp; After Sun</t>
  </si>
  <si>
    <t>VivaPharm CH Alpha Fortigel με Βιταμίνη C 30 x 25ml</t>
  </si>
  <si>
    <t>Clearblue 20τμχ Ψηφιακό Τεστ Ωορρηξίας</t>
  </si>
  <si>
    <t>Clearblue Διπλό Τεστ Εγκυμοσύνης Εξαιρετικά Πρώιμη Ανίχνευση 2 Τεμάχια</t>
  </si>
  <si>
    <t>Clearblue 1τμχ Ψηφιακό Τεστ Εγκυμοσύνης με Δείκτη Σύλληψης</t>
  </si>
  <si>
    <t>Walmark Urinal Ειδικό Συμπλήρωμα Διατροφής 60 μαλακές κάψουλες</t>
  </si>
  <si>
    <t>8595165265323</t>
  </si>
  <si>
    <t>Walmark Urinal Ειδικό Συμπλήρωμα Διατροφής 30 μαλακές κάψουλες</t>
  </si>
  <si>
    <t>8595165273625</t>
  </si>
  <si>
    <t>Walmark Express PH Ειδικό Συμπλήρωμα Διατροφής 6 φακελίσκοι</t>
  </si>
  <si>
    <t>8596024017022</t>
  </si>
  <si>
    <t>Clearblue Ψηφιακό Τεστ Πρώιμη Ανίχνευση Εγκυμοσύνης 1 Τεμάχιο</t>
  </si>
  <si>
    <t>Superfoods Κανέλα Extra 50 κάψουλες</t>
  </si>
  <si>
    <t>Superfoods Σπιρουλίνα Gold 180 ταμπλέτες</t>
  </si>
  <si>
    <t>Foltene Hair Beautifier Conditioner Ενυδάτωσης για Όλους τους Τύπους Μαλλιών 180ml</t>
  </si>
  <si>
    <t>8013134009490</t>
  </si>
  <si>
    <t>Foltene Anti-Aging Hair Rescue Shampoo 200ml</t>
  </si>
  <si>
    <t>8013134009339</t>
  </si>
  <si>
    <t>Power Of Nature Oliviotic 500mg 20 κάψουλες</t>
  </si>
  <si>
    <t>5200321010312</t>
  </si>
  <si>
    <t>ESI Normolip 5 Strong Ειδικό Συμπλήρωμα Διατροφής 24 ταμπλέτες</t>
  </si>
  <si>
    <t>8008843134717</t>
  </si>
  <si>
    <t>ESI 10 Herbs Colon Cleanse 40 ταμπλέτες</t>
  </si>
  <si>
    <t>8008843004331</t>
  </si>
  <si>
    <t>Sanofi Dulcosoft Ειδικό Συμπλήρωμα Διατροφής 250ml</t>
  </si>
  <si>
    <t>3582910082101</t>
  </si>
  <si>
    <t>Sanofi Dulcosoft 20 φακελίσκοι</t>
  </si>
  <si>
    <t>3664798063233</t>
  </si>
  <si>
    <t>Vian Antistax Fresh Leg Gel για Ευρυαγγείες 125ml</t>
  </si>
  <si>
    <t>4011548045282</t>
  </si>
  <si>
    <t>Breathe Right Original Ρινική Ταινία Medium 10τμχ</t>
  </si>
  <si>
    <t>810071801037</t>
  </si>
  <si>
    <t>Arriani SmectiGo Ειδικό Συμπλήρωμα Διατροφής 12 φακελίσκοι</t>
  </si>
  <si>
    <t>3665585001582</t>
  </si>
  <si>
    <t>Demo NafLiver Ειδικό Συμπλήρωμα Διατροφής 30 ταμπλέτες</t>
  </si>
  <si>
    <t>5205411007012</t>
  </si>
  <si>
    <t>Demo Arrenprost Συμπλήρωμα για την Υγεία του Προστάτη 30 κάψουλες</t>
  </si>
  <si>
    <t>5205411007029</t>
  </si>
  <si>
    <t>Aboca Leviaclis Adult Μικροκλύσμα 6 x 10gr</t>
  </si>
  <si>
    <t>8032472010395</t>
  </si>
  <si>
    <t>VivaPharm Vivafer Iron+ 50mg 60 κάψουλες</t>
  </si>
  <si>
    <t>788364297662</t>
  </si>
  <si>
    <t>La Roche Posay Anthelios Σετ με Αντηλιακό Προσώπου SPF50 2τμχ</t>
  </si>
  <si>
    <t>Elogis Pharma Arthrolen Συμπλήρωμα για την Υγεία Αρθρώσεων &amp; Οστών 30 κάψουλες</t>
  </si>
  <si>
    <t>5200250300003</t>
  </si>
  <si>
    <t>FOS VeroVero Q10 Plus 30 κάψουλες</t>
  </si>
  <si>
    <t>5200138638860</t>
  </si>
  <si>
    <t>Superfoods Άοσμο Σκόρδο 50 μαλακές κάψουλες</t>
  </si>
  <si>
    <t>Aboca Golamir 2ACT Spray για τον Πονόλαιμο 30ml</t>
  </si>
  <si>
    <t>Aboca Fitonasal Spray από 6 Ετών 30ml</t>
  </si>
  <si>
    <t>Demo Democran Cranberry Προβιοτικά 36mg 28 κάψουλες</t>
  </si>
  <si>
    <t>5205411005933</t>
  </si>
  <si>
    <t>Hedrin Λοσιόν σε Spray για Πρόληψη Ενάντια στις Ψείρες Protect &amp; Go 200ml</t>
  </si>
  <si>
    <t>5011309506914</t>
  </si>
  <si>
    <t>Hedrin Αντιφθειρική Λοσιόν σε Spray Plus Gel 100ml</t>
  </si>
  <si>
    <t>5011309590517</t>
  </si>
  <si>
    <t>Hedrin Αντιφθειρικό Σαμπουάν &amp; Χτενάκι για Παιδιά 100ml</t>
  </si>
  <si>
    <t>5011309111217</t>
  </si>
  <si>
    <t>Arterin Ειδικό Συμπλήρωμα Διατροφής 30 ταμπλέτες</t>
  </si>
  <si>
    <t>5400951991481</t>
  </si>
  <si>
    <t>Microlife BP B1 Classic Ψηφιακό Πιεσόμετρο Μπράτσου με ανίχνευση Αρρυθμίας</t>
  </si>
  <si>
    <t>4719003344269</t>
  </si>
  <si>
    <t>Microlife BP B3 Afib Ψηφιακό Πιεσόμετρο Μπράτσου με ανίχνευση Αρρυθμίας</t>
  </si>
  <si>
    <t>4719003342234</t>
  </si>
  <si>
    <t>Lanes Vitamin C Βιταμίνη για Ενίσχυση του Ανοσοποιητικού, τo Δέρμα &amp; Αντιοξειδωτική δράση 1000mg Πορτοκάλι 60 μασώμενες ταμπλέτες</t>
  </si>
  <si>
    <t>5201314047513</t>
  </si>
  <si>
    <t>Lanes Daily One Βιταμίνη για Ενέργεια Πορτοκάλι 20 αναβράζοντα δισκία</t>
  </si>
  <si>
    <t>5201314047414</t>
  </si>
  <si>
    <t>Aquilea Sueno 1mg Συμπλήρωμα για το Άγχος &amp; τον Ύπνο 30 ταμπλέτες</t>
  </si>
  <si>
    <t>Fertilovit F PCOS Ειδικό Συμπλήρωμα Διατροφής 30 κάψουλες 30 μαλακές κάψουλες 30 φακελίσκοι</t>
  </si>
  <si>
    <t>9120045080193</t>
  </si>
  <si>
    <t>Fertilovit F 35 Plus Ειδικό Συμπλήρωμα Διατροφής 90 κάψουλες</t>
  </si>
  <si>
    <t>9120045080025</t>
  </si>
  <si>
    <t>Fertilovit F 35 plus Ειδικό Συμπλήρωμα Διατροφής 30 κάψουλες</t>
  </si>
  <si>
    <t>9120045080155</t>
  </si>
  <si>
    <t>Femarelle Rejuvenate Ειδικό Συμπλήρωμα Διατροφής 56 κάψουλες</t>
  </si>
  <si>
    <t>7290006910257</t>
  </si>
  <si>
    <t>Τιμή Αγοράς (€)</t>
  </si>
  <si>
    <t>Κέρδος (€)</t>
  </si>
  <si>
    <t>Πάγια Προμήθεια (€)</t>
  </si>
  <si>
    <t>Ποσοστιαία Προμήθεια (%)</t>
  </si>
  <si>
    <t>ΦΠΑ (%)</t>
  </si>
  <si>
    <t>➡ Καθαρό Ποσό</t>
  </si>
  <si>
    <t>➡ Τελική Τιμή Πώλησης (€)</t>
  </si>
  <si>
    <t>Προμήθεια (€)</t>
  </si>
  <si>
    <t>ΦΠΑ (€)</t>
  </si>
  <si>
    <t>➡ Τελικό στο Χέρι (€)</t>
  </si>
  <si>
    <t>Now Foods Zinc Picolinate 50mg 60 φυτικές κάψουλες</t>
  </si>
  <si>
    <t>0733739015501</t>
  </si>
  <si>
    <t>Now Foods Vitamin D-3 Βιταμίνη για Ενίσχυση του Ανοσοποιητικού &amp; την Υγεία των Οστών 2000iu 120 μαλακές κάψουλες</t>
  </si>
  <si>
    <t>733739003676</t>
  </si>
  <si>
    <t>Now Foods Magnesium Glycinate 180 ταμπλέτες</t>
  </si>
  <si>
    <t>733739012890</t>
  </si>
  <si>
    <t>Now Foods C-1000 Sustained Release Antioxidant Protection With Rose Hips Βιταμίνη για Ενίσχυση του Ανοσοποιητικού, τo Δέρμα &amp; Αντιοξειδωτική δράση 1000mg 100 ταμπλέτες</t>
  </si>
  <si>
    <t>733739006806</t>
  </si>
  <si>
    <t>Now Foods Magnesium Citrate 100 ταμπλέτες</t>
  </si>
  <si>
    <t>733739012906</t>
  </si>
  <si>
    <t>Now Foods Molecularly Distilled Omega 3 Ιχθυέλαιο 1000mg 100 μαλακές κάψουλες</t>
  </si>
  <si>
    <t>733739016508</t>
  </si>
  <si>
    <t>Femarelle Recharge Συμπλήρωμα για την Εμμηνόπαυση 56 κάψουλες</t>
  </si>
  <si>
    <t>Physis Laboratory Amino Animo Muscle Synthesis Βιολογική Χωρίς Γλουτένη &amp; Λακτόζη με Γεύση Βανίλια 500gr</t>
  </si>
  <si>
    <t>Physis Laboratory Amino Animo Power Mix Βιολογική Χωρίς Γλουτένη &amp; Λακτόζη με Γεύση Βανίλια 350gr</t>
  </si>
  <si>
    <t>5200128483685</t>
  </si>
  <si>
    <t>Physis Laboratory Amino Animo Power Mix Βιολογική Χωρίς Γλουτένη &amp; Λακτόζη με Γεύση Cocoa 350gr</t>
  </si>
  <si>
    <t>5200128483692</t>
  </si>
  <si>
    <t>Physis Laboratory Amino Animo Almond Βιολογική Χωρίς Γλουτένη &amp; Λακτόζη 500gr</t>
  </si>
  <si>
    <t>5200128483623</t>
  </si>
  <si>
    <t>Βιολόγος Sheep Goat Whey Protein 82% Βιολογική Πρωτεΐνη Ορού Γάλακτος Χωρίς Γλουτένη 500gr</t>
  </si>
  <si>
    <t>5213004631568</t>
  </si>
  <si>
    <t>Βιολόγος Buffalo Whey Protein 75% Βιολογική Πρωτεΐνη Ορού Γάλακτος με Γεύση Κακάο 500gr</t>
  </si>
  <si>
    <t>Βιολόγος Organic Whey Choco Protein 75% Βιολογική Πρωτεΐνη Ορού Γάλακτος Χωρίς Γλουτένη με Γεύση Κακάο 500gr</t>
  </si>
  <si>
    <t>5213004632022</t>
  </si>
  <si>
    <t>Βιολόγος Buffalo Whey 50% Βιολογική Πρωτεΐνη Ορού Γάλακτος 500gr</t>
  </si>
  <si>
    <t>5213004632732</t>
  </si>
  <si>
    <t>Βιολόγος Organic Whey Protein 80% Βιολογική Πρωτεΐνη Ορού Γάλακτος Χωρίς Γλουτένη 500gr</t>
  </si>
  <si>
    <t>5213004630998</t>
  </si>
  <si>
    <t>Activo Artroveron Plus Συμπλήρωμα για την Υγεία των Αρθρώσεων 90 κάψουλες</t>
  </si>
  <si>
    <t>Activo Hepasan Forte 60 κάψουλες</t>
  </si>
  <si>
    <t>4751020310414</t>
  </si>
  <si>
    <t>Activo Dekavit Complex Βιταμίνη για Ανοσοποιητικό 30 κάψουλες</t>
  </si>
  <si>
    <t>4751018781639</t>
  </si>
  <si>
    <t>Activo Activiol με Προβιοτικά και Πρεβιοτικά 10 κάψουλες</t>
  </si>
  <si>
    <t>5214001590063</t>
  </si>
  <si>
    <t>Activo Comfolact με Προβιοτικά και Πρεβιοτικά 30 κάψουλες</t>
  </si>
  <si>
    <t>5214001590056</t>
  </si>
  <si>
    <t>DOLOVERON 28saches</t>
  </si>
  <si>
    <t>4751018782803</t>
  </si>
  <si>
    <t>Aloe+ Colors Sorbet Scrub Apple Martini Scrub για Προσώπο &amp; Σώμα σε Gel 100ml</t>
  </si>
  <si>
    <t>5213006600302</t>
  </si>
  <si>
    <t>Aloe+ Colors Be Lovely Ενυδατικό Butter Σώματος με Aloe Vera &amp; Άρωμα Καραμέλα για Ξηρές Επιδερμίδες 200ml</t>
  </si>
  <si>
    <t>Aloe+ Colors Be Lovely Body Lotion Ενυδατική Lotion Ανάπλασης Σώματος με Aloe Vera για Ευαίσθητες Επιδερμίδες 150ml</t>
  </si>
  <si>
    <t>Aloe+ Colors Just Natural Ενυδατικό Butter Σώματος με Aloe Vera 50ml</t>
  </si>
  <si>
    <t>Aloe+ Colors Be Lovely Ενυδατικό Butter Σώματος με Aloe Vera &amp; Άρωμα Καραμέλα για Ξηρές Επιδερμίδες 50ml</t>
  </si>
  <si>
    <t>Aloe+ Colors Micellar Water Anti Pollution 250ml</t>
  </si>
  <si>
    <t>Aloe+ Colors Love Is... In The Hair Total Repair Hair Mist 100ml</t>
  </si>
  <si>
    <t>Aloe+ Colors Be Lovely Σετ Περιποίησης</t>
  </si>
  <si>
    <t>Aloe+ Colors Pure Serenity Αφρόλουτρο σε Gel White Musk 250ml</t>
  </si>
  <si>
    <t>Aloe+ Colors Just Breath Αφρόλουτρο σε Gel 250ml</t>
  </si>
  <si>
    <t>Aloe+ Colors Ho... Ho... Ho...! Ενυδατικό Butter Σώματος 200ml</t>
  </si>
  <si>
    <t>Aloe+ Colors Shape Your Body Gel για Αδυνάτισμα Σώματος Anti-Cellulite Sliming 150ml</t>
  </si>
  <si>
    <t>Aloe+ Colors Sorbet Κρέμα για την Κυτταρίτιδα Γλουτών Anti-cellulite 150ml</t>
  </si>
  <si>
    <t>Aloe+ Colors Silky Touch Αφρόλουτρο σε Gel 250ml</t>
  </si>
  <si>
    <t>Aloe+ Colors Ho... Ho... Ho...! Αφρόλουτρο σε Gel 250ml</t>
  </si>
  <si>
    <t>Aloe+ Colors Γαλάκτωμα Ντεμακιγιάζ De-Make Up 3 in 1 για Ευαίσθητες Επιδερμίδες 250ml</t>
  </si>
  <si>
    <t>Aloe+ Colors Pure Serenity Ενυδατικό Butter Σώματος με Aloe Vera &amp; Άρωμα White Musk για Ξηρές Επιδερμίδες 50ml</t>
  </si>
  <si>
    <t>Aloe+ Colors Pure Serenity Gift Set Σετ Περιποίησης</t>
  </si>
  <si>
    <t>Aloe+ Colors All Hair Types Hair Mask 150ml</t>
  </si>
  <si>
    <t>5213006609510</t>
  </si>
  <si>
    <t>Aloe Colors Aloha Cocoland Set Σετ Περιποίησης για Ενυδάτωση με Body Mist &amp; Λάδι Σώματος 300ml</t>
  </si>
  <si>
    <t>5213006607196</t>
  </si>
  <si>
    <t>Aloe+ Colors Aloe Vera Acid Αντιγηραντικό Serum Προσώπου με Υαλουρονικό Οξύ 100ml</t>
  </si>
  <si>
    <t>Aloe+ Colors Christmas Ho Ho Ho Hair &amp; Body Mist 100ml</t>
  </si>
  <si>
    <t>Aloe+ Colors 100ml</t>
  </si>
  <si>
    <t>Aloe+ Colors Αφρόλουτρο σε Gel 250ml</t>
  </si>
  <si>
    <t>Aloe+ Colors Ενυδατικό Butter Σώματος με Aloe Vera για Ξηρές Επιδερμίδες 200ml</t>
  </si>
  <si>
    <t>Aloe+ Colors Pure Serenity Ενυδατικό Butter Σώματος με Aloe Vera &amp; Άρωμα White Musk για Ξηρές Επιδερμίδες 200ml</t>
  </si>
  <si>
    <t>Aloe+ Colors So Velvet Gift Set Σετ Περιποίησης για Ευαίσθητες Επιδερμίδες</t>
  </si>
  <si>
    <t>Aloe+ Colors So... Velvet! Κρεμώδες Αφρόλουτρο Πούδρα 250ml</t>
  </si>
  <si>
    <t>Aloe+ Colors Gel Καθαρισμού Face για Ευαίσθητες Επιδερμίδες 250ml</t>
  </si>
  <si>
    <t>Aloe+ Colors Sweet Blossom Ενυδατικό Butter Σώματος με Aloe Vera &amp; Άρωμα Βανίλια 200ml</t>
  </si>
  <si>
    <t>Aloe+ Colors Just 100ml</t>
  </si>
  <si>
    <t>Aloe+ Colors Just Natural Αφρόλουτρο σε Gel 250ml</t>
  </si>
  <si>
    <t>Aloe+ Colors Sweet Blossom Ενυδατικό Butter Σώματος με Aloe Vera &amp; Άρωμα Βανίλια 50ml</t>
  </si>
  <si>
    <t>Aloe+ Colors Sweet Blossom Hair &amp; Body Mist 100ml</t>
  </si>
  <si>
    <t>Aloe+ Colors Just Natural Hair &amp; Body Mist 100ml</t>
  </si>
  <si>
    <t>Aloe+ Colors Sweet Blossom Αφρόλουτρο σε Gel 250ml</t>
  </si>
  <si>
    <t>Aloe+ Colors Sweet Blossom Ενυδατική Lotion Ανάπλασης Σώματος με Aloe Vera &amp; Άρωμα Βανίλια για Ευαίσθητες Επιδερμίδες 150ml</t>
  </si>
  <si>
    <t>Aloe+ Colors 4Drone Lifting Botox Effect 24ωρη Κρέμα Προσώπου για Ενυδάτωση, Αντιγήρανση &amp; Σύσφιξη με Υαλουρονικό Οξύ &amp; Aloe Vera 50ml</t>
  </si>
  <si>
    <t>Aloe+ Colors Ενυδάτωσης για Ξηρές Επιδερμίδες 200ml</t>
  </si>
  <si>
    <t>Aloe+ Colors Just Breath Ενυδατικό Butter Σώματος 50ml</t>
  </si>
  <si>
    <t>Aloe+ Colors So Velvetine Sparkling Ενυδατική Lotion Σώματος 100ml</t>
  </si>
  <si>
    <t>Aloe+ Colors Solky Touch Ενυδατική Lotion Σώματος 150ml</t>
  </si>
  <si>
    <t>Aloe+ Colors Sorbet Blue Lagoon Scrub για Προσώπο &amp; Σώμα σε Gel 100ml</t>
  </si>
  <si>
    <t>Aloe+ Colors Sorbet Scrub Σώματος Daiquiri Strawberry 200ml</t>
  </si>
  <si>
    <t>Aloe+ Colors Rise &amp; Shine Glowing Μάσκα Προσώπου για Λάμψη 60ml</t>
  </si>
  <si>
    <t>Aloe+ Colors Sorbet Scrub για το Πρόσωπο &amp; το Σώμα Margarita 200ml</t>
  </si>
  <si>
    <t>Aloe+ Colors Touch Ενυδατικό Butter Σώματος με Aloe Vera 50ml</t>
  </si>
  <si>
    <t>Aloe+ Colors Hydrate Yourself Prebiotic Hydraboost Μάσκα Προσώπου για Ενυδάτωση 60ml</t>
  </si>
  <si>
    <t>Aloe+ Colors So Fresh! So Clean! Triple Exfoliating Μάσκα Προσώπου για Καθαρισμό 60ml</t>
  </si>
  <si>
    <t>Aloe+ Colors Be Lovely Αφρόλουτρο σε Gel 250ml</t>
  </si>
  <si>
    <t>Aloe+ Colors Be Lovely Hair &amp; Body Mist 100ml</t>
  </si>
  <si>
    <t>Aloe+ Colors Σετ Περιποίησης για Ενυδάτωση με Κρέμα Χεριών</t>
  </si>
  <si>
    <t>Aloe Colors Ready To Glow Box Set</t>
  </si>
  <si>
    <t>AM Health Magnesium Glycinate 60 κάψουλες</t>
  </si>
  <si>
    <t>5200119882442</t>
  </si>
  <si>
    <t>AM Health Smile 1mg Συμπλήρωμα για τον Ύπνο 30 κάψουλες</t>
  </si>
  <si>
    <t>5200119883951</t>
  </si>
  <si>
    <t>AM Health Smile Mushrooms Complete 120 κάψουλες</t>
  </si>
  <si>
    <t>5200119880431</t>
  </si>
  <si>
    <t>AM Health Smile Oregaforce 30 μαλακές κάψουλες</t>
  </si>
  <si>
    <t>5200119880318</t>
  </si>
  <si>
    <t>AM Health Polyphenols 30 κάψουλες</t>
  </si>
  <si>
    <t>5200119882244</t>
  </si>
  <si>
    <t>AM Health Smile Q10 200mg 60 κάψουλες</t>
  </si>
  <si>
    <t>5200119880509</t>
  </si>
  <si>
    <t>AM Health Smile SuperKids Multivitamin Βιταμίνη για Ενέργεια &amp; Ανοσοποιητικό Πορτοκάλι 500ml</t>
  </si>
  <si>
    <t>5200119880660</t>
  </si>
  <si>
    <t>AM Health Βιταμίνη για Ενέργεια &amp; Ανοσοποιητικό 1000mg 15 φακελίσκοι</t>
  </si>
  <si>
    <t>5200119880226</t>
  </si>
  <si>
    <t>AM Health Smile Vitamin D3 5000iu + K2 Βιταμίνη για Ανοσοποιητικό 5000iu 60 κάψουλες</t>
  </si>
  <si>
    <t>5200119880813</t>
  </si>
  <si>
    <t>Smile Xolist-Fix Εκχύλισμα Περγαμόντου 30 κάψουλες</t>
  </si>
  <si>
    <t>5200119882138</t>
  </si>
  <si>
    <t>Uga Ειδικό Συμπλήρωμα Διατροφής 30 κάψουλες</t>
  </si>
  <si>
    <t>8033120250750</t>
  </si>
  <si>
    <t>Uga 1000mg Ειδικό Συμπλήρωμα Διατροφής 30 κάψουλες</t>
  </si>
  <si>
    <t>8033120250514</t>
  </si>
  <si>
    <t>Uga Omegor Classic Μουρουνέλαιο 250ml</t>
  </si>
  <si>
    <t>8033120250712</t>
  </si>
  <si>
    <t>AM Health Smile Brazilian Green Propolis 30 ml 30ml</t>
  </si>
  <si>
    <t>5200119880103</t>
  </si>
  <si>
    <t>AM Health Smile Collagen Boost 30 φακελίσκοι</t>
  </si>
  <si>
    <t>5200119883869</t>
  </si>
  <si>
    <t>AM Health Smile Colostrum Συμπλήρωμα για την Ενίσχυση του Ανοσοποιητικού 120 κάψουλες</t>
  </si>
  <si>
    <t>5200119880264</t>
  </si>
  <si>
    <t>AM Health Smile L-Glutamine Plus 250gr</t>
  </si>
  <si>
    <t>5200119882091</t>
  </si>
  <si>
    <t>AM Health Magnesium Liposomal 30 κάψουλες</t>
  </si>
  <si>
    <t>5200119882435</t>
  </si>
  <si>
    <t>AM Health Smile B12 Βιταμίνη για την Υγεία του Νευρικού Συστήματος 1000mcg 60 κάψουλες</t>
  </si>
  <si>
    <t>5200119880516</t>
  </si>
  <si>
    <t>AM Health Smile Multivitamin Βιταμίνη για Ενέργεια &amp; Ανοσοποιητικό 60 κάψουλες</t>
  </si>
  <si>
    <t>5200119880820</t>
  </si>
  <si>
    <t>AM Health Πρόπολη 30ml</t>
  </si>
  <si>
    <t>5200119880134</t>
  </si>
  <si>
    <t>AM Health Smile Χλωρέλλα 60 κάψουλες</t>
  </si>
  <si>
    <t>5200119880066</t>
  </si>
  <si>
    <t>AM Health Smile Elixir Συμπλήρωμα για την Ενίσχυση του Ανοσοποιητικού 60 κάψουλες</t>
  </si>
  <si>
    <t>5200119880400</t>
  </si>
  <si>
    <t>AM Health Κόκκινη Πρόπολη 30ml</t>
  </si>
  <si>
    <t>5200119880271</t>
  </si>
  <si>
    <t>AM Health Smile Ashwagandha 60 κάψουλες</t>
  </si>
  <si>
    <t>5200119880240</t>
  </si>
  <si>
    <t>AM Health Smile Antioxidant Ειδικό Συμπλήρωμα Διατροφής 60 κάψουλες</t>
  </si>
  <si>
    <t>5200119880325</t>
  </si>
  <si>
    <t>Natprod Mentaleon Ειδικό Συμπλήρωμα Διατροφής 60 κάψουλες</t>
  </si>
  <si>
    <t>5200119883418</t>
  </si>
  <si>
    <t>Uga Omegor Vitality 30 κάψουλες</t>
  </si>
  <si>
    <t>8033120250521</t>
  </si>
  <si>
    <t>AM Health Zinc &amp; C with Quercetin 15mg 60 κάψουλες</t>
  </si>
  <si>
    <t>5200119882060</t>
  </si>
  <si>
    <t>AM Health Smile Coenzyme Q-10 &amp; L-Carnitine 30 κάψουλες</t>
  </si>
  <si>
    <t>5200119880073</t>
  </si>
  <si>
    <t>AM Health Monohydrate Micronized Energy 300gr</t>
  </si>
  <si>
    <t>5200119882923</t>
  </si>
  <si>
    <t>Uga Omegor Kids Ιχθυέλαιο Κατάλληλο για Παιδιά 60 μασώμενες ταμπλέτες</t>
  </si>
  <si>
    <t>8033120250286</t>
  </si>
  <si>
    <t>AM Health Smile Immunity Συμπλήρωμα για την Ενίσχυση του Ανοσοποιητικού 30 κάψουλες</t>
  </si>
  <si>
    <t>5200119880233</t>
  </si>
  <si>
    <t>AM Health Probio 45B Προβιοτικά 10 κάψουλες</t>
  </si>
  <si>
    <t>5200119884453</t>
  </si>
  <si>
    <t>AM Health Smile D3 Vegan Βιταμίνη για Ανοσοποιητικό 1000iu 12.5ml</t>
  </si>
  <si>
    <t>5200119881223</t>
  </si>
  <si>
    <t>Uga Omegor Antiage 60 κάψουλες</t>
  </si>
  <si>
    <t>Uga Συμπλήρωμα για την Μνήμη &amp; τη Συγκέντρωση 30 κάψουλες</t>
  </si>
  <si>
    <t>AM Health Smile Prostafriend Συμπλήρωμα για την Υγεία του Προστάτη 60 κάψουλες</t>
  </si>
  <si>
    <t>AM Health Βιταμίνη D3 &amp; K2 D3 5000 IU + K2 60 κάψουλες &amp; Zinc + C 60 κάψουλες για Ενίσχυση του Ανοσοποιητικού &amp; την Υγεία των Οστών</t>
  </si>
  <si>
    <t>Am Health Promo Smile Συμπλήρωμα Διατροφής D3 5000iu + K2 60 Κάψουλες &amp; Probio 45b Προβιοτικά 10 Κάψουλες</t>
  </si>
  <si>
    <t>AM Health Smile Probiotic 10B με Προβιοτικά και Πρεβιοτικά 10 κάψουλες</t>
  </si>
  <si>
    <t>ΧΟΝΤΡΙΚΗ ΤΙΜΗ</t>
  </si>
  <si>
    <t>ΣΥΝΟΛΟ</t>
  </si>
  <si>
    <t>ΦΠΑ</t>
  </si>
  <si>
    <t>ΠΡΟΜΥΘΕΙΑ ΚΑΤΗΓΟΡΙΑΣ</t>
  </si>
  <si>
    <t>FBS</t>
  </si>
  <si>
    <t>Avgerinos Cosmetics Face Cleansing 300ml</t>
  </si>
  <si>
    <t>Avgerinos Cosmetics Stars Eau de Parfum 50ml</t>
  </si>
  <si>
    <t>Avgerinos Cosmetics Baby Talc Eau de Parfum 50ml</t>
  </si>
  <si>
    <t>Avgerinos Cosmetics Strars Hands Ενυδατική Κρέμα Σώματος 200ml</t>
  </si>
  <si>
    <t>Avgerinos Cosmetics Baby Talk Ενυδατική Κρέμα Χεριών 200ml</t>
  </si>
  <si>
    <t>Avgerinos Cosmetics Perla Hands &amp; Body Cream 200ml</t>
  </si>
  <si>
    <t>Avgerinos Cosmetics Hammam Eau de Parfum 50ml</t>
  </si>
  <si>
    <t>Avgerinos Cosmetics Perla Eau de Parfum 50ml</t>
  </si>
  <si>
    <t>Avgerinos Cosmetics DD Light Κρέμα Προσώπου Ημέρας με SPF20 για Ενυδάτωση &amp; Ατέλειες 50ml</t>
  </si>
  <si>
    <t>Avgerinos Cosmetics Men Face Cleansing 300ml</t>
  </si>
  <si>
    <t>Avgerinos Cosmetics Hammam Ενυδατική Κρέμα Χεριών 200ml</t>
  </si>
  <si>
    <t>Avgerinos Cosmetics Men 2in1 Ανδρική Κρέμα Προσώπου για Ενυδάτωση με Υαλουρονικό Οξύ 50ml</t>
  </si>
  <si>
    <t>Avgerinos Cosmetics Fairy Dust 100ml</t>
  </si>
  <si>
    <t>Avgerinos Cosmetics Ενυδατικό Gel Σώματος με Άρωμα Πούδρα 100ml</t>
  </si>
  <si>
    <t>Avgerinos Cosmetics Fairy Dust Ενυδατική Κρέμα Σώματος με Υαλουρονικό Οξύ &amp; Άρωμα Βανίλια για Ξηρές Επιδερμίδες 100ml</t>
  </si>
  <si>
    <t>Avgerinos Cosmetics Musk Face &amp; Body Cream 200ml</t>
  </si>
  <si>
    <t>Avgerinos Cosmetics Queen Ενυδατική Κρέμα Χεριών 200ml</t>
  </si>
  <si>
    <t>Avgerinos Cosmetics My Musk Eau de Parfum 50ml</t>
  </si>
  <si>
    <t>Avgerinos Cosmetics Face Scrub 250ml</t>
  </si>
  <si>
    <t>Avgerinos Cosmetics Queen Eau de Parfum 60ml</t>
  </si>
  <si>
    <t>Avgerinos Cosmetics Hammam Body Scrub 250ml</t>
  </si>
  <si>
    <t>Avgerinos Cosmetics Oudo Eau de Parfum 100ml</t>
  </si>
  <si>
    <t>Avgerinos Cosmetics Baby Talc Αφρόλουτρο 300ml</t>
  </si>
  <si>
    <t>Avgerinos Cosmetics Baby Talc Ξηρό Λάδι Σώματος για Μαλλιά και Σώμα 150ml</t>
  </si>
  <si>
    <t>Avgerinos Cosmetics Hammam Ξηρό Έλαιο Μακαντάμια για Μαλλιά και Σώμα 150ml</t>
  </si>
  <si>
    <t>Avgerinos Cosmetics DD Medium 24ωρη Κρέμα Προσώπου Ημέρας με SPF20 για Ατέλειες &amp; τους Ρύπους 50ml</t>
  </si>
  <si>
    <t>Avgerinos Cosmetics Coco Dream Showergel 300ml</t>
  </si>
  <si>
    <t>Glam Body &amp; Hair Mist 100ml</t>
  </si>
  <si>
    <t>Avgerinos Cosmetics Mystique Body Mist 100ml</t>
  </si>
  <si>
    <t>Avgerinos Cosmetics Taboo Eau de Parfum 100ml</t>
  </si>
  <si>
    <t>Avgerinos Cosmetics Hammam Showergel 300m</t>
  </si>
  <si>
    <t>Avgerinos Cosmetics 24ωρη Κρέμα Προσώπου για Ανάπλαση με Υαλουρονικό Οξύ 30ml</t>
  </si>
  <si>
    <t>Avgerinos Cosmetics Coco Drean Hands &amp; Body Cream 200ml</t>
  </si>
  <si>
    <t>Avgerinos Cosmetics Summer Addict Body &amp; Hair Mist 150ml</t>
  </si>
  <si>
    <t>Avgerinos Cosmetics Perla Αφρόλουτρο 300ml</t>
  </si>
  <si>
    <t>Avgerinos Cosmetics My Musk Body Scrub 250ml</t>
  </si>
  <si>
    <t>Avgerinos Cosmetics Let's Sparkle 120ml</t>
  </si>
  <si>
    <t>Avgerinos Cosmetics Baby Talc Body Scrub 250ml</t>
  </si>
  <si>
    <t>5207201000302</t>
  </si>
  <si>
    <t>Avgerinos Cosmetics Summer Addict Αντηλιακό Μαλλιών Spray 150ml</t>
  </si>
  <si>
    <t>Avgerinos Cosmetics DD Medium Plus Light Κρέμα Προσώπου Ημέρας με SPF20 για Ενυδάτωση, Αντιγήρανση &amp; Σύσφιξη με Νιασιναμίδη 50ml</t>
  </si>
  <si>
    <t>ΧΟΝΤΡΙΚΗ ΟΞΥ</t>
  </si>
  <si>
    <t xml:space="preserve">Bayer Supradyn Energy Βιταμίνη για Ενέργεια Energy 15 αναβράζοντα δισκία </t>
  </si>
  <si>
    <t>Bayer Σετ Περιποίησης για Ενυδάτωση με Κρέμα Προσώπου 75ml</t>
  </si>
  <si>
    <t>Bepanthene Eczema Κρέμα για Ατοπική Δερματίτιδα/Έκζεμα 50gr</t>
  </si>
  <si>
    <t>Bayer Supradyn Βιταμίνη D Βιταμίνη για Ανοσοποιητικό 1600iu Energy 100 μαλακές κάψουλες</t>
  </si>
  <si>
    <t>Bayer Supradyn Active με Γεύση Πορτοκάλι 24 φακελίσκοι</t>
  </si>
  <si>
    <t>Bayer Supradyn Vital 50+ Βιταμίνη για Ενέργεια Energy 30 αναβράζοντα δισκία</t>
  </si>
  <si>
    <t>Bayer Supradyn Immunity Βιταμίνη για Ανοσοποιητικό 400iu 1000mg Energy 30gr 200ml 30 αναβράζοντα δισκία 30 κάψουλες</t>
  </si>
  <si>
    <t>Bepanthene Hydrogel Gel για Επούλωση 50gr</t>
  </si>
  <si>
    <t xml:space="preserve">Bepanthol Baby Balm Κρέμα 30gr για το Σύγκαμα Μωρού </t>
  </si>
  <si>
    <t xml:space="preserve">Bepanthol Βάλσαμο για Επούλωση &amp; Τατουάζ 50gr </t>
  </si>
  <si>
    <t xml:space="preserve">Bepanthol Tattoo Αδιάβροχη Αντηλιακή Κρέμα Προσώπου και Σώματος SPF50 50ml </t>
  </si>
  <si>
    <t>Bayer Supradyn Energy Boost Βιταμίνη για Ενέργεια Energy 30gr 30 ταμπλέτες 30 αναβράζοντα δισκία</t>
  </si>
  <si>
    <t>Bepanthol Intensive Ενυδατική &amp; Αναπλαστική Κρέμα Προσώπου για Ευαίσθητες Επιδερμίδες 50ml</t>
  </si>
  <si>
    <t>Bepanthol Ενυδατική Κρέμα Ανάπλασης για Ευαίσθητες Επιδερμίδες 100gr</t>
  </si>
  <si>
    <t>Bepanthol 24ωρη Λεπτόρρευστη Κρέμα Προσώπου για Ενυδάτωση &amp; Ανάπλαση με Βιταμίνη C 75ml</t>
  </si>
  <si>
    <t>Bepanthol Baby Balm Κρέμα 100gr για το Σύγκαμα Μωρού</t>
  </si>
  <si>
    <t>Bepanthol Derma Gel για το Σώμα 400ml</t>
  </si>
  <si>
    <t>Bepanthol Gel Καθαρισμού Derma για Ξηρές Επιδερμίδες 200ml</t>
  </si>
  <si>
    <t>Bepanthol Derma Ενυδατική Lotion Σώματος για Ξηρές Επιδερμίδες 200ml</t>
  </si>
  <si>
    <t>Bepanthol Derma Ενυδατική Κρέμα Προσώπου Ημέρας για Ξηρές/Ευαίσθητες Επιδερμίδες 50ml</t>
  </si>
  <si>
    <t>Priorin Extra 30 κάψουλες</t>
  </si>
  <si>
    <t>Priorin Μάσκα Μαλλιών για Τριχόπτωση 180ml</t>
  </si>
  <si>
    <t>5200309825273</t>
  </si>
  <si>
    <t>Priorin Σαμπουάν κατά της Τριχόπτωσης για Ξηρά Μαλλιά 200ml</t>
  </si>
  <si>
    <t>Priorin Σαμπουάν Καθαρισμού Για Λιπαρά Μαλλιά 200ml</t>
  </si>
  <si>
    <t>Bayer Supradyn Energy Boost 30 ταμπλέτες</t>
  </si>
  <si>
    <t>Bepanthene SensiDaily Ενυδατική Κρέμα Σώματος 400ml</t>
  </si>
  <si>
    <t>Priorin Extra για την Υγεία των Μαλλιών 60 κάψουλες</t>
  </si>
  <si>
    <t>Bepanthol Σετ Περιποίησης για Αντιγήρανση &amp; Ενυδάτωση 3τμχ</t>
  </si>
  <si>
    <t>Bepanthene Eye Drops Promo Οφθαλμικές Σταγόνες με Υαλουρονικό Οξύ για Ξηροφθαλμία 20x0.5ml</t>
  </si>
  <si>
    <t>5200309855133</t>
  </si>
  <si>
    <t>Bepanthol Κρέμα Προσώπου Νυκτός για Ενυδάτωση &amp; Ανάπλαση με Κολλαγόνο &amp; Πανθενόλη 75ml</t>
  </si>
  <si>
    <t>5200309855256</t>
  </si>
  <si>
    <t>Beauty of Joseon Λάδι Καθαρισμού Ginseng 210ml</t>
  </si>
  <si>
    <t>Beauty of Joseon Gel Καθαρισμού Red Bean για Λιπαρές Επιδερμίδες 100ml</t>
  </si>
  <si>
    <t xml:space="preserve">Beauty of Joseon Red Bean Μάσκα Προσώπου για Αναζωογόνηση / Απολέπιση / Ενυδάτωση 140ml </t>
  </si>
  <si>
    <t>Beauty of Joseon Relief Sun Rice Probiotics Αντηλιακή Κρέμα Προσώπου SPF50 50ml</t>
  </si>
  <si>
    <t>Beauty of Joseon Revive Ginseng &amp; Retinal Αντιγηραντικό Serum Ματιών 30ml</t>
  </si>
  <si>
    <t>Beauty of Joseon Gingseng Essence Water 150ml</t>
  </si>
  <si>
    <t>Beauty of Joseon Matte Sun Stick Αντηλιακό Stick Προσώπου και Σώματος SPF50 18gr</t>
  </si>
  <si>
    <t>Beauty of Joseon Dynasty Cream Κρέμα Προσώπου για Ενυδάτωση 50ml</t>
  </si>
  <si>
    <t>Beauty of Joseon Κρέμα Καθαρισμού Green Plum Refreshing 100ml</t>
  </si>
  <si>
    <t>Beauty of Joseon Hanbang Serum Discovery Σετ Περιποίησης</t>
  </si>
  <si>
    <t>Beauty of Joseon Serum Προσώπου με Βιταμίνη C για Ακμή 30ml</t>
  </si>
  <si>
    <t>Beauty of joseon calming serum green tea + Panthenol</t>
  </si>
  <si>
    <t>Beauty of Joseon Propolis &amp; Niacinamide Serum Προσώπου 30ml</t>
  </si>
  <si>
    <t>Beauty of Joseon Apricot Blossom Peeling Προσώπου 100ml</t>
  </si>
  <si>
    <t>Beauty of joseon ginseng cleansing oil 210ml</t>
  </si>
  <si>
    <t>Beauty of Joseon Dynasty Ενυδατική Κρέμα Προσώπου με Υαλουρονικό Οξύ 100ml</t>
  </si>
  <si>
    <t>8809954941498</t>
  </si>
  <si>
    <t>Beauty of Joseon Glow Deep Serum Προσώπου 30ml</t>
  </si>
  <si>
    <t>Beauty of Joseon Ground Rice And Honey Glow Μάσκα Προσώπου για Λάμψη 150ml</t>
  </si>
  <si>
    <t>Beauty Joseon Glow Replenishing Rice Milk 150ml</t>
  </si>
  <si>
    <t>Beauty of Joseon Lotion Ενυδάτωσης Gingseng Essence Water 40ml</t>
  </si>
  <si>
    <t>Beauty of Joseon Αντηλιακή Λοσιόν για το Σώμα SPF50 50ml</t>
  </si>
  <si>
    <t>Beauty of Joseon Κρέμα Καθαρισμού Radiance Cleansing Balm 100ml</t>
  </si>
  <si>
    <t>Beauty of Joseon Green Plum Peeling Προσώπου σε Lotion 150ml</t>
  </si>
  <si>
    <t>Beauty of Joseon Centella Asiatica Calming Μάσκα Προσώπου για Ενυδάτωση 25ml</t>
  </si>
  <si>
    <t>Beauty of Joseon Relief Sun Aqua-fresh Rice Αντηλιακή Κρέμα Προσώπου SPF50+ 50ml</t>
  </si>
  <si>
    <t>Bennett Liver Ειδικό Συμπλήρωμα Διατροφής 30 ταμπλέτες</t>
  </si>
  <si>
    <t>5200435700031</t>
  </si>
  <si>
    <t>Bennett Plus Ειδικό Συμπλήρωμα Διατροφής 30 ταμπλέτες</t>
  </si>
  <si>
    <t>5200435700062</t>
  </si>
  <si>
    <t>Bennett Cardis Ειδικό Συμπλήρωμα Διατροφής 30 ταμπλέτες</t>
  </si>
  <si>
    <t>5200435700024</t>
  </si>
  <si>
    <t>Bennett Mind Ειδικό Συμπλήρωμα Διατροφής 30 ταμπλέτες</t>
  </si>
  <si>
    <t>5200435700055</t>
  </si>
  <si>
    <t>Bennett Flex Συμπλήρωμα για την Υγεία Αρθρώσεων &amp; Οστών 30 ταμπλέτες</t>
  </si>
  <si>
    <t>5200435700048</t>
  </si>
  <si>
    <t>Bennett Diavita Ειδικό Συμπλήρωμα Διατροφής 30 ταμπλέτες</t>
  </si>
  <si>
    <t>5200435700017</t>
  </si>
  <si>
    <t>Bennett Immuno Συμπλήρωμα για την Ενίσχυση του Ανοσοποιητικού 30 ταμπλέτες</t>
  </si>
  <si>
    <t>5200435700079</t>
  </si>
  <si>
    <t>Bifolac Restore Προβιοτικά 30 κάψουλες</t>
  </si>
  <si>
    <t>5705675088777</t>
  </si>
  <si>
    <t>Bifolac Restore Προβιοτικά 10 κάψουλες</t>
  </si>
  <si>
    <t>5705675088760</t>
  </si>
  <si>
    <t>Eifron beifolac Feminine Προβιοτικά 20 κάψουλες</t>
  </si>
  <si>
    <t>Κόστος αγοράς (χωρίς ΦΠΑ) C</t>
  </si>
  <si>
    <t>Κέρδος στόχος (καθαρό) G</t>
  </si>
  <si>
    <t>ΦΠΑ πώλησης v (0,24/0,13/0,06)</t>
  </si>
  <si>
    <t>Προμήθεια Marketplace m (π.χ. 0,085)</t>
  </si>
  <si>
    <t>FBS fee F (χωρίς ΦΠΑ)</t>
  </si>
  <si>
    <t>Διαχείριση H (χωρίς ΦΠΑ)</t>
  </si>
  <si>
    <t>ΦΠΑ υπηρεσιών t (συνήθως 0,24)</t>
  </si>
  <si>
    <t>Τελική τιμή στο Marketplace (με ΦΠΑ) X</t>
  </si>
  <si>
    <t>Τιμή χωρίς ΦΠΑ (S = X/(1+v))</t>
  </si>
  <si>
    <t>Marketplace € (m*S)</t>
  </si>
  <si>
    <t>ΦΠΑ υπηρεσιών € (t*(Marketplace+FBS+H))</t>
  </si>
  <si>
    <t>Σύνολο κρατήσεων Skroutz K</t>
  </si>
  <si>
    <t>Μου μένουν πριν κόστος R</t>
  </si>
  <si>
    <t>Καθαρό κέρδος Π</t>
  </si>
  <si>
    <t>Biotech USA 100% Pure Whey Πρωτεΐνη Ορού Γάλακτος Χωρίς Γλουτένη με Γεύση Σοκολάτα 2.27kg</t>
  </si>
  <si>
    <t>5999076238002</t>
  </si>
  <si>
    <t>Biotech USA 100% Pure Whey Πρωτεΐνη Ορού Γάλακτος Χωρίς Γλουτένη με Γεύση Μπανάνα 2.27kg</t>
  </si>
  <si>
    <t>5999076238064</t>
  </si>
  <si>
    <t>Biotech USA Hydro Whey Zero Πρωτεΐνη Ορού Γάλακτος Χωρίς Γλουτένη με Γεύση Σοκολάτα 1.816kg</t>
  </si>
  <si>
    <t>5999076220106</t>
  </si>
  <si>
    <t>Biotech USA 100% Pure Whey Πρωτεΐνη Ορού Γάλακτος Χωρίς Γλουτένη με Γεύση Φράουλα 2.27kg</t>
  </si>
  <si>
    <t>5999076238019</t>
  </si>
  <si>
    <t>Biotech USA 100% Creatine Monohydrate Unflavoured 300gr</t>
  </si>
  <si>
    <t>5999076227426</t>
  </si>
  <si>
    <t>Biotech USA Wave Shaker Πρωτεΐνης 600ml Πλαστικό Μαύρο</t>
  </si>
  <si>
    <t>5999076207435</t>
  </si>
  <si>
    <t>Biotech USA Wave Shaker Πρωτεΐνης 600ml Πλαστικό Διάφανο</t>
  </si>
  <si>
    <t>5999076207411</t>
  </si>
  <si>
    <t>Bionat Colon Life με Προβιοτικά και Πρεβιοτικά 10 ταμπλέτες 10 κάψουλες</t>
  </si>
  <si>
    <t>5206856000972</t>
  </si>
  <si>
    <t>TerraNova Magnesium Complex 100mg 50 φυτικές κάψουλες</t>
  </si>
  <si>
    <t>5060203791247</t>
  </si>
  <si>
    <t>TerraNova Digestive Enzyme Complex 50 φυτικές κάψουλες</t>
  </si>
  <si>
    <t>5060203790677</t>
  </si>
  <si>
    <t>TerraNova Living Multivitamin Sport Βιταμίνη 735mg 50 φυτικές κάψουλες</t>
  </si>
  <si>
    <t>5060203791483</t>
  </si>
  <si>
    <t>TerraNova B-Complex with Vitamin C Βιταμίνη για Ενέργεια, Ενίσχυση του Ανοσοποιητικού &amp; το Νευρικό Σύστημα 540mg 50 φυτικές κάψουλες</t>
  </si>
  <si>
    <t>5060203790196</t>
  </si>
  <si>
    <t>Bionat Memovigor 2 900mg Συμπλήρωμα για Μνήμη 20 ταμπλέτες</t>
  </si>
  <si>
    <t>5206856000071</t>
  </si>
  <si>
    <t>Camomilla Deo Fresh Λοσιόν Καθαρισμού 300ml</t>
  </si>
  <si>
    <t>8052787970498</t>
  </si>
  <si>
    <t>Camomilla Blu Tropical Papaya Λοσιόν Καθαρισμού 300ml PH5.5</t>
  </si>
  <si>
    <t>8052787971853</t>
  </si>
  <si>
    <t>Camomilla Blu Honey Pure Λοσιόν Καθαρισμού 300ml</t>
  </si>
  <si>
    <t>8052787971846</t>
  </si>
  <si>
    <t>Camomilla Παιδικό Αφρόλουτρο Intimate Wash Lovely Girl με Χαμομήλι για την Ευαίσθητη Περιοχή σε Μορφή Gel 300ml</t>
  </si>
  <si>
    <t>8052787970450</t>
  </si>
  <si>
    <t>Camomilla Blu Energy Man pH 5.5 Λοσιόν Καθαρισμού 300ml</t>
  </si>
  <si>
    <t>8052787971105</t>
  </si>
  <si>
    <t>Camomilla Blu Active pH 3.5 Υγρό Καθαρισμού 300ml</t>
  </si>
  <si>
    <t>8052787970474</t>
  </si>
  <si>
    <t>Camomilla Blu Natural Coco pH 4.5 Υγρό Καθαρισμού 300ml</t>
  </si>
  <si>
    <t>8052787971518</t>
  </si>
  <si>
    <t>Camomilla Blu Protective pH 8.5 Υγρό Καθαρισμού με Χαμομήλι 300ml</t>
  </si>
  <si>
    <t>8052787971112</t>
  </si>
  <si>
    <t>Camomilla Blu Active Bio pH 3.5 Υγρό Καθαρισμού με Χαμομήλι και Αλόη 300ml</t>
  </si>
  <si>
    <t>Camomilla First Skin Cleanser με Χαμομήλι 300ml</t>
  </si>
  <si>
    <t>Camomilla Blu Daily Use pH 5.5 Λοσιόν Καθαρισμού 300ml</t>
  </si>
  <si>
    <t>Camomilla Blu Κρεμώδες Αφρόλουτρο 500ml</t>
  </si>
  <si>
    <t>Camomilla Blu Αφρόλουτρο Sulfate Free 500ml</t>
  </si>
  <si>
    <t>Camomilla Blu Shower Oil 500ml</t>
  </si>
  <si>
    <t>Camomilla Blu Defence pH 7 Υγρό Καθαρισμού με Χαμομήλι 300ml</t>
  </si>
  <si>
    <t>Camomilla Soft Σαμπουάν Ενυδάτωσης για Όλους τους Τύπους Μαλλιών 500ml</t>
  </si>
  <si>
    <t>Camomila Blu Hair Conditioner Μαλακτική Κρέμα Μαλλιών 200ml</t>
  </si>
  <si>
    <t>Camomilla My Sensitive Skin Σετ Περιποίησης για Ενυδάτωση &amp; Καθαρισμό Προσώπου 3τμχ</t>
  </si>
  <si>
    <t>Camomilla Blu pH 4.5 Υγρό Καθαρισμού με Χαμομήλι 300ml</t>
  </si>
  <si>
    <t>Carroten Intensive Tanning με Coconut Oil Gel Μαυρίσματος για το Σώμα με Χρώμα 150ml</t>
  </si>
  <si>
    <t>5201314180333</t>
  </si>
  <si>
    <t>Carroten Gold Shimmer Intensive Gel Μαυρίσματος για το Σώμα με Χρώμα 150ml</t>
  </si>
  <si>
    <t>5201314180340</t>
  </si>
  <si>
    <t>Carroten Gold Αδιάβροχο Λάδι Μαυρίσματος για το Σώμα 200ml</t>
  </si>
  <si>
    <t>5201314180319</t>
  </si>
  <si>
    <t>Carroten Family Αδιάβροχη Αντηλιακή Κρέμα Προσώπου και Σώματος SPF50 σε Spray 270ml</t>
  </si>
  <si>
    <t>5201314180524</t>
  </si>
  <si>
    <t>Centrum Men Βιταμίνη για Ενέργεια &amp; το Ανοσοποιητικό 30 ταμπλέτες</t>
  </si>
  <si>
    <t>Centrum Women Βιταμίνη για Ενέργεια &amp; το Ανοσοποιητικό 30 ταμπλέτες</t>
  </si>
  <si>
    <t>Centrum Silver 50+ Πολυβιταμίνη ειδικά σχεδιασμένη για ενήλικες 50 ετών και άνω</t>
  </si>
  <si>
    <t>Centrum Energy 30 ταμπλέτες</t>
  </si>
  <si>
    <t>Centrum Junior Complete from A-Zinc Βιταμίνη για Ενέργεια Λεμόνι Βατόμουρο 30 μασώμενες ταμπλέτες</t>
  </si>
  <si>
    <t>Centrum Immunity Vitamin C Max Βιταμίνη για Ανοσοποιητικό 1000mg 14 φακελίσκοι</t>
  </si>
  <si>
    <t>Centrum A To Zinc Βιταμίνη για τo Δέρμα 20 αναβράζοντα δισκία</t>
  </si>
  <si>
    <t>Centrum Immunity Elderberry Βιταμίνη για Ανοσοποιητικό &amp; Αντιοξειδωτικό 60 μαλακές κάψουλες</t>
  </si>
  <si>
    <t>Centrum Βιταμίνη για τo Δέρμα 30 ταμπλέτες</t>
  </si>
  <si>
    <t>Centrum Beauty &amp; Collagen 30 μαλακές κάψουλες</t>
  </si>
  <si>
    <t>Centrum Kids Gummies Πολυβιταμίνη για την Υποστήριξη της Υγιούς Ανάπτυξης των Παιδιών για Ενίσχυση του Ανοσοποιητικού Multifruit 60 ζελεδάκια</t>
  </si>
  <si>
    <t>Centrum MultiGummies Adult Πολυβιταμίνη για Ενέργεια &amp; Ενίσχυση του Ανοσοποιητικού 60 ζελεδάκια</t>
  </si>
  <si>
    <t>Centrum Women 4 Months Πολυβιταμίνη Ειδικά Σχεδιασμένη για τη Γυναίκα για έως και Τέσσερις Μήνες Διατροφικής Υποστήριξης 2 x 60 ταμπλέτες</t>
  </si>
  <si>
    <t>Centrum Complete From A To Zinc Πολυβιταμίνη Με Βιταμίνες &amp; Μεταλλικά Στοιχεία για Ενέργεια &amp; Ενίσχυση του Ανοσοποιητικού 60 ταμπλέτες</t>
  </si>
  <si>
    <t>Centrum Silver 50+ Πολυβιταμίνη για Ενίσχυση του Ανοσοποιητικού 60 ταμπλέτες</t>
  </si>
  <si>
    <t xml:space="preserve">Clinea Moonlight Glow Gel Προσώπου Νυκτός για Αντιγήρανση &amp; Λάμψη 50ml </t>
  </si>
  <si>
    <t>Clinea Reset n' Glow Κρέμα Προσώπου Ημέρας με SPF20 για Αντιγήρανση &amp; Λάμψη 50ml</t>
  </si>
  <si>
    <t>Clinea Reset N' Glow Sorbet Κρέμα Προσώπου Ημέρας για Αντιγήρανση &amp; Λάμψη 50ml</t>
  </si>
  <si>
    <t>Clinea Micellar Water Ντεμακιγιάζ Superfood Splash 400ml</t>
  </si>
  <si>
    <t>Clinea Bio-Retinol Reset Αντιγηραντικό Serum Προσώπου με Ρετινόλη για Λάμψη 30ml</t>
  </si>
  <si>
    <t xml:space="preserve">Clinea Hyaluronic Waterbomb Ενυδατικό Serum Προσώπου με Υαλουρονικό Οξύ 30ml </t>
  </si>
  <si>
    <t>Clinea Eye Smoothie Ενυδατική Κρέμα Ματιών κατά των Μαύρων Κύκλων 15ml</t>
  </si>
  <si>
    <t>Clinea Collagen Bounce Αντιγηραντικό Serum Προσώπου με Κολλαγόνο για Σύσφιξη 30ml</t>
  </si>
  <si>
    <t>Clinea Water Crush Light 48ωρο Ενυδατικό Gel Προσώπου Ημέρας για Κανονικές Επιδερμίδες με Υαλουρονικό Οξύ 50ml</t>
  </si>
  <si>
    <t xml:space="preserve">Clinea Water Crush Sleeping Spa De-Stress Cream-Mask Balm Προσώπου Νυκτός για Ενυδάτωση με Υαλουρονικό Οξύ 50ml </t>
  </si>
  <si>
    <t>Clinea Water Crush 48ωρη Κρέμα Προσώπου Ημέρας με SPF15 για Ενυδάτωση με Υαλουρονικό Οξύ 50ml</t>
  </si>
  <si>
    <t xml:space="preserve">Clinea Tint n' Glow Light Gel Προσώπου Ημέρας με Χρώμα για Λάμψη 50ml </t>
  </si>
  <si>
    <t>Clinea Lotion Τόνωσης Glam N' Tonic 200ml</t>
  </si>
  <si>
    <t>Clinea Sleeping Spa Overnight De-Stress Refill Balm Προσώπου Νυκτός για Ενυδάτωση με Υαλουρονικό Οξύ 50ml</t>
  </si>
  <si>
    <t>Clinea Water Crush Refill Light 48ωρο Ενυδατικό Gel Προσώπου Ημέρας για Κανονικές Επιδερμίδες με Υαλουρονικό Οξύ 50ml</t>
  </si>
  <si>
    <t>Clinea Water Crush Refill Κρέμα Προσώπου Ημέρας με SPF15 για Ενυδάτωση 50ml</t>
  </si>
  <si>
    <t>Clinea Tint N' Glow Refill Light Gel Προσώπου Ημέρας με Χρώμα για Λάμψη 50ml</t>
  </si>
  <si>
    <t>Clinea Moonlight Glow Refill Gel Προσώπου Νυκτός για Αντιγήρανση &amp; Λάμψη 50ml</t>
  </si>
  <si>
    <t>Clinea Reset N' Glow Refill Sorbet Κρέμα Προσώπου Ημέρας για Αντιγήρανση &amp; Λάμψη 50ml</t>
  </si>
  <si>
    <t>Clinea Κρέμα Καθαρισμού Caring Bubbles για Κανονικές Επιδερμίδες 150ml</t>
  </si>
  <si>
    <t>Clinea Reset n' Glow Refill Κρέμα Προσώπου Ημέρας με SPF20 για Αντιγήρανση &amp; Λάμψη 50ml</t>
  </si>
  <si>
    <t>Clinea Gel Καθαρισμού Balance Spell 200ml</t>
  </si>
  <si>
    <t>Clinea Bak Off Wrinkles Light Light Αντιγηραντική Κρέμα Προσώπου Ημέρας με SPF20 με Υαλουρονικό Οξύ &amp; Ρετινόλη 50ml</t>
  </si>
  <si>
    <t>Clinea Anti-Puff Stuff Gel-Κρέμα Ματιών για Λάμψη με Υαλουρονικό Οξύ 15ml</t>
  </si>
  <si>
    <t>Clinea Daily Melt-Off Balm Καθαρισμού Προσώπου 150ml</t>
  </si>
  <si>
    <t>5201314185079</t>
  </si>
  <si>
    <t xml:space="preserve">Clinea Wrinkle InstaShrink Αντιγηραντική &amp; Συσφικτική Κρέμα Ματιών κατά των Μαύρων Κύκλων 15ml </t>
  </si>
  <si>
    <t>Compeed Invisible Cold Sore Patch 15τμχ</t>
  </si>
  <si>
    <t>3663555002126</t>
  </si>
  <si>
    <t>Compeed Επιθέματα Corn με Gel για τους Κάλους Medium 10τμχ</t>
  </si>
  <si>
    <t>3663555001969</t>
  </si>
  <si>
    <t>Compeed Επιθέματα Juanetes με Gel για το Κότσι Medium 5τμχ</t>
  </si>
  <si>
    <t>3663555001938</t>
  </si>
  <si>
    <t>Compeed Επιθέματα Vesciche Back με Gel για Φουσκάλες Medium 10τμχ</t>
  </si>
  <si>
    <t>3663555002973</t>
  </si>
  <si>
    <t>Compeed Επιθέματα Blister για Φουσκάλες Small 6τμχ</t>
  </si>
  <si>
    <t>3663555001440</t>
  </si>
  <si>
    <t>Compeed Επιθέματα Vesciche Back με Gel για Φουσκάλες Medium 5τμχ</t>
  </si>
  <si>
    <t>3663555002386</t>
  </si>
  <si>
    <t>Compeed Έπιθέματα Για Φουσκάλες Στα Δάχτυλα Των Ποδιών 8τμχ</t>
  </si>
  <si>
    <t>3663555001679</t>
  </si>
  <si>
    <t>Compeed Cerotti Stop Brufoli Μάσκα Προσώπου για Καθαρισμό 15τμχ</t>
  </si>
  <si>
    <t>3663555005394</t>
  </si>
  <si>
    <t>Compeed Επιθέματα με Gel για Φουσκάλες Medium 5τμχ</t>
  </si>
  <si>
    <t>3663555002300</t>
  </si>
  <si>
    <t>Compeed Επιθέματα με Gel για Φουσκάλες 5τμχ</t>
  </si>
  <si>
    <t>3663555002744</t>
  </si>
  <si>
    <t>Cosrx 24ωρη Κρέμα Προσώπου για Ενυδάτωση &amp; Ανάπλαση με Έκκριμα Σαλιγκαριού 100ml</t>
  </si>
  <si>
    <t>Cosrx Intensive Κρέμα Προσώπου Ημέρας για Αντιγήρανση με Υαλουρονικό Οξύ 100ml</t>
  </si>
  <si>
    <t>Cosrx Face Water Ενυδάτωσης BHA Blackhead Power Liquid 100ml</t>
  </si>
  <si>
    <t>Cosrx Acne Master Patch Original Fit Patches Μάσκα Προσώπου 24τμχ</t>
  </si>
  <si>
    <t>Cosrx Acne Pimple Master Patch 24τμχ</t>
  </si>
  <si>
    <t xml:space="preserve">Cosrx Low pH Good Morning Cleanser 150ml </t>
  </si>
  <si>
    <t>Cosrx AHA BHA Clarifying Treatment Toner 150ml</t>
  </si>
  <si>
    <t>Cosrx Centella Water Alcohol-Free Toner 150ml</t>
  </si>
  <si>
    <t>Cosrx Μάσκα Προσώπου 18τμχ Clear Fit Master Patch</t>
  </si>
  <si>
    <t>Cosrx Lotion Καθαρισμού Salicylic Acid 150gr</t>
  </si>
  <si>
    <t>Cosrx Centella Κρέμα Προσώπου Ημέρας για Ακμή 30ml</t>
  </si>
  <si>
    <t>Cosrx Advanced Snail 96 Ενυδατικό Essence Προσώπου 100ml</t>
  </si>
  <si>
    <t>Cosrx AC Collection Acne Patch 26τμχ</t>
  </si>
  <si>
    <t>Cosrx Vitamin C 23 Αντιγηραντικό Serum Προσώπου για Λάμψη 20ml</t>
  </si>
  <si>
    <t>COSRX The Retinol 0.5 Oil Ενυδατικό έλαιο με ρετινόλη για αντιγήρανση</t>
  </si>
  <si>
    <t>Cosrx Booster Προσώπου 150ml</t>
  </si>
  <si>
    <t>Cosrx - Full Fit Propolis Synergy Toner 150ML</t>
  </si>
  <si>
    <t>Cosrx Αντηλιακή Κρέμα Προσώπου SPF50 50ml</t>
  </si>
  <si>
    <t>Cosrx - Cica Clear Cleansing Oil</t>
  </si>
  <si>
    <t>8809598453333</t>
  </si>
  <si>
    <t>Cosrx Ac Collection Light Κρέμα Προσώπου για Ενυδάτωση 80ml</t>
  </si>
  <si>
    <t>8809598453586</t>
  </si>
  <si>
    <t>Cosrx Balancium Comfort Ενυδατική Κρέμα Προσώπου για Ευαίσθητες Επιδερμίδες με Ceramides</t>
  </si>
  <si>
    <t>8809598453081</t>
  </si>
  <si>
    <t>Cosrx Two in One Poreless Power Liquid 100ml</t>
  </si>
  <si>
    <t>8809416471655</t>
  </si>
  <si>
    <t>Cosrx Υγρό Τόνωσης Hydrium Watery 150ml</t>
  </si>
  <si>
    <t>8809598455382</t>
  </si>
  <si>
    <t>Cosrx Advanced Snail Mucin Power Essence Μάσκα Προσώπου για Θρέψη 25ml</t>
  </si>
  <si>
    <t>Cosrx Galactomyces 95 Tone Balancing Essence 100ml</t>
  </si>
  <si>
    <t>Cosrx Lotion Καθαρισμού Salicylic Acid 150ml</t>
  </si>
  <si>
    <t>8809416471112</t>
  </si>
  <si>
    <t>Cosrx Oil-Free Ultra Moisturising Lotion with Birch Sap 100ml</t>
  </si>
  <si>
    <t>8809416470559</t>
  </si>
  <si>
    <t>Cosrx Advanced Snail Mucin Gel Cleanser 150ml</t>
  </si>
  <si>
    <t>8809598452350</t>
  </si>
  <si>
    <t>Cosrx Aloe Αντηλιακή Κρέμα Προσώπου SPF50 50ml</t>
  </si>
  <si>
    <t>8809598454354</t>
  </si>
  <si>
    <t>Cosrx Advanced Snail Κρέμα Ματιών κατά των Μαύρων Κύκλων 25ml</t>
  </si>
  <si>
    <t>Cosrx Comfort Ceramide Ενυδατική Κρέμα Προσώπου με Ceramides 80gr</t>
  </si>
  <si>
    <t>Cosrx Clear Fit Master Μάσκα Προσώπου για Καθαρισμό 18τμχ</t>
  </si>
  <si>
    <t>Cosrx Gel Καθαρισμού Advanced Snail Mucin Power 150ml</t>
  </si>
  <si>
    <t>Cosrx AHA 7 Whitehead Power Peeling Προσώπου σε Lotion 100ml</t>
  </si>
  <si>
    <t>Cosrx Propolis Nourishing Magnet Μάσκα Προσώπου για Λάμψη 21ml</t>
  </si>
  <si>
    <t>Cosrx Vitamin Serum Προσώπου για Λάμψη</t>
  </si>
  <si>
    <t>Cosrx Balancium Comfort Ενυδατικό Gel Προσώπου με Ceramides 85ml</t>
  </si>
  <si>
    <t>Cosrx Lip Sleep Propolis Μάσκα Χειλιών για Ενυδάτωση 20gr</t>
  </si>
  <si>
    <t>Cosrx Advanced Snail Μάσκα Ματιών για Λάμψη / Αντιγήρανση 60τμχ</t>
  </si>
  <si>
    <t>Cosrx Low Ph Niacinamide Micellar Cleansing Water 400ml</t>
  </si>
  <si>
    <t>Cosrx The Niacinamide 15 Αντιγηραντικό Serum Προσώπου με Νιασιναμίδη 20ml</t>
  </si>
  <si>
    <t>Dymatize Creatine Monohydrate Unflavoured 300gr</t>
  </si>
  <si>
    <t>4029679676879</t>
  </si>
  <si>
    <t>Dymatize Creatine Monohydrate Unflavoured 500gr</t>
  </si>
  <si>
    <t>4029679676916</t>
  </si>
  <si>
    <t>Dymatize ISO 100 Hydrolyzed Πρωτεΐνη Ορού Γάλακτος Χωρίς Γλουτένη με Γεύση Gourmet Chocolate 932gr</t>
  </si>
  <si>
    <t>4029679676121</t>
  </si>
  <si>
    <t>Dymatize ISO 100 Hydrolyzed Πρωτεΐνη Ορού Γάλακτος Χωρίς Γλουτένη με Γεύση Chocolate Peanut 932gr</t>
  </si>
  <si>
    <t>4029679676367</t>
  </si>
  <si>
    <t>Dymatize ISO 100 Hydrolyzed Πρωτεΐνη Ορού Γάλακτος Χωρίς Γλουτένη με Γεύση Gourmet Chocolate 2.264kg</t>
  </si>
  <si>
    <t>4029679676145</t>
  </si>
  <si>
    <t>Dymatize ISO 100 Hydrolyzed Πρωτεΐνη Ορού Γάλακτος Χωρίς Γλουτένη με Γεύση Fudge Brownie 2.264kg</t>
  </si>
  <si>
    <t>4029679676466</t>
  </si>
  <si>
    <t>Dymatize ISO 100 Hydrolyzed Πρωτεΐνη Ορού Γάλακτος Χωρίς Γλουτένη με Γεύση Gourmet Vanilla 2.264kg</t>
  </si>
  <si>
    <t>4029679676183</t>
  </si>
  <si>
    <t xml:space="preserve">Dymatize ISO 100 Hydrolyzed Whey 932gr Fudge Brownie </t>
  </si>
  <si>
    <t xml:space="preserve">ISO 100 Clear Hydrolyzed Apple 900gr </t>
  </si>
  <si>
    <t>ISO 100 Clear Hydrolyzed Lemon 900gr</t>
  </si>
  <si>
    <t>Epsilon Health Effecol 3350 24 φακελίσκοι</t>
  </si>
  <si>
    <t>5213001490496</t>
  </si>
  <si>
    <t>Epsilon Health Effecol Prep 3350 4 φακελίσκοι</t>
  </si>
  <si>
    <t>5213001490373</t>
  </si>
  <si>
    <t>Epsilon Health Effecol Junior 3350 12 φακελίσκοι</t>
  </si>
  <si>
    <t>5213001490106</t>
  </si>
  <si>
    <t>Epsilon Health Effecol 3350 Junior Ειδικό Συμπλήρωμα Διατροφής 24 φακελίσκοι</t>
  </si>
  <si>
    <t>5213001490502</t>
  </si>
  <si>
    <t>Epsilon Health Effecol Fiber 14 φακελίσκοι</t>
  </si>
  <si>
    <t>5213001490434</t>
  </si>
  <si>
    <t>Epsilon Health Diosmin Plus Ειδικό Συμπλήρωμα Διατροφής 30 ταμπλέτες</t>
  </si>
  <si>
    <t>5213001490700</t>
  </si>
  <si>
    <t>Epsilon Health Arichol Jump Ειδικό Συμπλήρωμα Διατροφής 60 ταμπλέτες</t>
  </si>
  <si>
    <t>Epsilon Health Effecol 3350 Junior Jar Ειδικό Συμπλήρωμα Διατροφής 400gr</t>
  </si>
  <si>
    <t>Epsilon Health Silben Nano Repair Spray για Επούλωση &amp; Εγκαύματα 125ml</t>
  </si>
  <si>
    <t>Epsilon Health Effecol 3350 12 φακελίσκοι</t>
  </si>
  <si>
    <t>Eviol B-Complex Βιταμίνη για Ενέργεια, τα Μαλλιά &amp; τo Δέρμα 60 μαλακές κάψουλες</t>
  </si>
  <si>
    <t>5213004240036</t>
  </si>
  <si>
    <t>Eviol Vitamin B12 Βιταμίνη για Ενέργεια &amp; Ανοσοποιητικό 1000mg 30 μαλακές κάψουλες</t>
  </si>
  <si>
    <t>5213004240166</t>
  </si>
  <si>
    <t>Eviol Sleep Well Συμπλήρωμα για τον Ύπνο 60 μαλακές κάψουλες</t>
  </si>
  <si>
    <t>5213004240128</t>
  </si>
  <si>
    <t>Eviol Vitamin D3 Βιταμίνη για Ανοσοποιητικό 2200iu 60 μαλακές κάψουλες</t>
  </si>
  <si>
    <t>5213004240142</t>
  </si>
  <si>
    <t>Eviol MultiVitamin Energy Plus Βιταμίνη για Ενέργεια 30 μαλακές κάψουλες</t>
  </si>
  <si>
    <t>5213004240081</t>
  </si>
  <si>
    <t xml:space="preserve">Eviol Brain Function Συμπλήρωμα για την Μνήμη 30 μαλακές κάψουλες </t>
  </si>
  <si>
    <t>Eviol MultiVitamin Βιταμίνη για Ενέργεια 30 μαλακές κάψουλες</t>
  </si>
  <si>
    <t>Eviol Omega 3 Ιχθυέλαιο 1000mg 30 μαλακές κάψουλες</t>
  </si>
  <si>
    <t>Eviol Echinacea &amp; Vitamin C Συμπλήρωμα για την Ενίσχυση του Ανοσοποιητικού 30 μαλακές κάψουλες</t>
  </si>
  <si>
    <t>Eviol Mg Μαγνήσιο 350mg 30 κάψουλες</t>
  </si>
  <si>
    <t>Eviol Vitamin D3 Βιταμίνη για Ανοσοποιητικό 1200iu 60 μαλακές κάψουλες</t>
  </si>
  <si>
    <t>Eviol Sleep Well Συμπλήρωμα για τον Ύπνο 30 μαλακές κάψουλες</t>
  </si>
  <si>
    <t>Eviol B-Complex Βιταμίνη για Ενέργεια, τα Μαλλιά &amp; τo Δέρμα 30 μαλακές κάψουλες</t>
  </si>
  <si>
    <t xml:space="preserve">Frezyderm Prodilac Start Προβιοτικά για Παιδιά 30 φακελίσκοι </t>
  </si>
  <si>
    <t xml:space="preserve">Frezyderm Οδοντόκρεμα SensiTeeth 50ml 1000 ppm με Γεύση Strawberry </t>
  </si>
  <si>
    <t>Frezyderm Οδοντόκρεμα SensiTeeth 50ml 500 ppm με Γεύση Crazy Berry για 3+ χρονών</t>
  </si>
  <si>
    <t xml:space="preserve">Frezyderm Υγρό κατά της Ακμής Αc-Norm Active Cleanser AHA-BHA για Λιπαρές Επιδερμίδες 200ml </t>
  </si>
  <si>
    <t xml:space="preserve">Frezyderm Velvet Colors Light 30ml </t>
  </si>
  <si>
    <t xml:space="preserve">Frezyderm Velvet Colors Medium 30ml </t>
  </si>
  <si>
    <t xml:space="preserve">Frezyderm Αφρός Καθαρισμού Mild Wash για Ευαίσθητες Επιδερμίδες 150ml </t>
  </si>
  <si>
    <t>Frezyderm Sun Screen Color Velvet Αδιάβροχη Αντηλιακή Κρέμα Προσώπου SPF50 με Χρώμα 50ml</t>
  </si>
  <si>
    <t xml:space="preserve">Frezyderm Sun Screen Anti-Seb Αδιάβροχη Αντηλιακή Λοσιόν Προσώπου και Σώματος SPF30 σε Spray 150ml </t>
  </si>
  <si>
    <t xml:space="preserve">Frezyderm Sun Screen Color Velvet Αδιάβροχη Αντηλιακή Κρέμα Προσώπου SPF30 με Χρώμα 50ml </t>
  </si>
  <si>
    <t xml:space="preserve">Frezyderm Sun Screen Velvet Αδιάβροχη Αντηλιακή Κρέμα Προσώπου SPF30 50ml </t>
  </si>
  <si>
    <t xml:space="preserve">Frezyderm Velvet Stars Αντηλιακή Κρέμα για το Σώμα SPF50+ 175ml </t>
  </si>
  <si>
    <t xml:space="preserve">Frezyderm Active Sun Screen Innovative Tinted Fluid Αδιάβροχο Αντηλιακό Gel Προσώπου SPF50 με Χρώμα 50ml </t>
  </si>
  <si>
    <t xml:space="preserve">Frezyderm Αντηλιακό Προσώπου και Σώματος SPF50+ 200ml </t>
  </si>
  <si>
    <t xml:space="preserve">Frezyderm Sun Screen Velvet Αδιάβροχη Αντηλιακή Κρέμα Προσώπου SPF50 50ml </t>
  </si>
  <si>
    <t xml:space="preserve">Frezyderm Sea Side Dry Mist Αδιάβροχη Αντηλιακή Λοσιόν Προσώπου και Σώματος SPF50 σε Spray 300ml </t>
  </si>
  <si>
    <t xml:space="preserve">Frezyderm Crilen Εντομοαπωθητική Κρέμα σε Σωληνάριο Κατάλληλη για Παιδιά 125ml </t>
  </si>
  <si>
    <t xml:space="preserve">Frezyderm Crilen Adult Plus Άοσμη Εντομοαπωθητική Κρέμα 125ml </t>
  </si>
  <si>
    <t xml:space="preserve">Frezyderm Crilen Anti Mosquito 10% Άοσμο Εντομοαπωθητικό Γαλάκτωμα Κατάλληλο για Παιδιά 150ml </t>
  </si>
  <si>
    <t xml:space="preserve">Frezyderm Crilen Εντομοαπωθητικό Γαλάκτωμα Κατάλληλο για Παιδιά 50ml </t>
  </si>
  <si>
    <t xml:space="preserve">Frezyderm Crilen After Nip Gel για Μετά το Τσίμπημα σε Σωληνάριο Κατάλληλο για Παιδιά 30ml </t>
  </si>
  <si>
    <t xml:space="preserve">Frezyderm Crilen Ball Εντομοαπωθητικό Roll On Κατάλληλο για Παιδιά 50ml </t>
  </si>
  <si>
    <t>Frezyderm Sun Screen on the Move Αδιάβροχη Αντηλιακή Λοσιόν Προσώπου SPF50 σε Spray 75ml</t>
  </si>
  <si>
    <t>Frezyderm Αδιάβροχο Παιδικό Αντηλιακό Spray Kids Sun Care για Πρόσωπο &amp; Σώμα SPF50+ 275ml</t>
  </si>
  <si>
    <t>Frezyderm Active Innovative Black Αδιάβροχη Αντηλιακή Κρέμα Προσώπου SPF50 50ml</t>
  </si>
  <si>
    <t>Frezyderm Sensitive Teeth Οδοντόκρεμα για Ευαίσθητα Δόντια 75ml</t>
  </si>
  <si>
    <t>Frezyderm Black &amp; Polish Οδοντόκρεμα με Ενεργό Άνθρακα για Λεύκανση 75ml</t>
  </si>
  <si>
    <t>Frezyderm Whitening Οδοντόκρεμα Λεύκανσης 75ml</t>
  </si>
  <si>
    <t>5202888281013</t>
  </si>
  <si>
    <t>Frezyderm Instant Whitening Blue Οδοντόκρεμα για Λεύκανση 75ml</t>
  </si>
  <si>
    <t>5202888281006</t>
  </si>
  <si>
    <t>Frezyderm Plaque &amp; Tartar Οδοντόκρεμα για Πλάκα &amp; Τερηδόνα 75ml</t>
  </si>
  <si>
    <t>5202888281037</t>
  </si>
  <si>
    <t>Frezyderm Οδοντόκρεμα SensiTeeth First Toothpaste 40ml με Γεύση Crazy Berry για 6m+</t>
  </si>
  <si>
    <t>Frezyderm Intimeo Προβιοτικά 325mg 14 κάψουλες</t>
  </si>
  <si>
    <t>Frezyderm Hair Force Women Σαμπουάν κατά της Τριχόπτωσης για Όλους τους Τύπους Μαλλιών 200ml</t>
  </si>
  <si>
    <t xml:space="preserve">Frezyderm Every Day Σαμπουάν Καθημερινής Χρήσης για Εύθραυστα Μαλλιά 200ml </t>
  </si>
  <si>
    <t>Frezyderm Hair Force Men Σαμπουάν κατά της Τριχόπτωσης για Όλους τους Τύπους Μαλλιών 200ml</t>
  </si>
  <si>
    <t>Frezyderm Active Block Κρέμα Προσώπου Ημέρας με SPF25 για Αντιγήρανση με Υαλουρονικό Οξύ 50ml</t>
  </si>
  <si>
    <t>Frezyderm Crilen Anti Mosquito Plus 20% Άοσμο Εντομοαπωθητικό Γαλάκτωμα σε Spray Κατάλληλο για Παιδιά 100ml</t>
  </si>
  <si>
    <t>Frezyderm Gingivital Οδοντόκρεμα κατά της Ουλίτιδας 75ml</t>
  </si>
  <si>
    <t>Frezyderm dMannosa Συμπλήρωμα Διατροφής για την Υγεία του Ουροποιητικού Συστήματος 14 φακελίσκοι</t>
  </si>
  <si>
    <t>Frezyderm PeriodiGum Οδοντόκρεμα κατά της Περιοδοντίτιδας 75ml</t>
  </si>
  <si>
    <t>Frezyderm Periodigum Στοματικό Διάλυμα κατά της Πλάκας και της Περιοδοντίτιδας 250ml</t>
  </si>
  <si>
    <t>Frezyderm Homeopathy Οδοντόκρεμα 75ml</t>
  </si>
  <si>
    <t>Frezyderm Oxygen Pro Στοματικό Διάλυμα Καθημερινής Προστασίας κατά της Πλάκας 250ml</t>
  </si>
  <si>
    <t>Frezyderm Homeopathy Στοματικό Διάλυμα κατά της Πλάκας και της Κακοσμίας 250ml</t>
  </si>
  <si>
    <t>Frezyderm Hair Force Tabs Oral 60 ταμπλέτες</t>
  </si>
  <si>
    <t>Frezyderm Λοσιόν σε Spray για Πρόληψη Ενάντια στις Ψείρες Lice Rep Extreme Repellent 150ml</t>
  </si>
  <si>
    <t>Frezyderm Αντιφθειρικό Σαμπουάν , Χτενάκι &amp; Λοσιόν Lice Free Set για Παιδιά 250ml</t>
  </si>
  <si>
    <t xml:space="preserve">Frezyderm Gingivital Στοματικό Διάλυμα για την Ουλίτιδα κατά της Κακοσμίας 250ml </t>
  </si>
  <si>
    <t xml:space="preserve">Frezyderm Οδοντόκρεμα SensiTeeth Epismalto 50ml 1450 ppm με Γεύση Strawberry για 6+ χρονών </t>
  </si>
  <si>
    <t xml:space="preserve">Frezyderm Intim Area Foam pH 4 Αφρός Καθαρισμού 150ml </t>
  </si>
  <si>
    <t xml:space="preserve">Frezyderm Prodilac Kids Προβιοτικά για Παιδιά 30 μασώμενες ταμπλέτες Μανταρίνι </t>
  </si>
  <si>
    <t>Frezyderm Pregnancy Οδοντόκρεμα 75ml</t>
  </si>
  <si>
    <t xml:space="preserve">Frezyderm Intim Vaginal Douche Monodose Προβιοτικά &amp; Εχινάκεια pH 4.5 Υγρό Καθαρισμού με Χαμομήλι 150ml </t>
  </si>
  <si>
    <t xml:space="preserve">Frezyderm Scrub Προσώπου σε Gel για Ευαίσθητες Επιδερμίδες 100ml </t>
  </si>
  <si>
    <t xml:space="preserve">Frezyderm Diamond Velvet Κρέμα Προσώπου για Ενυδάτωση 50ml </t>
  </si>
  <si>
    <t xml:space="preserve">Frezyderm Cough Syrup Kids Σιρόπι για Παιδιά για Ξηρό και Παραγωγικό Βήχα χωρίς Γλουτένη Μέλι Φράουλα 182gr </t>
  </si>
  <si>
    <t xml:space="preserve">Frezyderm Cough Syrup Adults Σιρόπι για Ξηρό και Παραγωγικό Βήχα χωρίς Γλουτένη 182gr </t>
  </si>
  <si>
    <t xml:space="preserve">Frezyderm Anti-Wrinkle Rich Κρέμα Προσώπου Ημέρας για Αντιγήρανση &amp; Σύσφιξη 50ml </t>
  </si>
  <si>
    <t>Frezyderm Night Force A+E Rich Κρέμα Προσώπου Νυκτός για Ενυδάτωση &amp; Αντιγήρανση με Ρετινόλη 50ml</t>
  </si>
  <si>
    <t>Frezyderm Chlorhexene Pro 0.20% Στοματικό Διάλυμα κατά της Πλάκας και της Περιοδοντίτιδας 250ml</t>
  </si>
  <si>
    <t>Frezyderm Intim Vaginal Douche Monodose pH 9 Υγρό Καθαρισμού 150ml</t>
  </si>
  <si>
    <t>Frezyderm Intim Vaginal Douche Monodose με Ξύδι &amp; Εχινάκεια pH 3.5 Υγρό Καθαρισμού 150ml</t>
  </si>
  <si>
    <t>Frezyderm Plaque &amp; Tartar Στοματικό Διάλυμα κατά της Πλάκας και της Κακοσμίας 250ml</t>
  </si>
  <si>
    <t>Frezyderm Baby Bath με Χαμομήλι 300ml με Αντλία</t>
  </si>
  <si>
    <t>Frezyderm Baby Gums Gel Προϊόν για Ανακούφιση Ούλων 25ml</t>
  </si>
  <si>
    <t>Frezyderm Στοματικό Διάλυμα SensiTeeth 250ml με Γεύση Crazy Berry για 3+ χρονών</t>
  </si>
  <si>
    <t>Frezyderm Αφρός κατά της Ακμής Ac-Norm Active Foam Plus για Λιπαρές Επιδερμίδες 150ml</t>
  </si>
  <si>
    <t>Frezyderm Periodontitis Chlorhexene Gel 30ml</t>
  </si>
  <si>
    <t>Frezyderm Dermofilia Adults Αποσμητικό 24h σε Κρέμα Χωρίς Αλουμίνιο 40ml</t>
  </si>
  <si>
    <t>Frezyderm Prevenstria Κρέμα κατά των Ραγάδων Εγκυμοσύνης 150ml</t>
  </si>
  <si>
    <t>Frezyderm Velvet Colors Dark 30ml</t>
  </si>
  <si>
    <t>Frezyderm Κρέμα Θηλών Restructuring 40ml</t>
  </si>
  <si>
    <t>Frezyderm Reconstria Restructuring Κρέμα κατά των Ραγάδων Εγκυμοσύνης 75ml</t>
  </si>
  <si>
    <t>Frezyderm Sensitive Teeth Στοματικό Διάλυμα για Ευαίσθητα Δόντια 250ml</t>
  </si>
  <si>
    <t>Frezyderm Mediated Σαμπουάν κατά της Πιτυρίδας για Ξηρά Μαλλιά 200ml</t>
  </si>
  <si>
    <t>Frezyderm Atoprel Emollient Ενυδατικό Balm Σώματος για Ξηρές Επιδερμίδες 300ml</t>
  </si>
  <si>
    <t>Frezyderm Baby Oil για Ερεθισμούς 200ml</t>
  </si>
  <si>
    <t>Frezyderm Υγρό Καθαρισμού Mild Wash Liquid για Ευαίσθητες Επιδερμίδες 200ml</t>
  </si>
  <si>
    <t>Frezyderm Baby Shampoo με Χαμομήλι 300ml με Αντλία</t>
  </si>
  <si>
    <t>Frezyderm Odor Blocker Στοματικό Διάλυμα κατά της Κακοσμίας 250ml</t>
  </si>
  <si>
    <t>Frezyderm Sensitive Kids Less Is More Αποσμητικό σε Stick Χωρίς Αλουμίνιο 40ml</t>
  </si>
  <si>
    <t>Frezyderm Velvet Colors Liquid Foundation SPF50 30ml</t>
  </si>
  <si>
    <t>Frezyderm Sooth Balm Anti-Itching Cream 175ml</t>
  </si>
  <si>
    <t>Frezyderm Baby Foam με Χαμομήλι 150ml με Αντλία</t>
  </si>
  <si>
    <t>Frezyderm Chamomile Bath για Ατοπικό Δέρμα με Χαμομήλι 200ml</t>
  </si>
  <si>
    <t>Frezyderm Nazal Cleaner Allergy για την Αλλεργική Ρινίτιδα από 3 Ετών 30ml</t>
  </si>
  <si>
    <t>Frezyderm Nazal Cleaner Sinus Protect Ρινικό Σπρέι για Ιγμορίτιδα και Ωτίτιδα από 3 Ετών 30ml</t>
  </si>
  <si>
    <t>Frezyderm Nazal Cleaner Moist Ρινικό Σπρέι με Φυσιολογικό Ορό για Όλη την Οικογένεια από 3 Ετών 30ml</t>
  </si>
  <si>
    <t>Frezyderm Frezymar Cleaner Medium Ρινικό Σπρέι με Θαλασσινό Νερό για Όλη την Οικογένεια από 6 Ετών 120ml</t>
  </si>
  <si>
    <t>Frezyderm Invisible Αδιάβροχη Αντηλιακή Λοσιόν Προσώπου και Σώματος SPF50 σε Spray 200ml</t>
  </si>
  <si>
    <t>Frezyderm Hydroral Xero Οδοντόκρεμα για Πλάκα &amp; Τερηδόνα κατά της Ξηροστομίας 75ml</t>
  </si>
  <si>
    <t>Frezyderm Odor Blocker Οδοντόκρεμα κατά της Στοματικής Κακοσμίας &amp; της Δυσάρεστης Αναπνοής 75ml</t>
  </si>
  <si>
    <t>Frezyderm Line First Aid Butter Cream Προϊόν για Ανακούφιση από Χτυπήματα 50ml</t>
  </si>
  <si>
    <t>Frezyderm Hydra Milk για Ερεθισμούς 200ml</t>
  </si>
  <si>
    <t>Frezyderm Vitamin 5C3 Stable Αντιγηραντικό Serum Προσώπου με Βιταμίνη C &amp; Πεπτίδια για Αποτοξίνωση &amp; Λάμψη 30ml</t>
  </si>
  <si>
    <t>Frezyderm Intim Area Liquid Ph4.0 Υγρό Καθαριστικό Ευαίσθητης Περιοχής Τοπική Ξηρότητα 200ml</t>
  </si>
  <si>
    <t>Frezyderm Niacinamide 10% Αντιγηραντικό Serum Προσώπου με Νιασιναμίδη 30ml</t>
  </si>
  <si>
    <t>Frezyderm Body Shower Revitalizing Cleanser Αφρόλουτρο Χωρίς Άρωμα 200ml</t>
  </si>
  <si>
    <t>Frezyderm Diamond Velvet Κρέμα Προσώπου για Ενυδάτωση, Αντιγήρανση &amp; Σύσφιξη με Υαλουρονικό Οξύ 50ml</t>
  </si>
  <si>
    <t>Frezyderm Frezymar Baby Soft Hypertonic από 3 Μηνών 120ml</t>
  </si>
  <si>
    <t>Frezyderm Frezymar Cleaner Baby Soft Isotonic Ρινικό Σπρέι με Θαλασσινό Νερό για Βρέφη 120ml</t>
  </si>
  <si>
    <t>Frezyderm Αφρός Καθαρισμού Skin Cleanser Face and Body για Ευαίσθητες Επιδερμίδες 125ml</t>
  </si>
  <si>
    <t>Frezyderm Baby Κρέμα 175ml</t>
  </si>
  <si>
    <t xml:space="preserve">Frezyderm Moisturizing Rich Ενυδατική Κρέμα Προσώπου για Ξηρές Επιδερμίδες με Υαλουρονικό Οξύ 50ml </t>
  </si>
  <si>
    <t>Frezyderm Immuno Συμπλήρωμα για την Ενίσχυση του Ανοσοποιητικού 30 κάψουλες</t>
  </si>
  <si>
    <t>Frezyderm Anticort CE Κρέμα για Αλλεργίες 50ml</t>
  </si>
  <si>
    <t>Frezyderm Gel για Κυτταρίτιδα / Αδυνάτισμα Σώματος 200ml</t>
  </si>
  <si>
    <t>5202888227417</t>
  </si>
  <si>
    <t>Frezyderm Up Confidence Gel για Σύσφιξη 200ml</t>
  </si>
  <si>
    <t>5202888227400</t>
  </si>
  <si>
    <t>Frezyderm Abd Reform Cream Gel 200ml</t>
  </si>
  <si>
    <t>5202888227394</t>
  </si>
  <si>
    <t>Frezyderm Baby Sun Care Αδιάβροχο Βρεφικό Αντηλιακό Γαλάκτωμα για Πρόσωπο &amp; Σώμα SPF25 100ml</t>
  </si>
  <si>
    <t>Frezyderm Sun Screen Velvet Αδιάβροχη Αντηλιακή Κρέμα για το Σώμα SPF50 125ml</t>
  </si>
  <si>
    <t>Frezyderm Sun+Nip Αδιάβροχο Βρεφικό Αντηλιακό Γαλάκτωμα για Πρόσωπο &amp; Σώμα SPF50 175ml</t>
  </si>
  <si>
    <t>Frezyderm Diamond Κρέμα Προσώπου για Ενυδάτωση, Αντιγήρανση &amp; Λάμψη 50ml</t>
  </si>
  <si>
    <t>Frezyderm Diamond Velvet Gold Κρέμα Προσώπου για Ενυδάτωση, Αντιγήρανση &amp; Ανάπλαση με Υαλουρονικό Οξύ &amp; Κολλαγόνο 50ml</t>
  </si>
  <si>
    <t>Frezyderm Serum Φρυδιών &amp; Βλεφαρίδων 10ml</t>
  </si>
  <si>
    <t>Frezyderm Ice Eyes Stick Age Freezer Αντιγηραντικό &amp; Συσφικτικό Gel Ματιών κατά των Μαύρων Κύκλων 18ml</t>
  </si>
  <si>
    <t>Frezyderm Diamond Αντιγηραντικό Gel Ματιών κατά των Μαύρων Κύκλων 15ml</t>
  </si>
  <si>
    <t>Frezyderm Baby Talc Υγρή Πούδρα 150ml</t>
  </si>
  <si>
    <t>Frezyderm Hair Force Lotion κατά της Τριχόπτωσης Extra για Όλους τους Τύπους Μαλλιών 100ml</t>
  </si>
  <si>
    <t>Frezyderm Antidandruff Σαμπουάν κατά της Πιτυρίδας για Λιπαρά Μαλλιά 200ml</t>
  </si>
  <si>
    <t>Frezyderm Prelactic Ovules Balancing Care Κολπικά Υπόθετα Ενυδάτωσης</t>
  </si>
  <si>
    <t>Frezyderm Seb Excess Σαμπουάν για Όγκο για Λιπαρά Μαλλιά 200ml</t>
  </si>
  <si>
    <t>Frezyderm Atoprel Barrier Κρέμα Προσώπου &amp; Σώματος για Ατοπική Δερματίτιδα 150ml</t>
  </si>
  <si>
    <t>Frezyderm Prodilac Immuno Shield Fast Melt Προβιοτικά για Ενήλικες και Παιδιά 30 φακελίσκοι Ροδάκινο</t>
  </si>
  <si>
    <t>5202888320125</t>
  </si>
  <si>
    <t>Frezyderm Prodilac Immuno Shield Start με Προβιοτικά και Πρεβιοτικά για Παιδιά 30 φακελίσκοι</t>
  </si>
  <si>
    <t>5202888320118</t>
  </si>
  <si>
    <t>Frezyderm Vaginal Gel Rebound Healing pH 5.5 Gel Ενυδάτωσης Αιδοιοκολπική Γέλη Αποκατάστασης 50ml</t>
  </si>
  <si>
    <t>5202888227578</t>
  </si>
  <si>
    <t>Frezyderm Reconstria Κρέμα κατά των Ραγάδων Εγκυμοσύνης 200ml</t>
  </si>
  <si>
    <t>5202888223266</t>
  </si>
  <si>
    <t>Frezyderm Prevenstria Κρέμα κατά των Ραγάδων 200ml</t>
  </si>
  <si>
    <t>5202888223259</t>
  </si>
  <si>
    <t>Frezyderm Intim Aid Cranberry Foam Ph5.0 Αφρός Καθαρισμού Ευαίσθητης Περιοχής Διαταραχές Ουροποιητικού 100ml</t>
  </si>
  <si>
    <t>Frezyderm Aqua Care pH 7 Gel Ενυδάτωσης 50ml</t>
  </si>
  <si>
    <t>Frezyderm Intim Aid Cleanser για Καθαρισμό για την Ευαίσθητη Περιοχή 200ml</t>
  </si>
  <si>
    <t>Frezyderm Συσφικτικό Gel Ματιών κατά των Μαύρων Κύκλων 10ml</t>
  </si>
  <si>
    <t>Frezyderm Meno Συμπλήρωμα για την Εμμηνόπαυση 30 κάψουλες</t>
  </si>
  <si>
    <t>Froika Lotion Καθαρισμού Ac Face για Λιπαρές Επιδερμίδες 200ml</t>
  </si>
  <si>
    <t>5204799030162</t>
  </si>
  <si>
    <t>Froika Ρυθμιστικό Gel Προσώπου κατά των Ατελειών &amp; της Ερυθρότητας με Νιασιναμίδη &amp; Πρεβιοτικά 30ml</t>
  </si>
  <si>
    <t>5204799070090</t>
  </si>
  <si>
    <t>Froika Hyaluronic Silk Touch Αντηλιακή Κρέμα Προσώπου SPF50 50ml</t>
  </si>
  <si>
    <t>5204799010010</t>
  </si>
  <si>
    <t>Froika Lotion κατά της Τριχόπτωσης για Λεπτά Μαλλιά 100ml</t>
  </si>
  <si>
    <t>Froika Froipol Mild Antiseptic Liquid 200ml</t>
  </si>
  <si>
    <t>Froika Ultra Care Balm 400ml</t>
  </si>
  <si>
    <t>Froika Anti-Pigment Κρέμα Ματιών κατά των Μαύρων Κύκλων 15ml</t>
  </si>
  <si>
    <t>Froika Hyaluronic Silk Touch Sunscreen Anti-Spot Αδιάβροχη Αντηλιακή Κρέμα Προσώπου SPF50 50ml</t>
  </si>
  <si>
    <t>Froika 20% για Λιπαρό Δέρμα Με Τάση Ακμής Κρέμα Προσώπου κατά της Ακμής με Πρεβιοτικά 30ml</t>
  </si>
  <si>
    <t>Froika Hydrating Fluid Αντηλιακή Κρέμα για το Σώμα SPF50 250ml</t>
  </si>
  <si>
    <t>Froika Hyaluronic C SPF10 Ενυδατική &amp; Αντιγηραντική Κρέμα Ματιών με SPF10 κατά των Μαύρων Κύκλων για Λάμψη με Υαλουρονικό Οξύ &amp; Βιταμίνη C 15ml</t>
  </si>
  <si>
    <t>Froika AC 24ωρο Γαλάκτωμα Προσώπου για Ενυδάτωση, Ατέλειες &amp; Ακμή με Υαλουρονικό Οξύ 40ml</t>
  </si>
  <si>
    <t>Galenica Tasectan 500mg 15 κάψουλες</t>
  </si>
  <si>
    <t>Galenica Tasectan 200mg 20 φακελίσκοι</t>
  </si>
  <si>
    <t>Galenica Tributin Ειδικό Συμπλήρωμα Διατροφής 30 ταμπλέτες</t>
  </si>
  <si>
    <t>5214001346820</t>
  </si>
  <si>
    <t>Galenica Sililevo Θεραπεία 3.3ml</t>
  </si>
  <si>
    <t>8430308132318</t>
  </si>
  <si>
    <t>Galenica Aquasol Femina Αφρός Καθαρισμού με Αλόη 40ml</t>
  </si>
  <si>
    <t>5060204520860</t>
  </si>
  <si>
    <t>Galenica Aquasol Femina Vaginal Atrophy Κρέμα για Κολπική Ατροφία με Υαλουρονικό με Αλόη 30ml</t>
  </si>
  <si>
    <t>5060204521713</t>
  </si>
  <si>
    <t>Galenica Aquasol Femina Candidiasis Cream Gel για Μυκητιασική Κολπίτιδα με Υαλουρονικό &amp; Αλόη 30ml</t>
  </si>
  <si>
    <t>Podia Nails Intensive-Care Serum Σκληρυντικό με Βιταμίνες &amp; Κερατίνη με Πινέλο 10ml</t>
  </si>
  <si>
    <t>5206680000810</t>
  </si>
  <si>
    <t>Gehwol Επιθέματα Toe Protection Ring G με Gel για τους Κάλους Large 2τμχ 1126927</t>
  </si>
  <si>
    <t>4013474116494</t>
  </si>
  <si>
    <t>Gehwol Fusskraft Nail &amp; Skin Protection Σπρέι για Μύκητες Νυχιών 100ml</t>
  </si>
  <si>
    <t>4013474101476</t>
  </si>
  <si>
    <t>Gehwol Med Λαδάκι σε Σταγόνες Softener 15ml</t>
  </si>
  <si>
    <t>4013474117194</t>
  </si>
  <si>
    <t>Gehwol Refreshing Foot bath Άλατα Καθαρισμού Ποδιών με Ουρία 330gr</t>
  </si>
  <si>
    <t>4013474103548</t>
  </si>
  <si>
    <t>Gehwol Foot &amp; Shoe Αποσμητικό σε Spray για Μύκητες Ποδιών 150ml</t>
  </si>
  <si>
    <t>4013474113103</t>
  </si>
  <si>
    <t>Gehwol Softening Ενυδατικό Balm Ποδιών με Ουρία 125ml</t>
  </si>
  <si>
    <t>4013474103494</t>
  </si>
  <si>
    <t>Gehwol Extra Ενυδατική Κρέμα Ποδιών 75ml</t>
  </si>
  <si>
    <t>4013474113219</t>
  </si>
  <si>
    <t>Gehwol Footcream Ενυδατική Κρέμα Ανάπλασης Ποδιών 75ml</t>
  </si>
  <si>
    <t>4013474113233</t>
  </si>
  <si>
    <t>Gehwol Στυλό Ποδιών 3ml</t>
  </si>
  <si>
    <t>4013474107140</t>
  </si>
  <si>
    <t>Gehwol Med Callus Κρέμα για Κάλους, Σκληρύνσεις με Ουρία 75ml</t>
  </si>
  <si>
    <t>4013474117125</t>
  </si>
  <si>
    <t>Gehwol Διαχωριστικά Correction Ring G με Gel για τη Σφυροδακτυλία 3τμχ 1126901</t>
  </si>
  <si>
    <t>4013474116388</t>
  </si>
  <si>
    <t>Gehwol Μαξιλαράκι Metatarsal Cushion με Gel για το Μετατάρσιο 1τμχ 1126801</t>
  </si>
  <si>
    <t>4013474116302</t>
  </si>
  <si>
    <t>Gehwol Διαχωριστικά Toe Divider με Gel για τους Κάλους Small 3τμχ 1126809</t>
  </si>
  <si>
    <t>4013474116357</t>
  </si>
  <si>
    <t>Gehwol Med Foot Cream Αποσμητικό 24h σε Κρέμα για Μύκητες Ποδιών 75ml</t>
  </si>
  <si>
    <t>4013474117255</t>
  </si>
  <si>
    <t>Gehwol Λαδάκι με Βιταμίνες σε Σταγόνες 15ml</t>
  </si>
  <si>
    <t>4013474103173</t>
  </si>
  <si>
    <t>Gehwol Med Protective Nail &amp; Skin Κρέμα για Μύκητες Νυχιών 15ml</t>
  </si>
  <si>
    <t>4013474117132</t>
  </si>
  <si>
    <t>Gehwol Med Λαδάκι για Επωνύχια σε Σταγόνες Protective Nail &amp; Skin 15ml</t>
  </si>
  <si>
    <t>4013474117071</t>
  </si>
  <si>
    <t>Gehwol Med Salve for Cracked Skin Ενυδατική Κρέμα για Σκασμένες Φτέρνες 75ml</t>
  </si>
  <si>
    <t>Gehwol Foot Bath Άλατα Καθαρισμού Ποδιών 200gr</t>
  </si>
  <si>
    <t>Gehwol Μαξιλαράκια Metatarsal Cushion G με Gel για το Μετατάρσιο Small 2τμχ 1126904</t>
  </si>
  <si>
    <t>Gehwol Διαχωριστικά Toe Separator G με Gel για τους Κάλους Medium 3τμχ 1126913</t>
  </si>
  <si>
    <t>Gehwol Διαχωριστικά Toe Divider GD με Gel για το Κότσι Medium 3τμχ 1126929</t>
  </si>
  <si>
    <t>Gehwol Med Lipidro Ενυδατική Κρέμα Ποδιών με Ουρία 75ml</t>
  </si>
  <si>
    <t>4013474117040</t>
  </si>
  <si>
    <t>Health Pro D-mannose + Cranberry 14 φακελίσκοι</t>
  </si>
  <si>
    <t>5214002572358</t>
  </si>
  <si>
    <t>Health Pro Magnesium Liquid 815mg 20 φακελίσκοι</t>
  </si>
  <si>
    <t>5214002572020</t>
  </si>
  <si>
    <t>Health Pro Vitamin C 1000 &amp; Zinc &amp; Selenium &amp; D3 Βιταμίνη για Ενίσχυση του Ανοσοποιητικού, τo Δέρμα &amp; Αντιοξειδωτική δράση 30 φακελίσκοι</t>
  </si>
  <si>
    <t>5214002572051</t>
  </si>
  <si>
    <t>Health Pro Energy Max 1000mg Ειδικό Συμπλήρωμα Διατροφής 20 φακελίσκοι</t>
  </si>
  <si>
    <t>5214002572211</t>
  </si>
  <si>
    <t>Health Pro Βιταμίνη B12 για την Υγεία του Νευρικού Συστήματος 1000mg Μήλο 30 φακελίσκοι</t>
  </si>
  <si>
    <t>5214002572204</t>
  </si>
  <si>
    <t>Health Pro Vitamin C 1000 &amp; Zinc &amp; Selenium &amp; D3 Βιταμίνη για Ενίσχυση του Ανοσοποιητικού, τo Δέρμα &amp; Αντιοξειδωτική δράση 30 ταμπλέτες</t>
  </si>
  <si>
    <t>5214002572129</t>
  </si>
  <si>
    <t>Health Pro Direct 375mg 30 φακελίσκοι</t>
  </si>
  <si>
    <t>5214002572402</t>
  </si>
  <si>
    <t>Health Pro Vitamin C Βιταμίνη για Ενίσχυση του Ανοσοποιητικού, τo Δέρμα &amp; Αντιοξειδωτική δράση 1000mg 20 ταμπλέτες 20 αναβράζοντα δισκία</t>
  </si>
  <si>
    <t>5214002572341</t>
  </si>
  <si>
    <t>Health Pro Total Support Πολυβιταμίνη για Ενέργεια 30 φακελίσκοι</t>
  </si>
  <si>
    <t>5214002572419</t>
  </si>
  <si>
    <t>Health Pro Multi-Vitamins Total Support Πολυβιταμίνη για Ενίσχυση του Ανοσοποιητικού 30 ταμπλέτες</t>
  </si>
  <si>
    <t>5214002572136</t>
  </si>
  <si>
    <t>Health Pro Iron Direct Fe + Vitamin C 30 φακελίσκοι</t>
  </si>
  <si>
    <t>5214002572242</t>
  </si>
  <si>
    <t>Health Pro Sweet Dreams Συμπλήρωμα για τον Ύπνο 30 φακελίσκοι</t>
  </si>
  <si>
    <t>5214002572143</t>
  </si>
  <si>
    <t>Health Pro Probio-orobiotic με Προβιοτικά και Πρεβιοτικά 20 φακελίσκοι Μήλο</t>
  </si>
  <si>
    <t>5214002572228</t>
  </si>
  <si>
    <t>Health Pro Energy Power Plus Ειδικό Συμπλήρωμα Διατροφής 15ml 20 φακελίσκοι</t>
  </si>
  <si>
    <t>5214002572365</t>
  </si>
  <si>
    <t>Health Pro Magnesium + B6 30 κάψουλες</t>
  </si>
  <si>
    <t>5214002572037</t>
  </si>
  <si>
    <t>Health Pro Hair and Nails Ειδικό Συμπλήρωμα Διατροφής 30 κάψουλες</t>
  </si>
  <si>
    <t>5214002572372</t>
  </si>
  <si>
    <t>Health Pro Βιταμίνη D3 για Ενίσχυση του Ανοσοποιητικού &amp; την Υγεία των Οστών 2200iu 30 φακελίσκοι</t>
  </si>
  <si>
    <t>5214002572259</t>
  </si>
  <si>
    <t>Health Pro Βιταμίνη B 30 φακελίσκοι</t>
  </si>
  <si>
    <t>5214002572334</t>
  </si>
  <si>
    <t>Health Pro Stress Συμπλήρωμα για το Άγχος 30 κάψουλες</t>
  </si>
  <si>
    <t>5214002572099</t>
  </si>
  <si>
    <t>Health Sign Βιταμίνη για Ανοσοποιητικό 2000iu 120 ταμπλέτες</t>
  </si>
  <si>
    <t>5200414000084</t>
  </si>
  <si>
    <t>Health Sign Arthro Health Συμπλήρωμα για την Υγεία των Αρθρώσεων 60 κάψουλες</t>
  </si>
  <si>
    <t>5200414000152</t>
  </si>
  <si>
    <t>Health Sign Magnesium (Citrate) 150mg 90 κάψουλες</t>
  </si>
  <si>
    <t>5200414000091</t>
  </si>
  <si>
    <t>Health Sign L-Glutamine 125gr</t>
  </si>
  <si>
    <t>5200414000060</t>
  </si>
  <si>
    <t>Health Sign Panhealth Ισχυρή Φόρμουλα Βασισμένη στην Ελιά &amp; το Ρόδι 30 κάψουλες</t>
  </si>
  <si>
    <t>5200414000015</t>
  </si>
  <si>
    <t>Health Sign Βιταμίνη για Ενέργεια &amp; Ανοσοποιητικό 60 κάψουλες</t>
  </si>
  <si>
    <t>5200414000114</t>
  </si>
  <si>
    <t>Health Sign Alexin 90 κάψουλες</t>
  </si>
  <si>
    <t>Health Sign Super Antioxidant 120 κάψουλες</t>
  </si>
  <si>
    <t>Health Sign Free Form Amino Acids 120 tabs 120 Κάψουλες Unflavoured</t>
  </si>
  <si>
    <t>5200414000039</t>
  </si>
  <si>
    <t>Health Sign Vitamin C Plus Βιταμίνη για Ενίσχυση του Ανοσοποιητικού, τo Δέρμα &amp; Αντιοξειδωτική δράση 90 κάψουλες</t>
  </si>
  <si>
    <t>5200414000053</t>
  </si>
  <si>
    <t>Health Sign HS B12 Βιταμίνη για την Υγεία του Νευρικού Συστήματος 1000mcg Raspberry 30 υπογλώσσια δισκία</t>
  </si>
  <si>
    <t>e</t>
  </si>
  <si>
    <t>Intermed Luxurious Suncare Αντηλιακή Κρέμα Προσώπου SPF50 75ml</t>
  </si>
  <si>
    <t>Intermed Luxurious Suncare Αντηλιακή Κρέμα για το Σώμα SPF50 σε Spray 100ml</t>
  </si>
  <si>
    <t>Intermed Luxurious Suncare Αντηλιακή Κρέμα για το Σώμα SPF30 σε Spray 100ml</t>
  </si>
  <si>
    <t>Intermed AntiGas Adults 20τμχ</t>
  </si>
  <si>
    <t>Intermed Chlorhexil 0.20% Spray Στοματικό Διάλυμα κατά της Πλάκας 60ml</t>
  </si>
  <si>
    <t>Intermed Chlorhexil-F 0.025% Στοματικό Διάλυμα Καθημερινής Προστασίας κατά της Πλάκας και της Κακοσμίας 250ml</t>
  </si>
  <si>
    <t>Intermed Chlorhexil 0.20% Toothpaste Long Use Κατά της Ουλοοδοντικής Πλάκας 100ml</t>
  </si>
  <si>
    <t>Intermed Eva Intima Mycosis Disorders Κολπικά Υπόθετα με Χαμομήλι 10τμχ</t>
  </si>
  <si>
    <t>Intermed Rizolyte 6 φακελίσκοι</t>
  </si>
  <si>
    <t>Intermed Chlorhexil Dental Conditioner Στοματικό Διάλυμα κατά της Κακοσμίας 50ml</t>
  </si>
  <si>
    <t>Intermed Eva Intima Hydrasept Minor Discomfort pH 3.5 Υγρό Καθαρισμού 250ml</t>
  </si>
  <si>
    <t>Intermed Eva Douche Minor Discomfort Chamomile pH 4.2 για Καθαρισμό για την Ευαίσθητη Περιοχή με Χαμομήλι και Αλόη 147ml</t>
  </si>
  <si>
    <t>Intermed Intima Biolact Disorders pH 3.5 Υγρό Καθαρισμού με Αλόη 250ml</t>
  </si>
  <si>
    <t>Intermed Eva Intima Special Period pH 3.5 Υγρό Καθαρισμού με Χαμομήλι και Αλόη 250ml</t>
  </si>
  <si>
    <t>Intermed Chlorhexil F Οδοντόκρεμα κατά της Ουλίτιδας 100ml</t>
  </si>
  <si>
    <t>Intermed Chlorhexil 0.12% Long Use Οδοντόκρεμα κατα της Πλάκας Ουλοοδοντικής 100ml</t>
  </si>
  <si>
    <t>Intermed Chlorhexil 0.12% Long Use Mouthwash Στοματικό Διάλυμα κατά της Πλάκας 250ml</t>
  </si>
  <si>
    <t>Intermed Chlorhexil 0.20% Long Use Στοματικό Διάλυμα κατά της Πλάκας 250ml</t>
  </si>
  <si>
    <t>Intermed Hy + Al Gel 30gr</t>
  </si>
  <si>
    <t>Intermed Calmodent Gel 75ml</t>
  </si>
  <si>
    <t>Intermed AntiGas Pepsis 14 αναβράζοντα δισκία Λεμόνι</t>
  </si>
  <si>
    <t xml:space="preserve">Intermed Eva Intima Daily Wellness Normal Douche Κολπική Πλύση pH 3 Υγρό Καθαρισμού 147ml </t>
  </si>
  <si>
    <t>Intermed Eva Intima Original pH 3.5 Υγρό Καθαρισμού με Χαμομήλι και Αλόη 250ml</t>
  </si>
  <si>
    <t xml:space="preserve">Intermed Eva Intima Biolact Disorders 20 κάψουλες </t>
  </si>
  <si>
    <t xml:space="preserve">Intermed Unisept Οδοντόκρεμα για Ουλίτιδα , Πλάκα &amp; Τερηδόνα 100ml </t>
  </si>
  <si>
    <t>Intermed Eva Constipation Lax Υπόθετα 10τμχ</t>
  </si>
  <si>
    <t>Intermed Eva Intima Menofix Period Patch Επίθεμα για τους Πόνους της Περιόδου 1τμχ</t>
  </si>
  <si>
    <t>Intermed Luxurious Suncare Αντηλιακό Stick Προσώπου SPF50 16gr</t>
  </si>
  <si>
    <t>InterMed Babyderm Αδιάβροχο Παιδικό Αντηλιακό Spray για Πρόσωπο &amp; Σώμα SPF50 200ml &amp; Δώρο Μπάλα Θαλάσσης</t>
  </si>
  <si>
    <t>InterMed Luxurious SunCare Αντηλιακό SPF50 30ml</t>
  </si>
  <si>
    <t>Intermed Eva Intima Biolact Ovules Disosrders 10τμχ</t>
  </si>
  <si>
    <t>Intermed Calmovix Spray Μέλι 40ml</t>
  </si>
  <si>
    <t>Intermed Eva Intima Cransept Urinary Care pH 3.5 Υγρό Καθαρισμού 250ml</t>
  </si>
  <si>
    <t>Intermed Euderma 100gr</t>
  </si>
  <si>
    <t>Intermed Eva Belle Age Defying Μάσκα Ματιών για Λάμψη</t>
  </si>
  <si>
    <t>Intermed X-Cort Κρέμα για Αλλεργίες 50ml</t>
  </si>
  <si>
    <t>Intermed Luxurious Suncare Αντηλιακή Κρέμα για το Σώμα SPF30 200ml</t>
  </si>
  <si>
    <t>Intermed Luxurious Suncare Αντηλιακή Κρέμα για το Σώμα SPF50 200ml</t>
  </si>
  <si>
    <t>Intermed Luxurious SunCare After Sun Gel για Πρόσωπο και Σώμα με Υαλουρονικό Οξύ 150ml</t>
  </si>
  <si>
    <t>Intermed Luxurious Sun Care Αδιάβροχη Αντηλιακή Κρέμα Προσώπου SPF50 με Χρώμα Bronze Beige 75ml</t>
  </si>
  <si>
    <t>InterMed Luxurious SunCare Αντηλιακή Κρέμα Προσώπου SPF50 με Χρώμα Natural Beige 75ml</t>
  </si>
  <si>
    <t>Intermed Face Water Ενυδάτωσης Luxurious Suncare Hydrating Antioxidant 200ml</t>
  </si>
  <si>
    <t>Intermed Unisept Mouthwash Στοματικό Διάλυμα 250ml</t>
  </si>
  <si>
    <t>Intermed Luxurious Suncare Αντηλιακή Κρέμα για το Σώμα SPF50 σε Spray 200ml</t>
  </si>
  <si>
    <t>Intermed Hangover Recovery 6 υπογλώσσιες ταινίες</t>
  </si>
  <si>
    <t>Intermed Semed 200mg Οργανικό Σελήνιο 30 ταμπλέτες</t>
  </si>
  <si>
    <t>Intermed Unisept Otic Σταγόνες για Καθαρισμός Αυτιών 10ml</t>
  </si>
  <si>
    <t>InterMed Eva Intima Baking Soda Douche Disorders pH 9 Υγρό Καθαρισμού 147ml</t>
  </si>
  <si>
    <t>InterMed Chlorhexil Μεσοδόντια Βουρτσάκια με Λαβή 0.6mm Γαλάζια 5τμχ</t>
  </si>
  <si>
    <t>InterMed Ergonomic InterBrush Μεσοδόντια Βουρτσάκια με Λαβή 1.1mm Μωβ 5τμχ</t>
  </si>
  <si>
    <t>InterMed Chlorhexil Μεσοδόντια Βουρτσάκια με Λαβή 0.8mm Πράσινα 5τμχ</t>
  </si>
  <si>
    <t>5205152016397</t>
  </si>
  <si>
    <t>InterMed Skin Pharmacist Ηydra Boost Probiotics 24ωρη Ενυδατική Κρέμα Προσώπου με Υαλουρονικό Οξύ &amp; Πρεβιοτικά 50ml</t>
  </si>
  <si>
    <t>InterMed The Skin Pharmacist 24ωρη Ενυδατική Κρέμα Προσώπου με Υαλουρονικό Οξύ 50ml</t>
  </si>
  <si>
    <t>5205152012948</t>
  </si>
  <si>
    <t>InterMed Υγρό Καθαρισμού Skin Pharmacist για Ευαίσθητες Επιδερμίδες 100ml</t>
  </si>
  <si>
    <t>5205152015918</t>
  </si>
  <si>
    <t>InterMed The Skin Pharmacist 24ωρη Κρέμα Προσώπου κατά της Ερυθρότητας με Υαλουρονικό Οξύ &amp; Aloe Vera 50ml</t>
  </si>
  <si>
    <t>5205152012924</t>
  </si>
  <si>
    <t>InterMed The Skin Pharmacist Ενυδατικό &amp; Αντιγηραντικό Serum Ματιών 30ml</t>
  </si>
  <si>
    <t>5205152018926</t>
  </si>
  <si>
    <t>InterMed Skin Pharmacist Αge Active Κρέμα Προσώπου με SPF15 κατά των Ατελειών &amp; των Πανάδων με Υαλουρονικό Οξύ &amp; Κολλαγόνο 50ml</t>
  </si>
  <si>
    <t>5205152012931</t>
  </si>
  <si>
    <t>Intermed Luxurious Suncare Hydrating Antioxidant After Sun Lotion για Πρόσωπο και Σώμα με Ιαματικό Νερό &amp; Υαλουρονικό Οξύ Spray 50ml</t>
  </si>
  <si>
    <t>5205152018193</t>
  </si>
  <si>
    <t>InterMed The Skin Pharmacist Sos Bites Gel για Μετά το Τσίμπημα σε Roll On/Stick Κατάλληλο για Παιδιά 10ml</t>
  </si>
  <si>
    <t>InterMed Hydra Boost Probiotics Cleansing Foam 150ml</t>
  </si>
  <si>
    <t>Intermed Luxurious Suncare Αντηλιακή Κρέμα για το Σώμα SPF30 σε Spray 200ml</t>
  </si>
  <si>
    <t>InterMed Chlorhexil Extra Mouthwash Στοματικό Διάλυμα 250ml</t>
  </si>
  <si>
    <t>5205152017875</t>
  </si>
  <si>
    <t>Intermed Periofix Plus 30ml</t>
  </si>
  <si>
    <t>5205152017141</t>
  </si>
  <si>
    <t>Intermed Professional Ergonomic Toothbrush Medium Μωβ</t>
  </si>
  <si>
    <t>5205152011576</t>
  </si>
  <si>
    <t>Intermed Professional Ergonomic Toothbrush Extra Soft Λευκό</t>
  </si>
  <si>
    <t>5205152011460</t>
  </si>
  <si>
    <t>Intermed Professional Ergonomic Toothbrush Soft Κόκκινο</t>
  </si>
  <si>
    <t>5205152011453</t>
  </si>
  <si>
    <t>Intermed Professional Ergonomic Toothbrush Soft Μπλε</t>
  </si>
  <si>
    <t>5205152011569</t>
  </si>
  <si>
    <t>Intermed D3 Fix Drops Βιταμίνη για Ανοσοποιητικό 200iu 30ml</t>
  </si>
  <si>
    <t>Intermed Professional Ergonomic Toothbrush Medium Καφέ</t>
  </si>
  <si>
    <t>Intermed Chlorhexil Μεσοδόντια Βουρτσάκια με Λαβή 0.6mm Μπλε 5τμχ</t>
  </si>
  <si>
    <t>Intermed Chlorhexil Μεσοδόντια Βουρτσάκια με Λαβή 1mm Μωβ 5τμχ</t>
  </si>
  <si>
    <t>Intermed Unisept Dental Cleanser Στοματικό Διάλυμα Καθημερινής Προστασίας κατά της Πλάκας και της Κακοσμίας 250ml</t>
  </si>
  <si>
    <t>Intermed Chlorhexil Μεσοδόντια Βουρτσάκια με Λαβή 1.2mm Γκρι 5τμχ</t>
  </si>
  <si>
    <t>InterMed Ergonomic InterBrush Μεσοδόντια Βουρτσάκια με Λαβή 0.7mm Κίτρινα 5τμχ</t>
  </si>
  <si>
    <t>Intermed Professional Ergonomic Toothbrush Medium Μαύρο</t>
  </si>
  <si>
    <t>Intermed Ergonomic Μεσοδόντιες Οδοντογλυφίδες Λευκές 60τμχ</t>
  </si>
  <si>
    <t>InterMed Bioticfix During &amp; After Προβιοτικά 10 κάψουλες</t>
  </si>
  <si>
    <t>Intermed Eva Intima Moist Long Acting pH 3 Gel Ενυδάτωσης με Χαμομήλι και Αλόη 9 x 2ml</t>
  </si>
  <si>
    <t>Intermed Eva Intima Moist pH 5.5 Gel Ενυδάτωσης με Χαμομήλι και Αλόη 9 x 5gr</t>
  </si>
  <si>
    <t>Intermed Eva Intima Herbosept Minor Discomfort pH 3.5 Υγρό Καθαρισμού με Χαμομήλι και Αλόη 250ml</t>
  </si>
  <si>
    <t>Intermed Unisept Implants Στοματικό Διάλυμα Καθημερινής Προστασίας κατά της Πλάκας 250ml</t>
  </si>
  <si>
    <t>InterMed Chlorhexil 0.12% Στοματικό Διάλυμα για την Ουλίτιδα, κατά της Πλάκας &amp; της Κακοσμίας 250ml</t>
  </si>
  <si>
    <t>InterMed Eva Intima Cervasil Granules Disorders Συμπλήρωμα για την Ενίσχυση του Ανοσοποιητικού 30 φακελίσκοι</t>
  </si>
  <si>
    <t>5205152018889</t>
  </si>
  <si>
    <t>Italfarmaco Iofolen Συμπλήρωμα για την Εγκυμοσύνη 30 κάψουλες</t>
  </si>
  <si>
    <t>8024790271008</t>
  </si>
  <si>
    <t>Italfarmaco Inofert Combi HP 20 κάψουλες</t>
  </si>
  <si>
    <t>5214001561957</t>
  </si>
  <si>
    <t>Italfarmaco Inofert 30 φακελάκια</t>
  </si>
  <si>
    <t>8024790231033</t>
  </si>
  <si>
    <t>Italfarmaco Inofert HP 20 φακελίσκοι</t>
  </si>
  <si>
    <t>5214001561940</t>
  </si>
  <si>
    <t>Italfarmaco Iofolen Lactancia 60κάψουλες</t>
  </si>
  <si>
    <t>8024790301002</t>
  </si>
  <si>
    <t>Italfarmaco Floja Plus Συμπλήρωμα για την Εμμηνόπαυση 30 κάψουλες</t>
  </si>
  <si>
    <t>8024790281007</t>
  </si>
  <si>
    <t xml:space="preserve">Italfarmaco Floja Night 8PN 30 κάψουλες </t>
  </si>
  <si>
    <t>Italfarmaco Prodefen Plus με Προβιοτικά και Πρεβιοτικά 10 φακελίσκοι</t>
  </si>
  <si>
    <t>Italfarmaco Inofert Combi Συμπλήρωμα για την Εγκυμοσύνη 20 κάψουλες</t>
  </si>
  <si>
    <t>Lamberts Glucosamine Complete Vegan Συμπλήρωμα για την Υγεία Αρθρώσεων &amp; Οστών 60 ταμπλέτες</t>
  </si>
  <si>
    <t>5055148413705</t>
  </si>
  <si>
    <t>Lamberts Vitamin D3 Βιταμίνη για Ανοσοποιητικό 4000iu 30 κάψουλες</t>
  </si>
  <si>
    <t>5055148411473</t>
  </si>
  <si>
    <t>Lamberts A To Z Multivitamins Βιταμίνη για Ενέργεια 60 ταμπλέτες</t>
  </si>
  <si>
    <t>5055148412135</t>
  </si>
  <si>
    <t>Lamberts Ginkgo Biloba 6000mg 30 ταμπλέτες</t>
  </si>
  <si>
    <t>5055148405588</t>
  </si>
  <si>
    <t>Lamberts Maximum Strength Pure Fish Oil Ιχθυέλαιο 1100mg 60 κάψουλες</t>
  </si>
  <si>
    <t>5055148410575</t>
  </si>
  <si>
    <t>Lamberts Milk Thistle 8500mg Γαϊδουράγκαθο 90 ταμπλέτες</t>
  </si>
  <si>
    <t>5055148403508</t>
  </si>
  <si>
    <t>Lamberts MagAsorb 150mg 60 ταμπλέτες</t>
  </si>
  <si>
    <t>5055148410605</t>
  </si>
  <si>
    <t>Lamberts Vitamin B12 Βιταμίνη για την Υγεία του Νευρικού Συστήματος 1000mcg 30 ταμπλέτες</t>
  </si>
  <si>
    <t>5055148411497</t>
  </si>
  <si>
    <t>Lamberts Vitamin D3 1000iu &amp; K2 90µg Βιταμίνη για Ανοσοποιητικό 1000iu 60 κάψουλες</t>
  </si>
  <si>
    <t>5055148411381</t>
  </si>
  <si>
    <t>Lamberts Acidophilus Extra 10 Προβιοτικά 30 κάψουλες</t>
  </si>
  <si>
    <t>5055148411534</t>
  </si>
  <si>
    <t>Lamberts Zinc (as Citrate) 25mg 120 ταμπλέτες</t>
  </si>
  <si>
    <t>5055148410032</t>
  </si>
  <si>
    <t>Lamberts Vitamin C Time Βιταμίνη για Ενέργεια &amp; Ανοσοποιητικό 1000mg 30 ταμπλέτες</t>
  </si>
  <si>
    <t>5055148407049</t>
  </si>
  <si>
    <t>Lamberts Multi-Guard Πολυβιταμίνη για Ενέργεια, Ενίσχυση του Ανοσοποιητικού &amp; το Νευρικό Σύστημα 30 ταμπλέτες</t>
  </si>
  <si>
    <t>5055148411985</t>
  </si>
  <si>
    <t>Lamberts Vitamin B-50 Complex Βιταμίνη για Ενέργεια, Ενίσχυση του Ανοσοποιητικού &amp; το Νευρικό Σύστημα 60 ταμπλέτες</t>
  </si>
  <si>
    <t>5055148400217</t>
  </si>
  <si>
    <t>Lamberts Vitamin D3 Βιταμίνη για Ανοσοποιητικό 1000iu 30 κάψουλες</t>
  </si>
  <si>
    <t>5055148411480</t>
  </si>
  <si>
    <t>Lamberts Vitamin D3 Βιταμίνη για Ανοσοποιητικό 2000iu 30 κάψουλες</t>
  </si>
  <si>
    <t>5055148413248</t>
  </si>
  <si>
    <t>Lamberts Acidophilus Extra 4 Προβιοτικά 30 κάψουλες</t>
  </si>
  <si>
    <t>5055148411558</t>
  </si>
  <si>
    <t>Lamberts Cranberry 18.75mg 60 κάψουλες</t>
  </si>
  <si>
    <t>5055148414177</t>
  </si>
  <si>
    <t>Lamberts Multi-Guard ADR Βιταμίνη για Ενέργεια 60 ταμπλέτες</t>
  </si>
  <si>
    <t>5055148412708</t>
  </si>
  <si>
    <t>Lamberts Probioguard Προβιοτικά 60 κάψουλες</t>
  </si>
  <si>
    <t>Lamberts Ubiquinol 100mg 60 κάψουλες</t>
  </si>
  <si>
    <t>Lamberts Digestizyme 100 κάψουλες</t>
  </si>
  <si>
    <t>Marvis Amarelli Licorice + Xylitol 85ml</t>
  </si>
  <si>
    <t>Marvis Sensitive Gums Gentle Mint Οδοντόκρεμα για Ουλίτιδα &amp; Πλάκα 75ml</t>
  </si>
  <si>
    <t>8004395112425</t>
  </si>
  <si>
    <t>Marvis Karakum Limited Edition 75ml</t>
  </si>
  <si>
    <t>8004395111688</t>
  </si>
  <si>
    <t>Marvis Cinnamon + Xylitol Προστασία χωρίς Ερεθισμούς 85ml</t>
  </si>
  <si>
    <t>8004395111763</t>
  </si>
  <si>
    <t>Marvis Ginger + Xylitol Οδοντόκρεμα για Ουλίτιδα , Πλάκα &amp; Τερηδόνα 85ml</t>
  </si>
  <si>
    <t>8004395111732</t>
  </si>
  <si>
    <t>Marvis Classic Strong Mint Οδοντόκρεμα για Πλάκα &amp; Τερηδόνα Classic Strong Mint 85ml</t>
  </si>
  <si>
    <t>8004395111701</t>
  </si>
  <si>
    <t>Marvis Concentrated Mouthwash Strong Mint 120ml</t>
  </si>
  <si>
    <t>Marvis Aquatic + Xylitol 85ml</t>
  </si>
  <si>
    <t>Marvis Sinuous Lily Toothpaste 75 Ml</t>
  </si>
  <si>
    <t>Marvis Jasmin + Xylitol κατά της Πλάκας και της Τερηδόνας 85ml</t>
  </si>
  <si>
    <t>Marvis Whitening Mint Toothpaste Οδοντόκρεμα για Λεύκανση 85ml</t>
  </si>
  <si>
    <t>Marvis Smokers Whitening Mint Toothpaste 85ml</t>
  </si>
  <si>
    <t>Marvis Anise Mint Toothpaste 85ml</t>
  </si>
  <si>
    <t>Medichrom Nowzen Plus 20ml</t>
  </si>
  <si>
    <t>5206609030225</t>
  </si>
  <si>
    <t>Medichrom Bio Curcumol Κουρκουμάς 60 ταμπλέτες</t>
  </si>
  <si>
    <t>5206609301127</t>
  </si>
  <si>
    <t>Medichrom Spichlofer X Αιμικός Σίδηρος, Χλωρέλλα &amp; Σπιρουλίνα 30 ταμπλέτες</t>
  </si>
  <si>
    <t>5206609300014</t>
  </si>
  <si>
    <t>Medichrom Super Prostafil Συμπλήρωμα για την Υγεία του Προστάτη 30 μαλακές κάψουλες</t>
  </si>
  <si>
    <t>5206609301073</t>
  </si>
  <si>
    <t>Medichrom Murol Μουρουνέλαιο 60 μαλακές κάψουλες</t>
  </si>
  <si>
    <t>5206609300519</t>
  </si>
  <si>
    <t>Medichrom Bio Lactophytol με Προβιοτικά και Πρεβιοτικά 100 κάψουλες</t>
  </si>
  <si>
    <t>5206609300076</t>
  </si>
  <si>
    <t>Medichrom Bio Lactophytol με Προβιοτικά και Πρεβιοτικά 14 κάψουλες</t>
  </si>
  <si>
    <t>5206609300083</t>
  </si>
  <si>
    <t>Medichrom Cranber 36mg Cranberry 60 κάψουλες</t>
  </si>
  <si>
    <t>5206609300861</t>
  </si>
  <si>
    <t>Medichrom Megaphytol με Προβιοτικά και Πρεβιοτικά 15 κάψουλες</t>
  </si>
  <si>
    <t>5206609300274</t>
  </si>
  <si>
    <t>Medichrom Magnesium Citrate 400mg 60 ταμπλέτες</t>
  </si>
  <si>
    <t>5206609301035</t>
  </si>
  <si>
    <t>Medichrom Forte Liquid Collagen 500ml Λεμόνι</t>
  </si>
  <si>
    <t>Medichrom HyaluVit Συμπλήρωμα για την Υγεία Αρθρώσεων &amp; Οστών 30 ταμπλέτες</t>
  </si>
  <si>
    <t>Medichrom Tonorex Plus Ειδικό Συμπλήρωμα Διατροφής 15 φακελίσκοι Κεράσι</t>
  </si>
  <si>
    <t>Moller's Total Plus Ιχθυέλαιο Ωμέγα 3 28 κάψουλες Βιταμίνες &amp; Μέταλλα, Τζίνσενγκ, Ροδιόλα &amp; Κράταιγος 28 ταμπλέτες</t>
  </si>
  <si>
    <t>Moller's Forte Omega 3 Μουρουνέλαιο και Ιχθυέλαιο Κατάλληλο για Παιδιά 60 κάψουλες</t>
  </si>
  <si>
    <t>Moller's Omega-3 Cardio Μουρουνέλαιο και Ιχθυέλαιο 60 μαλακές κάψουλες</t>
  </si>
  <si>
    <t>Moller's Omega 3 Ιχθυέλαιο Κατάλληλο για Παιδιά 36 ζελεδάκια Πορτοκάλι Λεμόνι</t>
  </si>
  <si>
    <t>7070866026264</t>
  </si>
  <si>
    <t>Moller's Omega 3 Μουρουνέλαιο 36 ζελεδάκια Cola</t>
  </si>
  <si>
    <t>7070866038236</t>
  </si>
  <si>
    <t>Moller's Omega 3 Ιχθυέλαιο Κατάλληλο για Παιδιά 36 ζελεδάκια Φράουλα</t>
  </si>
  <si>
    <t>7070866027674</t>
  </si>
  <si>
    <t>Moller's Μουρουνέλαιο και Ιχθυέλαιο 30 κάψουλες</t>
  </si>
  <si>
    <t xml:space="preserve">Moller's Cod Liver Oil Μουρουνέλαιο Κατάλληλο για Παιδιά 250ml Λεμόνι </t>
  </si>
  <si>
    <t>Moller's Cod Liver Oil Μουρουνέλαιο Κατάλληλο για Παιδιά 250ml Tutti Frutti</t>
  </si>
  <si>
    <t>Moller's Forte Omega-3 Μουρουνέλαιο 150 κάψουλες</t>
  </si>
  <si>
    <t>Natural Factors Βιταμίνη D3 για Ενίσχυση του Ανοσοποιητικού &amp; την Υγεία των Οστών 1000iu 90 ταμπλέτες</t>
  </si>
  <si>
    <t>627765089295</t>
  </si>
  <si>
    <t>Natural Factors Quercetin LipoMicel Matrix 250mg 30 μαλακές κάψουλες Natural</t>
  </si>
  <si>
    <t>Natural Factors Osteomove Συμπλήρωμα για την Υγεία Αρθρώσεων &amp; Οστών 120 ταμπλέτες</t>
  </si>
  <si>
    <t>627765089424</t>
  </si>
  <si>
    <t>Natural Factors Osteomove Συμπλήρωμα για την Υγεία Αρθρώσεων &amp; Οστών 60 ταμπλέτες</t>
  </si>
  <si>
    <t>627765089417</t>
  </si>
  <si>
    <t>Natural Factors Cranrich 500mg Ειδικό Συμπλήρωμα Διατροφής 90 κάψουλες</t>
  </si>
  <si>
    <t>627765089356</t>
  </si>
  <si>
    <t>Natural Factors 500mg Συμπλήρωμα για Αδυνάτισμα 90 κάψουλες Apple Cider</t>
  </si>
  <si>
    <t>627765089202</t>
  </si>
  <si>
    <t>Natural Factors Cranrich 500mg Ειδικό Συμπλήρωμα Διατροφής 60 κάψουλες Cranberry</t>
  </si>
  <si>
    <t>627765089349</t>
  </si>
  <si>
    <t>Natural Factors Bluerich 500mg Ειδικό Συμπλήρωμα Διατροφής 90 μαλακές κάψουλες</t>
  </si>
  <si>
    <t>627765089370</t>
  </si>
  <si>
    <t>Natural Factors Chelate 25mg 90 ταμπλέτες Natural</t>
  </si>
  <si>
    <t>627765089219</t>
  </si>
  <si>
    <t>Natural Factors Βιταμίνη D3 για Ενίσχυση του Ανοσοποιητικού &amp; την Υγεία των Οστών 2500iu 1 ταμπλέτες 90 κάψουλες</t>
  </si>
  <si>
    <t>627765089196</t>
  </si>
  <si>
    <t>Natural Factors Factors Βιταμίνη για την Υγεία των Οστών 60 φυτικές κάψουλες</t>
  </si>
  <si>
    <t>068958012940</t>
  </si>
  <si>
    <t>Natural Factors Magnesium Bisglycinate 200mg 120 φυτικές κάψουλες</t>
  </si>
  <si>
    <t>627765016413</t>
  </si>
  <si>
    <t>Natural Factors Ashwagandha 600mg 30 κάψουλες</t>
  </si>
  <si>
    <t>627765028621</t>
  </si>
  <si>
    <t>Natural Factors Coenzyme Q10 200mg 60 μαλακές κάψουλες</t>
  </si>
  <si>
    <t>627765207224</t>
  </si>
  <si>
    <t>Natural Factors Βιταμίνη D3 για Ενίσχυση του Ανοσοποιητικού &amp; την Υγεία των Οστών 1000iu 60 μαλακές κάψουλες</t>
  </si>
  <si>
    <t>627765012927</t>
  </si>
  <si>
    <t>Natural Factors Βιταμίνη C για Ενίσχυση του Ανοσοποιητικού, τo Δέρμα &amp; Αντιοξειδωτική δράση 1000mg 90 ταμπλέτες</t>
  </si>
  <si>
    <t>627765089226</t>
  </si>
  <si>
    <t>Natural Factors Βιταμίνη D3 για Ενίσχυση του Ανοσοποιητικού &amp; την Υγεία των Οστών 400iu 10mg 250 μασώμενες ταμπλέτες</t>
  </si>
  <si>
    <t>627765089431</t>
  </si>
  <si>
    <t>Natural Factors Βιταμίνη B12 για την Υγεία του Νευρικού Συστήματος Κεράσι 90 ταμπλέτες</t>
  </si>
  <si>
    <t>627765089325</t>
  </si>
  <si>
    <t>Natural Factors Coenzyme Q10 100mg 30 μαλακές κάψουλες</t>
  </si>
  <si>
    <t>068958020709</t>
  </si>
  <si>
    <t>Natural Factors Bluerich 500mg Συμπλήρωμα για το Άγχος 60 μαλακές κάψουλες</t>
  </si>
  <si>
    <t>627765089363</t>
  </si>
  <si>
    <t>Natural Factors Βιταμίνη B για Ενίσχυση του Ανοσοποιητικού &amp; το Νευρικό Σύστημα 1mg Natural 90 ταμπλέτες</t>
  </si>
  <si>
    <t>627765089332</t>
  </si>
  <si>
    <t>Natural Factors Βιταμίνη C για Ενίσχυση του Ανοσοποιητικού, τo Δέρμα &amp; Αντιοξειδωτική δράση 250mg Πορτοκάλι 120 ταμπλέτες 90 μασώμενες ταμπλέτες</t>
  </si>
  <si>
    <t>627765089318</t>
  </si>
  <si>
    <t>Natural Factors Magnesium Citrate 150mg 90 κάψουλες</t>
  </si>
  <si>
    <t>627765089240</t>
  </si>
  <si>
    <t>Natural Factors Calcium Citrate 350mg 90 ταμπλέτες</t>
  </si>
  <si>
    <t>627765089257</t>
  </si>
  <si>
    <t>Natural Factors Βιταμίνη C για Ενίσχυση του Ανοσοποιητικού, τo Δέρμα &amp; Αντιοξειδωτική δράση 500mg Πορτοκάλι 90 μασώμενες ταμπλέτες</t>
  </si>
  <si>
    <t>627765089271</t>
  </si>
  <si>
    <t>Natural Factors Βιταμίνη D3 για Ενίσχυση του Ανοσοποιητικού &amp; την Υγεία των Οστών 1000iu 25mg Natural 90 ταμπλέτες</t>
  </si>
  <si>
    <t>Natural Factors Vitamin E Βιταμίνη για τo Δέρμα &amp; Αντιοξειδωτική δράση 200iu 90 μαλακές κάψουλες</t>
  </si>
  <si>
    <t>068958014005</t>
  </si>
  <si>
    <t>Natural Doctor B-Complex Active Βιταμίνη για Ενέργεια, Ενίσχυση του Ανοσοποιητικού &amp; το Νευρικό Σύστημα 60 φυτικές κάψουλες</t>
  </si>
  <si>
    <t>5200040107355</t>
  </si>
  <si>
    <t>Natural Doctor Anoson Συμπλήρωμα για την Υγεία των Αρθρώσεων 60 φυτικές κάψουλες</t>
  </si>
  <si>
    <t>5200040107058</t>
  </si>
  <si>
    <t>Natural Doctor Vit C Incell Βιταμίνη για Ενέργεια &amp; Ανοσοποιητικό 120 φυτικές κάψουλες</t>
  </si>
  <si>
    <t>5200040107089</t>
  </si>
  <si>
    <t>Natural Doctor Complete D3, K2 &amp; Magnesium Βιταμίνη για το Ανοσοποιητικό 60 φυτικές κάψουλες</t>
  </si>
  <si>
    <t>5200040107010</t>
  </si>
  <si>
    <t>Natural Doctor L-Glutamine &amp; Chios Mastiha 90 φυτικές κάψουλες</t>
  </si>
  <si>
    <t>5200040107102</t>
  </si>
  <si>
    <t>Natural Doctor Be Well Multivitamin Βιταμίνη 60 φυτικές κάψουλες</t>
  </si>
  <si>
    <t>5200040107188</t>
  </si>
  <si>
    <t>Natural Doctor Nicotinamide Βιταμίνη για την Υγεία του Νευρικού Συστήματος 500mg 90 φυτικές κάψουλες</t>
  </si>
  <si>
    <t>5200040107119</t>
  </si>
  <si>
    <t>Natural Doctor 3plus Magnesium 60 φυτικές κάψουλες</t>
  </si>
  <si>
    <t>5200040107263</t>
  </si>
  <si>
    <t>Natural Doctor Probiotics 40 billion Προβιοτικά 30 κάψουλες</t>
  </si>
  <si>
    <t>5200040107140</t>
  </si>
  <si>
    <t>Natural Doctor Pure D3 Βιταμίνη για Ανοσοποιητικό 2000iu 30ml</t>
  </si>
  <si>
    <t>5200040107003</t>
  </si>
  <si>
    <t>Natural Doctor Collagen Peptides 300gr</t>
  </si>
  <si>
    <t>5200040107508</t>
  </si>
  <si>
    <t>Natural Doctor Clear Omega 3 Ιχθυέλαιο 90 φυτικές κάψουλες</t>
  </si>
  <si>
    <t>5200040107171</t>
  </si>
  <si>
    <t>Natural Doctor Vitamin E Βιταμίνη για Αντιοξειδωτικό 60 μαλακές κάψουλες</t>
  </si>
  <si>
    <t>5200040107447</t>
  </si>
  <si>
    <t>Natural Doctor Iron Softly Absorbed 25mg 25mg 90 φυτικές κάψουλες</t>
  </si>
  <si>
    <t>Natural Doctor Neuro Balance Συμπλήρωμα για το Άγχος 60 φυτικές κάψουλες</t>
  </si>
  <si>
    <t>Natural Doctor Berberine Complex 500mg 60 κάψουλες</t>
  </si>
  <si>
    <t>5200040107577</t>
  </si>
  <si>
    <t>Natural Doctor Ψευδάργυρος 120 κάψουλες</t>
  </si>
  <si>
    <t>5200040107430</t>
  </si>
  <si>
    <t>Natural Doctor Sleep Good Συμπλήρωμα για τον Ύπνο 60 κάψουλες</t>
  </si>
  <si>
    <t>5200040107232</t>
  </si>
  <si>
    <t>Natural Doctor Ashwagandha Ksm-66 500mg 60 κάψουλες</t>
  </si>
  <si>
    <t>5200040107522</t>
  </si>
  <si>
    <t>Natural Doctor Keto Mct C8 Oil 500ml</t>
  </si>
  <si>
    <t>5200040107393</t>
  </si>
  <si>
    <t>Natural Doctor B12 Active &amp; Alfa Alfa Βιταμίνη για την Υγεία του Νευρικού Συστήματος 120 φυτικές κάψουλες</t>
  </si>
  <si>
    <t>5200040107386</t>
  </si>
  <si>
    <t>Natural Doctor Healthy Lipid Ειδικό Συμπλήρωμα Διατροφής 90 κάψουλες</t>
  </si>
  <si>
    <t>5200040107454</t>
  </si>
  <si>
    <t>Natural Doctor D-Mannose &amp; Chios Mastic 90 φυτικές κάψουλες</t>
  </si>
  <si>
    <t>5200040107409</t>
  </si>
  <si>
    <t>Natural Doctor Regene Ειδικό Συμπλήρωμα Διατροφής 120 φυτικές κάψουλες</t>
  </si>
  <si>
    <t>5200040107157</t>
  </si>
  <si>
    <t>Natural Doctor Vitamin C &amp; Bioflavonoids Βιταμίνη για Ενίσχυση του Ανοσοποιητικού, τo Δέρμα &amp; Αντιοξειδωτική δράση 90 φυτικές κάψουλες</t>
  </si>
  <si>
    <t>Natural Doctor Healthy Testosterone Συμπλήρωμα για την Ενίσχυση της Τεστοστερόνης 60 κάψουλες Natural</t>
  </si>
  <si>
    <t>Natural Doctor Agnus Castus Συμπλήρωμα για την Εμμηνόπαυση 60 κάψουλες</t>
  </si>
  <si>
    <t>5200040107423</t>
  </si>
  <si>
    <t>Natural Doctor Turmeric &amp; Ginger 60 κάψουλες</t>
  </si>
  <si>
    <t>5200040107362</t>
  </si>
  <si>
    <t>Natural Doctor Creatine Monohydrate Natural 120 κάψουλες</t>
  </si>
  <si>
    <t>5200040107553</t>
  </si>
  <si>
    <t>Natural Doctor Healthy Thyroid Ειδικό Συμπλήρωμα Διατροφής 60 φυτικές κάψουλες</t>
  </si>
  <si>
    <t>5200040107331</t>
  </si>
  <si>
    <t>Natural Doctor 20 Free Aminos 120 Φυτικές Κάψουλες Unflavoured</t>
  </si>
  <si>
    <t>5200040107164</t>
  </si>
  <si>
    <t>Natural Doctor Healthy Liver Ειδικό Συμπλήρωμα Διατροφής 90 φυτικές κάψουλες</t>
  </si>
  <si>
    <t>5200040107324</t>
  </si>
  <si>
    <t>Natural Doctor Selenium 200mg 60 κάψουλες</t>
  </si>
  <si>
    <t>5200040107485</t>
  </si>
  <si>
    <t>Natural Doctor Healthy Kid Multivitamin Πολυβιταμίνη για Ενέργεια &amp; Ενίσχυση του Ανοσοποιητικού 120 φυτικές κάψουλες</t>
  </si>
  <si>
    <t>5200040107218</t>
  </si>
  <si>
    <t>Natural Doctor Evening Primrose Oil Συμπλήρωμα για την Εμμηνόπαυση 120 κάψουλες</t>
  </si>
  <si>
    <t>5200040107379</t>
  </si>
  <si>
    <t>Natural Doctor Easy Digest χωρίς Γλουτένη 60 φυτικές κάψουλες</t>
  </si>
  <si>
    <t>5200040107027</t>
  </si>
  <si>
    <t>Natura Siberica Anti-Ox Wild Blueberry Face Cream Mask 50ml</t>
  </si>
  <si>
    <t>Natura Siberica Γαλάκτωμα Καθαρισμού Caviar για Λιπαρές Επιδερμίδες 200ml</t>
  </si>
  <si>
    <t>4743318144313</t>
  </si>
  <si>
    <t>Natura Siberica Royal Αντιγηραντική &amp; Αναπλαστική Κρέμα Προσώπου Νυκτός με Χαβιάρι 50ml</t>
  </si>
  <si>
    <t>4743318144306</t>
  </si>
  <si>
    <t>Natura Siberica Royal Extra-Lifting Rich 24ωρη Κρέμα Προσώπου για Ενυδάτωση &amp; Αντιγήρανση με Χαβιάρι 50ml</t>
  </si>
  <si>
    <t>4744183010369</t>
  </si>
  <si>
    <t>Natura Siberica Caviar Μάσκα Ματιών για Σύσφιξη 60τμχ</t>
  </si>
  <si>
    <t>4743318144320</t>
  </si>
  <si>
    <t>Natura Siberica Absolut Beluga Revitalizing Αντιγηραντικό Serum Προσώπου με Χαβιάρι &amp; Πεπτίδια 30ml</t>
  </si>
  <si>
    <t>4744183010383</t>
  </si>
  <si>
    <t>Natura Siberica Royal Caviar Icy Firming Ενυδατική &amp; Αντιγηραντική Κρέμα Ματιών με Χαβιάρι για Ώριμες Επιδερμίδες 15ml</t>
  </si>
  <si>
    <t>4744183010376</t>
  </si>
  <si>
    <t>Natura Siberica Royal (ex Absolut Beluga) Collagen Wrinkle Αντιγηραντικό Serum Προσώπου με Χαβιάρι &amp; Πεπτίδια 40ml</t>
  </si>
  <si>
    <t>4744183010352</t>
  </si>
  <si>
    <t>Natura Siberica Royal Αντιγηραντική Κρέμα Προσώπου Ημέρας με SPF20 με Χαβιάρι 50ml</t>
  </si>
  <si>
    <t>4743318144290</t>
  </si>
  <si>
    <t>Natura Siberica Biome Μάσκα Προσώπου για Λάμψη 75ml</t>
  </si>
  <si>
    <t>Natura Siberica C-Berrica Glow Κρέμα Προσώπου Ημέρας με SPF20 για Ενυδάτωση &amp; Λάμψη με Βιταμίνη C 50ml</t>
  </si>
  <si>
    <t>Natura Siberica Biome Μάσκα Ματιών για Λάμψη 60τμχ</t>
  </si>
  <si>
    <t>Natura Siberica Balm Καθαρισμού 100ml</t>
  </si>
  <si>
    <t>Natura Siberica Μάσκα Ματιών για Ενυδάτωση 60τμχ Biome Hydrogel</t>
  </si>
  <si>
    <t>Natura Siberica Sauna &amp; Spa Butter για την Κυτταρίτιδα Anti Cellulite 370ml</t>
  </si>
  <si>
    <t>Natura Siberica Anti-Ox Wild Blueberry Κρέμα Προσώπου Ημέρας με SPF20 για Ενυδάτωση με Υαλουρονικό Οξύ 50ml</t>
  </si>
  <si>
    <t>Natura Siberica Sauna &amp; Spa Gel για Αδυνάτισμα Σώματος Thermo Mask 370ml</t>
  </si>
  <si>
    <t>Natura Siberica Anti Ox Wild Bluebbery Eye Patch Effect Mask 30ml</t>
  </si>
  <si>
    <t>Natura Siberica Bereza Polar White Birch Restoring &amp; Calming Face Cream 100ml</t>
  </si>
  <si>
    <t>Natura Siberica Γαλάκτωμα Καθαρισμού Northern Soap For Deep Facial Cleansing για Λιπαρές Επιδερμίδες 120ml</t>
  </si>
  <si>
    <t>Natura Siberica Oblepikha Scalp Scrub 300ml</t>
  </si>
  <si>
    <t>Natura Siberica Μάσκα Ματιών για Ενυδάτωση 60τμχ Biome Hydrogel με Υαλουρανικό</t>
  </si>
  <si>
    <t>Natura Siberica Μάσκα Ματιών για Ενυδάτωση 60τμχ Hydrogel Patches</t>
  </si>
  <si>
    <t>Natura Siberica Anti Ox Wild Blueberry Scrub Προσώπου 50ml</t>
  </si>
  <si>
    <t>4743318148090</t>
  </si>
  <si>
    <t>Natura Siberica Face Water Τόνωσης Anti Ox Wild Blueberry 100ml</t>
  </si>
  <si>
    <t>4743318148076</t>
  </si>
  <si>
    <t>Organic Shop Body Desserts Scrub Σώματος Sweet Lollipop 450ml</t>
  </si>
  <si>
    <t>Organic Shop Body Desserts Scrub Σώματος Coconut Bite 450ml</t>
  </si>
  <si>
    <t>4743318143378</t>
  </si>
  <si>
    <t>Organic Shop Body Dessers Scrub για Αδυνάτισμα και την Κυτταρίτιδα Σώματος Tropical Mix Scrub 450ml</t>
  </si>
  <si>
    <t>4744183012097</t>
  </si>
  <si>
    <t>Organic Shop Body Desserts Scrub Σώματος Summer Fruit Ice Cream 450ml</t>
  </si>
  <si>
    <t>Organic Shop Body Desserts Tropical Sorbet Ενυδατική Κρέμα Σώματος 450ml</t>
  </si>
  <si>
    <t>Natura Siberica Gel Καθαρισμού C-Berrica Vitamin C 145ml</t>
  </si>
  <si>
    <t>Natura Siberica Lab Biome Κρέμα Ματιών κατά των Μαύρων Κύκλων με Ρετινόλη 30ml</t>
  </si>
  <si>
    <t>Natura Siberica Oblepikha C-berrica Professional Energy Ενυδατικό Serum Προσώπου με Βιταμίνη C 30ml</t>
  </si>
  <si>
    <t>Natura Siberica Μάσκα Ματιών 60τμχ Biome Ανανέωση &amp; Λείανση</t>
  </si>
  <si>
    <t>Natura Siberica Oblepikha C-berrica Professional Anti Ox Wild Blueberry Serum Προσώπου για Σύσφιξη 30ml</t>
  </si>
  <si>
    <t>Natura Siberica Sauna &amp; Spa Natural Siberian Ενυδατική Κρέμα Ποδιών 120ml</t>
  </si>
  <si>
    <t>Organic Shop Body Desserts Scrub Σώματος Blackberry Jam 450ml</t>
  </si>
  <si>
    <t>Organic Shop Body Desserts Banana Milkshake Ενυδατική Κρέμα Ανάπλασης Σώματος με Άρωμα Βανίλια 450ml</t>
  </si>
  <si>
    <t>Organic Shop Body Desserts Κρέμα για Αδυνάτισμα και την Κυτταρίτιδα Σώματος Caramel Cappuccino 450ml</t>
  </si>
  <si>
    <t>Natura Siberica Siberica Scrub Σώματος 300ml</t>
  </si>
  <si>
    <t>Natura Siberica Μάσκα Ματιών 60τμχ</t>
  </si>
  <si>
    <t>Organic Shop Body Desserts Body Mist 200ml</t>
  </si>
  <si>
    <t>Natura Siberica Αφρός Καθαρισμού Anti Ox Wild Blueberry 100ml</t>
  </si>
  <si>
    <t>Natura Siberica Sauna &amp; Spa Κρέμα για Αδυνάτισμα και την Κυτταρίτιδα Σώματος Warm Oblepikha Wrap 370ml</t>
  </si>
  <si>
    <t>Natura Siberica Sauna &amp; Spa Thick Natural Daurian Ενυδατικό Butter Σώματος για Ευαίσθητες Επιδερμίδες 370ml</t>
  </si>
  <si>
    <t>Natura Siberica Body Desserts Body Mist 200ml</t>
  </si>
  <si>
    <t>Natura Siberica Lab Biome Αντιγηραντική Κρέμα Προσώπου Ημέρας με Ρετινόλη 50ml</t>
  </si>
  <si>
    <t>Natura Siberica Μάσκα Ματιών για Ενυδάτωση 60τμχ Biome Hydrogel Λάμψης</t>
  </si>
  <si>
    <t>Natura Siberica Sauna &amp; Spa Icy Sugar Body Scrub 370ml</t>
  </si>
  <si>
    <t>Organic Shop Body Desserts Coconut Panna Cotta Ενυδατική Mousse 450ml</t>
  </si>
  <si>
    <t>Organic Shop Body Desserts Strawberry &amp; Chocolate Ενυδατική Mousse Σώματος 450ml</t>
  </si>
  <si>
    <t>Organic Shop Body Desserts Scrub Σώματος Almond &amp; Honey Milk 450ml</t>
  </si>
  <si>
    <t>Organic Shop Body Desserts Almond &amp; Honey Ενυδατική Mousse Σώματος 450ml</t>
  </si>
  <si>
    <t>Organic Shop Body Desserts Scrub Σώματος Vanilla Latte 450ml</t>
  </si>
  <si>
    <t>Organic Shop Organic Lotus &amp; 5 Oils Ενυδατική Κρέμα Σώματος 250ml</t>
  </si>
  <si>
    <t>Organic Shop Scrub Σώματος Cocoa &amp; Sugar 250ml</t>
  </si>
  <si>
    <t>Organic Shop Vanilla &amp; Orchid Ενυδατική Mousse με Άρωμα Βανίλια 250ml</t>
  </si>
  <si>
    <t>Organic Shop Scrub Σώματος Organic Coffee &amp; Sugar 250ml</t>
  </si>
  <si>
    <t>Natura Siberica Body Desserts Cotton Candy Body Mist 200ml</t>
  </si>
  <si>
    <t>Organic Shop Body Desserts Coconut Milk Body Mist 200ml</t>
  </si>
  <si>
    <t>Natura Siberica Body Desserts Bubble Gum Αφρόλουτρο σε Gel 280ml</t>
  </si>
  <si>
    <t>Natura Siberica Μάσκα Ματιών για Αναζωογόνηση 60τμχ Biome Hydrogel</t>
  </si>
  <si>
    <t>Natura Siberica Biome Hydrogel Night Μάσκα Ματιών για Ενυδάτωση / Λεύκανση 60τμχ</t>
  </si>
  <si>
    <t>Natura Siberica Μάσκα Ματιών για Λάμψη / Αντιγήρανση 60τμχ 60ml</t>
  </si>
  <si>
    <t>Natura Siberica Icy Drainage Κρέμα για την Κυτταρίτιδα Σώματος 370ml</t>
  </si>
  <si>
    <t>Organic Shop Body Desserts Scrub Σώματος Mango Sugar Sorbet 450ml</t>
  </si>
  <si>
    <t>Natura Siberica Bereza Professional Polar White Birch Serum Προσώπου για Ακμή 30ml</t>
  </si>
  <si>
    <t>4743318147673</t>
  </si>
  <si>
    <t>Natura Siberica C-Berrica Antioxidant Κρέμα Ματιών κατά των Μαύρων Κύκλων με Ρετινόλη &amp; Βιταμίνη C 30ml</t>
  </si>
  <si>
    <t>4743318103655</t>
  </si>
  <si>
    <t>Natura Siberica Oblepikha C-berrica Vitamin C Restoring Face Mask 100ml</t>
  </si>
  <si>
    <t>4743318103624</t>
  </si>
  <si>
    <t>Natura Siberica C-Berrica Toning Light 24ωρη Λεπτόρρευστη Κρέμα Προσώπου Ημέρας για Ενυδάτωση με Βιταμίνη C 50ml</t>
  </si>
  <si>
    <t>4743318103518</t>
  </si>
  <si>
    <t>Natura Siberica Hot Volcanic Κρέμα για την Κυτταρίτιδα Σώματος 370ml</t>
  </si>
  <si>
    <t>4743318141527</t>
  </si>
  <si>
    <t>Natura Siberica Body Desserts Coconut Water Αφρόλουτρο σε Gel Καρύδα 280ml</t>
  </si>
  <si>
    <t>Natura Siberica Sauna &amp; Spa Scrub για Αδυνάτισμα και την Κυτταρίτιδα Σώματος Hot Salt 370ml</t>
  </si>
  <si>
    <t>Natura Siberica Μάσκα Ματιών 60τμχ Biome Hydrogel Ανόρθωσης</t>
  </si>
  <si>
    <t>Natura Siberica Scrub Σώματος 450ml</t>
  </si>
  <si>
    <t>4743318143903</t>
  </si>
  <si>
    <t>Natura Siberica C-Berrica Ενυδατικό Serum Προσώπου με Βιταμίνη C &amp; AHA για Λάμψη 30ml</t>
  </si>
  <si>
    <t>4743318144733</t>
  </si>
  <si>
    <t>Natura Siberica Ενυδατική Κρέμα Σώματος 150ml</t>
  </si>
  <si>
    <t>4743318104294</t>
  </si>
  <si>
    <t>Natura Siberica Oblepikha C-berrica Professional Αντιγηραντικό Serum Προσώπου με Βιταμίνη C 30ml</t>
  </si>
  <si>
    <t>4743318103532</t>
  </si>
  <si>
    <t>Natura Siberica Lab Biome Ενυδατική Κρέμα Προσώπου Νυκτός με Ρετινόλη 50ml</t>
  </si>
  <si>
    <t>4743318144672</t>
  </si>
  <si>
    <t>Natura Siberica Polar White Birch 24ωρη Κρέμα-Gel Προσώπου για Λιπαρές Επιδερμίδες κατά της Ακμής με Υαλουρονικό Οξύ 50ml</t>
  </si>
  <si>
    <t>4743318147611</t>
  </si>
  <si>
    <t>Natura Siberica Oblepikha C-berrica Professional Ενυδατικό Serum Προσώπου με Βιταμίνη C 30ml</t>
  </si>
  <si>
    <t>4743318103549</t>
  </si>
  <si>
    <t>Natura Siberica C-Berrica Vitamin C Τόνωσης Προσώπου 20τμχ</t>
  </si>
  <si>
    <t>4743318103570</t>
  </si>
  <si>
    <t>Natura Siberica Ντεμακιγιάζ για Ευαίσθητες Επιδερμίδες 150ml</t>
  </si>
  <si>
    <t>4743318144573</t>
  </si>
  <si>
    <t>Natura Siberica C-Berrica Revitalizing Face Peeling Mask 145ml</t>
  </si>
  <si>
    <t>4743318103594</t>
  </si>
  <si>
    <t>Organic Shop Body Desserts Κρέμα για Αδυνάτισμα και την Κυτταρίτιδα Σώματος Moroccan Orange 450ml</t>
  </si>
  <si>
    <t>4744183012141</t>
  </si>
  <si>
    <t>Natura Siberica Ενυδατική Κρέμα Σώματος με Άρωμα Βανίλια 150ml</t>
  </si>
  <si>
    <t>Natura Siberica Sauna &amp; Spa Cedar Salt Detox Shower Scrub Σώματος για Αποτοξίνωση 370ml</t>
  </si>
  <si>
    <t>Natura Siberica Ενυδατική Κρέμα Σώματος με Aloe Vera &amp; Άρωμα Γαρδένια 150ml</t>
  </si>
  <si>
    <t>Natura Siberica Μάσκα Ματιών για Επανόρθωση / Σύσφιξη 60τμχ</t>
  </si>
  <si>
    <t>Organic Shop Scrub Σώματος Raspberry &amp; Sugar 250ml</t>
  </si>
  <si>
    <t>Organic Shop Body Desserts Scrub Σώματος Strawberry Jam 450ml</t>
  </si>
  <si>
    <t>Natura Siberica C-Berrica Ενυδατική Κρέμα Προσώπου Ημέρας με Πανθενόλη 50ml</t>
  </si>
  <si>
    <t>Os Salted Caramel Chewy Body Scrub. Vanilla &amp; Cocoa, 250 Ml Cosmos Natural (ionc)</t>
  </si>
  <si>
    <t>Organic Shop Scrub Σώματος Orange &amp; Sugar 250ml</t>
  </si>
  <si>
    <t>Organic Shop Scrub Σώματος Lemongrass &amp; Sugar 250ml</t>
  </si>
  <si>
    <t>Organic Shop Body Desserts Vanilla Whipped Cream Ενυδατική Κρέμα Σώματος με Άρωμα Βανίλια 450ml</t>
  </si>
  <si>
    <t>Organic Shop Camellia &amp; 5 Oils Ενυδατική Κρέμα 250ml</t>
  </si>
  <si>
    <t>Organic Shop Blueberry &amp; Blackberry Ενυδατική Κρέμα Σώματος 250ml</t>
  </si>
  <si>
    <t>4743318140919</t>
  </si>
  <si>
    <t>Organic Shop Scrub Σώματος Organic Papaya &amp; Sugar 250ml</t>
  </si>
  <si>
    <t>4744183012516</t>
  </si>
  <si>
    <t>Organic Shop Scrub Σώματος Atlantic Algae 250ml</t>
  </si>
  <si>
    <t>4744183012585</t>
  </si>
  <si>
    <t>Organic Shop Scrub Σώματος Cinnamon &amp; Honey 250ml</t>
  </si>
  <si>
    <t>4744183012509</t>
  </si>
  <si>
    <t>Natura Siberica Oblepikha Σαμπουάν Αναδόμησης/Θρέψης για Ταλαιπωρημένα Μαλλιά 400ml</t>
  </si>
  <si>
    <t>Natura Siberica Oblepikha Repair Lamellar Miracle Water Lotion Μαλλιών για Αναδόμηση με Κερατίνη 200ml</t>
  </si>
  <si>
    <t>Natura Siberica Conditioner Ενυδάτωσης 400ml</t>
  </si>
  <si>
    <t>Natura Siberica Serum Αναδόμησης με Κερατίνη 200ml</t>
  </si>
  <si>
    <t>Natura Siberica Oblepikha Μάσκα Μαλλιών για Ενυδάτωση 200ml</t>
  </si>
  <si>
    <t>Natura Siberica Patches Ματιών 60τμχ</t>
  </si>
  <si>
    <t>Natural Vitamins Omega 3 Fish Oil Mega EPA DHA Ιχθυέλαιο 1000mg 60 μαλακές κάψουλες</t>
  </si>
  <si>
    <t>805731994532</t>
  </si>
  <si>
    <t>Natural Vitamins Magnesium Complex 500mg 60 φυτικές κάψουλες</t>
  </si>
  <si>
    <t>805731994259</t>
  </si>
  <si>
    <t>Natural Vitamins Mega Multivitamin Βιταμίνη 100mg 30 ταμπλέτες</t>
  </si>
  <si>
    <t>805731994518</t>
  </si>
  <si>
    <t>Natural Vitamins Mega Multivitamin Βιταμίνη 60 ταμπλέτες</t>
  </si>
  <si>
    <t>805731993610</t>
  </si>
  <si>
    <t>Natural Vitamins No Stress Rx Συμπλήρωμα για το Άγχος 60 κάψουλες</t>
  </si>
  <si>
    <t>Natural Vitamins D3 5000IU + K2 125μg Βιταμίνη για Ανοσοποιητικό 100 μασώμενες ταμπλέτες</t>
  </si>
  <si>
    <t>805731994051</t>
  </si>
  <si>
    <t>Natural Vitamins Glucose Rx Ειδικό Συμπλήρωμα Διατροφής 60 κάψουλες</t>
  </si>
  <si>
    <t>805731993962</t>
  </si>
  <si>
    <t>Natural Vitamins Restore Προβιοτικά 60 κάψουλες</t>
  </si>
  <si>
    <t>805731994280</t>
  </si>
  <si>
    <t>Natural Vitamins Curcumin 750mg Κουρκουμάς 60 φυτικές κάψουλες</t>
  </si>
  <si>
    <t>Natural Vitamins Prostate Formula Συμπλήρωμα για την Υγεία του Προστάτη 90 κάψουλες</t>
  </si>
  <si>
    <t>Natural Vitamins CLA 1000 Max Complex 60 tabs</t>
  </si>
  <si>
    <t>Natural Vitamins Natural Multi Fiber Complex Ειδικό Συμπλήρωμα Διατροφής 90 κάψουλες</t>
  </si>
  <si>
    <t>Natural Vitamins Curcumin 750mg Κουρκουμάς 30 φυτικές κάψουλες</t>
  </si>
  <si>
    <t>Natural Vitamins D3 2000IU + K2 7 75μg Βιταμίνη για Ανοσοποιητικ50 μασώμενες ταμπλέτες</t>
  </si>
  <si>
    <t>Natural Vitamins Restore Προβιοτικά 30 κάψουλες</t>
  </si>
  <si>
    <t>Natural Vitamins Digestive Relief χωρίς Γλουτένη 60 κάψουλες</t>
  </si>
  <si>
    <t>Natural Vitamins D3 5000IU + K2 125μg Βιταμίνη για Ενίσχυση του Ανοσοποιητικού &amp; την Υγεία των Οστών 60 μασώμενες ταμπλέτες</t>
  </si>
  <si>
    <t>Natural Vitamins D3 5000IU + K2 125μg Βιταμίνη για Ενίσχυση του Ανοσοποιητικού &amp; την Υγεία των Οστών 30 μασώμενες ταμπλέτες</t>
  </si>
  <si>
    <t>Natural Vitamins Natural Vitamins Joint And Arthritis Pain Formula Συμπλήρωμα για την Υγεία των Αρθρώσεων 120 κάψουλες</t>
  </si>
  <si>
    <t>Natural Vitamins Colostrum 500mg Συμπλήρωμα για την Ενίσχυση του Ανοσοποιητικού 60 κάψουλες Natural</t>
  </si>
  <si>
    <t>Natural Vitamins Cholesterol Formula Ειδικό Συμπλήρωμα Διατροφής 60 κάψουλες</t>
  </si>
  <si>
    <t>Natural Vitamins Women's Transitions Συμπλήρωμα για την Εμμηνόπαυση 60 κάψουλες</t>
  </si>
  <si>
    <t>Natural Vitamins Pure Peptide 10000mg 300gr Natural</t>
  </si>
  <si>
    <t>805731993528</t>
  </si>
  <si>
    <t>Natural Vitamins Premium Multivitamin Πολυβιταμίνη για Ενίσχυση του Ανοσοποιητικού, τα Μαλλιά &amp; τα Νύχια Πορτοκάλι κατάλληλη για ενήλικες 50+ 500ml</t>
  </si>
  <si>
    <t>805731993535</t>
  </si>
  <si>
    <t>Natural Vitamins Vitamin B12 Βιταμίνη για την Υγεία του Νευρικού Συστήματος 1000mcg 100 ταμπλέτες</t>
  </si>
  <si>
    <t>Natural Vitamins Vitamin C Βιταμίνη για Ενίσχυση του Ανοσοποιητικού, τo Δέρμα &amp; Αντιοξειδωτική δράση 1000mg 100 ταμπλέτες</t>
  </si>
  <si>
    <t>Natural Vitamins L-Carnitine 500mg 30 κάψουλες</t>
  </si>
  <si>
    <t>Natural Vitamins Vitamin B Complex Βιταμίνη για Ενέργεια, Ενίσχυση του Ανοσοποιητικού &amp; το Νευρικό Σύστημα 100mg 50 ταμπλέτες</t>
  </si>
  <si>
    <t>Natural Vitamins Vitamin C + D3 + Zinc Πολυβιταμίνη για Ενέργεια &amp; Ενίσχυση του Ανοσοποιητικού Πορτοκάλι 500ml</t>
  </si>
  <si>
    <t>Natural Vitamins Electrolyte Formula 50 φυτικές κάψουλες</t>
  </si>
  <si>
    <t>Natural Vitamins Chelate Iron Formula 50 κάψουλες</t>
  </si>
  <si>
    <t>Natural Vitamins Melatonin 1mg Συμπλήρωμα για τον Ύπνο 100 ταμπλέτες</t>
  </si>
  <si>
    <t>Natural Vitamins Selenium 200μg, 100veg.caps</t>
  </si>
  <si>
    <t>805731994327</t>
  </si>
  <si>
    <t>Natural Vitamins Natural Multi Fiber Complex Ειδικό Συμπλήρωμα Διατροφής 45 ταμπλέτες</t>
  </si>
  <si>
    <t>805731994358</t>
  </si>
  <si>
    <t>Natural Vitamins Vitamins D-3 Βιταμίνη για Ενίσχυση του Ανοσοποιητικού &amp; την Υγεία των Οστών 1500iu 100 ταμπλέτες</t>
  </si>
  <si>
    <t>805731994549</t>
  </si>
  <si>
    <t>Natural Vitamins CoQ10 100mg 60 μαλακές κάψουλες</t>
  </si>
  <si>
    <t>805731992682</t>
  </si>
  <si>
    <t>Natural Vitamins Complete Daily Multivitamin Πολυβιταμίνη για Ενέργεια, Ενίσχυση του Ανοσοποιητικού &amp; τo Δέρμα 30 κάψουλες</t>
  </si>
  <si>
    <t>805731994297</t>
  </si>
  <si>
    <t>Natural Vitamins     Vitamin C caspules Supplement Facts  FORMULA C – 1000 MG</t>
  </si>
  <si>
    <t>805731994495</t>
  </si>
  <si>
    <t>Natural Vitamins Vitamin C Βιταμίνη για Ενίσχυση του Ανοσοποιητικού, τo Δέρμα &amp; Αντιοξειδωτική δράση 1000mg κατάλληλη για ενήλικες 50+ 50 ταμπλέτες</t>
  </si>
  <si>
    <t>805731994242</t>
  </si>
  <si>
    <t>Natural Vitamins Digestive Relief Προβιοτικά 30 κάψουλες</t>
  </si>
  <si>
    <t>805731994228</t>
  </si>
  <si>
    <t>Natural Vitamins Omega 3 Fish Oil Mega EPA DHA Ιχθυέλαιο 1000mg 30 μαλακές κάψουλες</t>
  </si>
  <si>
    <t>805731994402</t>
  </si>
  <si>
    <t>Natural Vitamins Vitamin B12 Βιταμίνη για την Υγεία του Νευρικού Συστήματος 1000mcg 30 ταμπλέτες</t>
  </si>
  <si>
    <t>805731994419</t>
  </si>
  <si>
    <t>Natural Vitamins Zinc 50mg, 100tabs</t>
  </si>
  <si>
    <t>805731994167</t>
  </si>
  <si>
    <t>Green Forest Magnesium Bisglycinate 200mg 60 φυτικές κάψουλες</t>
  </si>
  <si>
    <t>805731992934</t>
  </si>
  <si>
    <t>Natural Vitamins Βάμμα Milk Thistle 50ml</t>
  </si>
  <si>
    <t>Green Forest Great Hair Formula Ειδικό Συμπλήρωμα Διατροφής 60 ταμπλέτες 60 κάψουλες</t>
  </si>
  <si>
    <t>Green Forest H Effect Ειδικό Συμπλήρωμα Διατροφής 60 κάψουλες</t>
  </si>
  <si>
    <t>805731992880</t>
  </si>
  <si>
    <t>Green Forest H Effect Ειδικό Συμπλήρωμα Διατροφής 120 κάψουλες</t>
  </si>
  <si>
    <t>805731992927</t>
  </si>
  <si>
    <t>True Muscle Creatine Tri-phase 1667mg 90 κάψουλες</t>
  </si>
  <si>
    <t>Green Forest Berberine Complex 60 φυτικές κάψουλες</t>
  </si>
  <si>
    <t>805731993689</t>
  </si>
  <si>
    <t>Green Forest Lion's Mane Complex 60 φυτικές κάψουλες</t>
  </si>
  <si>
    <t>Natural Vitamins D3 + K2 Βιταμίνη για Ενίσχυση του Ανοσοποιητικού &amp; την Υγεία των Οστών 90 μασώμενες ταμπλέτες</t>
  </si>
  <si>
    <t>Nature's Plus Collagen Peptides 378gr Σοκολάτα</t>
  </si>
  <si>
    <t>Nature's Plus Collagen Peptides 294gr</t>
  </si>
  <si>
    <t>Nature's Plus Ultra Omega 3 6 9 Μποράγκο &amp; Λινάρι 90 μαλακές κάψουλες</t>
  </si>
  <si>
    <t>Nature's Plus Collagen Peptides 120 κάψουλες</t>
  </si>
  <si>
    <t>Nature's Plus Commando Ειδικό Συμπλήρωμα Διατροφής 60 ταμπλέτες</t>
  </si>
  <si>
    <t>ULTRA Chewable Cranberry Cranberry 90 μασώμενες ταμπλέτες Cranberry Strawberry</t>
  </si>
  <si>
    <t>Nature's Plus Herbal Actives Red Yeast Rice Ειδικό Συμπλήρωμα Διατροφής 60 φυτικές κάψουλες</t>
  </si>
  <si>
    <t>Nature's Plus Mega-Stress Complex Συμπλήρωμα για το Άγχος 60 ταμπλέτες</t>
  </si>
  <si>
    <t>Nature's Plus Vitamin D3 Βιταμίνη για το Ανοσοποιητικό 1000iu 30 μαλακές κάψουλες</t>
  </si>
  <si>
    <t>Nature's Plus Βιταμίνη για Ανοσοποιητικό 200iu Πορτοκάλι 10ml</t>
  </si>
  <si>
    <t>Nature's Plus Pro Berberine 750mg 60 κάψουλες</t>
  </si>
  <si>
    <t>Nature's Plus Probiotics Ultra με Προβιοτικά και Πρεβιοτικά 30 φυτικές κάψουλες</t>
  </si>
  <si>
    <t>Nature's Plus Animal Parade Kids Immune Booster Βιταμίνη για Ανοσοποιητικό Tropical Berry 90 μασώμενες ταμπλέτες</t>
  </si>
  <si>
    <t>Nature's Plus Animal Parade Acidophikidz Προβιοτικά για Παιδιά 90 μασώμενες ταμπλέτες Berry</t>
  </si>
  <si>
    <t>Nature's Plus Plus Nac 1200mg 60 ταμπλέτες</t>
  </si>
  <si>
    <t>Nature's Plus Source of Life Immune Booster Συμπλήρωμα για την Ενίσχυση του Ανοσοποιητικού 90 ταμπλέτες</t>
  </si>
  <si>
    <t>Nature's Plus Bone Support Cal/Mag/Vit D3 with Vitamin K2 90 ταμπλέτες</t>
  </si>
  <si>
    <t>Viridian Magnesium Bisglycinate 60 κάψουλες</t>
  </si>
  <si>
    <t>Viridian Magnesium Taurate 30 κάψουλες</t>
  </si>
  <si>
    <t>Nature's Plus Vitamin B2 Βιταμίνη για την Υγεία του Νευρικού Συστήματος 100mg 90 ταμπλέτες</t>
  </si>
  <si>
    <t>Nature's Plus Super C Complex Βιταμίνη για Ενίσχυση του Ανοσοποιητικού, τo Δέρμα &amp; Αντιοξειδωτική δράση 1000mg 30 κάψουλες</t>
  </si>
  <si>
    <t>Nature's Plus Βιταμίνη για Ενέργεια &amp; Ανοσοποιητικό 90 ταμπλέτες</t>
  </si>
  <si>
    <t>Nature's Plus Pro Berberine 1500mg 60 ταμπλέτες</t>
  </si>
  <si>
    <t>Nature's Plus EPA &amp; DHA Omega 3 Maximum Ιχθυέλαιο 60 μαλακές κάψουλες</t>
  </si>
  <si>
    <t>807205115351</t>
  </si>
  <si>
    <t>Viridian Maca 500mg 60 κάψουλες</t>
  </si>
  <si>
    <t>5060003598398</t>
  </si>
  <si>
    <t>Nature's Plus KalmAssure Magnesium 400mg 90 φυτικές κάψουλες</t>
  </si>
  <si>
    <t>Magnesium Citrate 105mg 75 ζελεδάκια Raspberry</t>
  </si>
  <si>
    <t>Nature's Plus Dyno-mins 300mg 90 ταμπλέτες Μαγνήσιο</t>
  </si>
  <si>
    <t>Natures Plus Hema Plex, 30tabs</t>
  </si>
  <si>
    <t>097467037700</t>
  </si>
  <si>
    <t>Natures Plus Omega 3 Maximum EPA &amp; DHA για τη Φυσιολογική Λειτουργία της Καρδίας &amp; του Εγκεφάλου &amp; της Όρασης 30 Μαλακές Κάψουλες</t>
  </si>
  <si>
    <t>807205116884</t>
  </si>
  <si>
    <t>Nature's Plus Kalmassure Magnesium Glycinate 90 κάψουλες</t>
  </si>
  <si>
    <t>097467336094</t>
  </si>
  <si>
    <t>Natures Plus Animal Parade Gold Πολυβιταμίνες με Γεύση Κεράσι, 60 Μασώμενες Ταμπλέτες</t>
  </si>
  <si>
    <t>097467299313</t>
  </si>
  <si>
    <t>Viridian Sports Electrolyte Fix Liquid Natural 100ml</t>
  </si>
  <si>
    <t>Nature's Plus Animal Parade GOLD Βιταμίνη για Ανοσοποιητικό Cherry Orange Grape 60 μασώμενες ταμπλέτες</t>
  </si>
  <si>
    <t>Collagen Peptides 294gr &amp; Gummies Biotin 500mcg 60 ζελεδάκια</t>
  </si>
  <si>
    <t>Nature's Plus Dyno-mins 300mg 90 ταμπλέτες</t>
  </si>
  <si>
    <t>5204217971794</t>
  </si>
  <si>
    <t>097467459670</t>
  </si>
  <si>
    <t>Nature's Plus PROMO PRΟ Berberine 1500mg 2 x 60 κάψουλες</t>
  </si>
  <si>
    <t>5204217971916</t>
  </si>
  <si>
    <t>Viridian Saffron Extract 30mg 30 κάψουλες</t>
  </si>
  <si>
    <t>Viridian Amino Acids Complex 90 Κάψουλες</t>
  </si>
  <si>
    <t>5060003590200</t>
  </si>
  <si>
    <t>Viridian High Twelve B-Complex Βιταμίνη για Ενέργεια, Ενίσχυση του Ανοσοποιητικού &amp; το Νευρικό Σύστημα 1000mg Energy 30 κάψουλες</t>
  </si>
  <si>
    <t>5060003592556</t>
  </si>
  <si>
    <t>Natures Plus Omega-3 Maximum 60+30softgels</t>
  </si>
  <si>
    <t>5204217971886</t>
  </si>
  <si>
    <t>Natures Plus GI Natural Total Digestive Wellness Φόρμουλα Για Την Υγιή Λειτουργία Του Πεπτικού Συστήματος 90 ταμπλέτες</t>
  </si>
  <si>
    <t>097467043862</t>
  </si>
  <si>
    <t>Olonea Bacteflora Daily με Προβιοτικά και Πρεβιοτικά 10 φυτικές κάψουλες</t>
  </si>
  <si>
    <t>5200116280050</t>
  </si>
  <si>
    <t>Olonea Bacteflora Antibio με Προβιοτικά και Πρεβιοτικά 10 κάψουλες</t>
  </si>
  <si>
    <t>5200116289367</t>
  </si>
  <si>
    <t>Olonea BacteFlora Plus με Προβιοτικά και Πρεβιοτικά 10 φυτικές κάψουλες</t>
  </si>
  <si>
    <t>5200116280012</t>
  </si>
  <si>
    <t>Olonea Bacteflora Cranberry με Προβιοτικά και Πρεβιοτικά 10 φυτικές κάψουλες</t>
  </si>
  <si>
    <t>5200116280074</t>
  </si>
  <si>
    <t>Olonea Berbemax Berberine Complex 30 κάψουλες</t>
  </si>
  <si>
    <t>Olonea Ouromanoz Protect D-Mannose Ειδικό Συμπλήρωμα Διατροφής 60 φυτικές κάψουλες</t>
  </si>
  <si>
    <t>Olonea Ouromanoz Rapid D-Mannose Ειδικό Συμπλήρωμα Διατροφής 14 φακελίσκοι</t>
  </si>
  <si>
    <t>Olonea Bacteflora Daily με Προβιοτικά και Πρεβιοτικά 30 φυτικές κάψουλες</t>
  </si>
  <si>
    <t>Olonea Bacteflora Daily με Προβιοτικά και Πρεβιοτικά 60 φυτικές κάψουλες</t>
  </si>
  <si>
    <t>Olonea BacteFlora Cranberry με Προβιοτικά και Πρεβιοτικά 30 φυτικές κάψουλες</t>
  </si>
  <si>
    <t>5200116280081</t>
  </si>
  <si>
    <t>Olonea Bacteflora Plus με Προβιοτικά και Πρεβιοτικά 60 φυτικές κάψουλες</t>
  </si>
  <si>
    <t>5200116289404</t>
  </si>
  <si>
    <t>Olonea Sidoferon Iron 30mg 30 φυτικές κάψουλες</t>
  </si>
  <si>
    <t>5200116289350</t>
  </si>
  <si>
    <t>Olonea Bacteflora Junior Προβιοτικά για Παιδιά και Βρέφη 30 φακελίσκοι</t>
  </si>
  <si>
    <t>5200116280661</t>
  </si>
  <si>
    <t>Olonea Sidoferon Iron Plus 30 φυτικές κάψουλες</t>
  </si>
  <si>
    <t>5200116280357</t>
  </si>
  <si>
    <t>Olonea Bactefiber Regular Ειδικό Συμπλήρωμα Διατροφής 210gr</t>
  </si>
  <si>
    <t>5200116289442</t>
  </si>
  <si>
    <t>Olonea Omegazym Platinum Ιχθυέλαιο 1300mg 30 μαλακές κάψουλες</t>
  </si>
  <si>
    <t>5200116289398</t>
  </si>
  <si>
    <t>Olonea BacteFlora Intim με Προβιοτικά και Πρεβιοτικά 14 φυτικές κάψουλες</t>
  </si>
  <si>
    <t>5200116289497</t>
  </si>
  <si>
    <t>Olonea BacteFlora Plus με Προβιοτικά και Πρεβιοτικά 30 φυτικές κάψουλες</t>
  </si>
  <si>
    <t>5200116280029</t>
  </si>
  <si>
    <t>Olonea Bactefiber Regular Ειδικό Συμπλήρωμα Διατροφής 5gr 14 φακελίσκοι</t>
  </si>
  <si>
    <t>5200116280609</t>
  </si>
  <si>
    <t>Olonea Bacteflora Gold με Προβιοτικά και Πρεβιοτικά 30 φυτικές κάψουλες</t>
  </si>
  <si>
    <t>Olonea BacteFiber Junior Ειδικό Συμπλήρωμα Διατροφής 14 φακελίσκοι Φράουλα</t>
  </si>
  <si>
    <t>Pharmasept Heliodor Αντηλιακή Κρέμα Προσώπου SPF50 με Χρώμα 50ml</t>
  </si>
  <si>
    <t xml:space="preserve">Pharmasept Αδιάβροχο Παιδικό Αντηλιακό Γαλάκτωμα Heliodor για Πρόσωπο &amp; Σώμα SPF50 150ml </t>
  </si>
  <si>
    <t>Pharmasept Heliobor Σετ με Αντηλιακή Κρέμα Προσώπου &amp; After Sun</t>
  </si>
  <si>
    <t xml:space="preserve">Pharmasept Hygienic Hair Care Σαμπουάν Καθημερινής Χρήσης για Κανονικά Μαλλιά 500ml </t>
  </si>
  <si>
    <t>Pharmasept Παιδικό Αφρόλουτρο Kids Soft Bath με Μέλι για την Ευαίσθητη Περιοχή σε Μορφή Gel 1000ml</t>
  </si>
  <si>
    <t>Pharmasept Flogo Calm Κρέμα για Εγκαύματα 50ml</t>
  </si>
  <si>
    <t>Pharmasept Tol Velvet Hygienic Calendula Αφρόλουτρο για Πρόσωπο , Σώμα &amp; Ευαίσθητη Περιοχή με Αντλία 500ml</t>
  </si>
  <si>
    <t>Pharmasept Λοσιόν για Πρόληψη Ενάντια στις Ψείρες Kid Care Tol Velvet School Cologne για Παιδιά 100ml</t>
  </si>
  <si>
    <t>Pharmasept Tol Velvet Hygienic Calendula Αφρόλουτρο για Πρόσωπο, Σώμα &amp; Ευαίσθητη Περιοχή με Ήπια Αντισηπτική Δράση (με Αντλία) 1000ml</t>
  </si>
  <si>
    <t>Pharmasept Παιδικό Αφρόλουτρο Kids Soft Bath σε Μορφή Gel 500ml</t>
  </si>
  <si>
    <t>Pharmasept Tol Velvet Aid Cryo Power Γέλη Κρυοθεραπείας 100ml</t>
  </si>
  <si>
    <t>Pharmasept Thermo Power Gel Θερμαντική Γέλη 100ml</t>
  </si>
  <si>
    <t>Pharmasept Baby Care Mild Bath 1000ml με Αντλία</t>
  </si>
  <si>
    <t>Pharmasept Kids Extra Mild Αποσμητικό σε Roll-On Χωρίς Αλουμίνιο 50ml</t>
  </si>
  <si>
    <t>Pharmasept Hygienic Mild Αποσμητικό 24h σε Roll-On Χωρίς Αλουμίνιο 50ml</t>
  </si>
  <si>
    <t>Pharmasept Tol Velvet Hygienic Foam Wash Αφρός Καθαρισμού με Αλόη 200ml</t>
  </si>
  <si>
    <t>Pharmasept Baby Care Mild Bath 500ml με Αντλία</t>
  </si>
  <si>
    <t>Pharmasept Tol Velvet Soothing Cream για Ατοπικό Δέρμα 150ml</t>
  </si>
  <si>
    <t>Pharmasept Παιδικό Conditioner Kid Care με Χαμομήλι για Εύκολο Χτένισμα σε Μορφή Gel 150ml</t>
  </si>
  <si>
    <t>Pharmasept Σαμπουάν κατά της Πιτυρίδας για Ξηρά Μαλλιά 400ml</t>
  </si>
  <si>
    <t>Pharmasept Σαμπουάν κατά της Πιτυρίδας για Λιπαρά Μαλλιά 400ml</t>
  </si>
  <si>
    <t>Pharmasept Σαμπουάν Βαθύ Καθαρισμού για Ταλαιπωρημένα Μαλλιά 400ml</t>
  </si>
  <si>
    <t>Pharmasept Tol Velvet Baby Extra Calm Cream 150ml</t>
  </si>
  <si>
    <t>Pharmasept Baby Care Extra Sensitive Bath με Χαμομήλι 250ml με Αντλία</t>
  </si>
  <si>
    <t>Pharmasept Hygienic Ultra Hydra Ενυδατική Lotion με Υαλουρονικό Οξύ 400ml</t>
  </si>
  <si>
    <t>Pharmasept Baby Care Υγρή Πούδρα 150ml</t>
  </si>
  <si>
    <t>5205122002825</t>
  </si>
  <si>
    <t>Pharmasept Παιδικό Σαμπουάν Kid Care Soft Hair με Χαμομήλι σε Μορφή Gel 300ml</t>
  </si>
  <si>
    <t>Pharmasept Flogo Calm Extra Care για Συγκάματα 50ml</t>
  </si>
  <si>
    <t>Pharmasept Tol Velvet Intensive Ενυδατική Κρέμα Ποδιών με Ουρία 75ml</t>
  </si>
  <si>
    <t>Pharmasept Hygienic Ενυδατική Κρέμα Χεριών 75ml</t>
  </si>
  <si>
    <t>Pharmasept Αδιάβροχο Βρεφικό Αντηλιακό Γαλάκτωμα Heliodor για Πρόσωπο &amp; Σώμα SPF50 100ml</t>
  </si>
  <si>
    <t>Pharmasept Heliodor Dry Oil After Sun Λάδι για Πρόσωπο και Σώμα 100ml</t>
  </si>
  <si>
    <t>Pharmasept Tol Velvet Foot Powder Αποσμητικό σε Πούδρα για Μύκητες Ποδιών 70gr</t>
  </si>
  <si>
    <t>Pharmasept Mama's Gentle Αφρόλουτρο σε Gel 500ml</t>
  </si>
  <si>
    <t>Pharmasept Heliodor After Sun Lotion για το Σώμα 200ml</t>
  </si>
  <si>
    <t>Pharmasept Heliodor Αντηλιακή Κρέμα Προσώπου και Σώματος SPF50 150ml</t>
  </si>
  <si>
    <t>Pharmasept Mild Laundry Βρεφικό Υγρό Απορρυπαντικό για Χρωματιστά Ρούχα 1lt (30 Μεζούρες)</t>
  </si>
  <si>
    <t>Pharmasept Pain Patch Θερμαντικά Έμπλαστρα για Μυϊκούς Πόνους &amp; Αρθρώσεις με Άρνικα 5τμχ</t>
  </si>
  <si>
    <t>Pharmasept Heliodor Αντηλιακή Κρέμα Προσώπου SPF50 50ml</t>
  </si>
  <si>
    <t>Pharmasept Pain Patch 1τμχ</t>
  </si>
  <si>
    <t>Pharmasept Hygienic Body Care Foot Lotion 100ml</t>
  </si>
  <si>
    <t>Pharmasept Aid Cryo Power Gel Ψυκτικό Τζελ 1lt</t>
  </si>
  <si>
    <t>5205122004867</t>
  </si>
  <si>
    <t>PharmaTrust Παιδικό Σαμπουάν σε Μορφή Gel 400ml TOL4720</t>
  </si>
  <si>
    <t>5205122004720</t>
  </si>
  <si>
    <t>Pharmasept Hygienic Κρεμώδες Αφρόλουτρο 1000ml</t>
  </si>
  <si>
    <t>5205122004270</t>
  </si>
  <si>
    <t>Pharmasept Mama's Firming Κρέμα για Σύσφιξη Σώματος 250ml</t>
  </si>
  <si>
    <t>5205122003662</t>
  </si>
  <si>
    <t>Pharmasept Παιδικό Σαμπουάν &amp; Αφρόλουτρο σε Μορφή Gel 1000ml</t>
  </si>
  <si>
    <t>5205122005178</t>
  </si>
  <si>
    <t>Pharmasept Heliodor Αντηλιακή Λοσιόν Προσώπου και Σώματος SPF50 σε Spray 165gr</t>
  </si>
  <si>
    <t>5205122003860</t>
  </si>
  <si>
    <t>Pharmasept Mama’s Κρέμα κατά των Ραγάδων Εγκυμοσύνης 150ml</t>
  </si>
  <si>
    <t>5205122003679</t>
  </si>
  <si>
    <t>Pharmasept Cryo Power 250ml</t>
  </si>
  <si>
    <t>5205122004850</t>
  </si>
  <si>
    <t>Pharmasept Flogo Calm Protective Κρέμα για Κατακλίσεις 50ml</t>
  </si>
  <si>
    <t>5205122000487</t>
  </si>
  <si>
    <t>Pharmasept Mild Bath 900ml</t>
  </si>
  <si>
    <t>Pharmasept Hygienic Shower Αφρόλουτρο Refill 900ml</t>
  </si>
  <si>
    <t>Pharmasept Aid Relief Hot Patch Θερμαντικό Έμπλαστρο 1τμχ</t>
  </si>
  <si>
    <t>Pharmasept Extra Soft Μωρομάντηλα 30τμχ</t>
  </si>
  <si>
    <t>Pharmasept Hygienic Σετ Περιποίησης για Ενυδάτωση &amp; Καθαρισμό Σώματος 2τμχ</t>
  </si>
  <si>
    <t>Charak M2-Tone Συμπλήρωμα για την Εμμηνόπαυση 60 ταμπλέτες</t>
  </si>
  <si>
    <t>8901082001058</t>
  </si>
  <si>
    <t>Agan Nous Advanced Memory Support Συμπλήρωμα για την Μνήμη &amp; τη Συγκέντρωση 30 φυτικές κάψουλες</t>
  </si>
  <si>
    <t>5060406350234</t>
  </si>
  <si>
    <t>Agan Eusensia Relanxia Συμπλήρωμα για το Άγχος 20 φυτικές κάψουλες</t>
  </si>
  <si>
    <t>5060406350227</t>
  </si>
  <si>
    <t>Agan Eusensia Stress Adapt Συμπλήρωμα για το Άγχος 30 φυτικές κάψουλες</t>
  </si>
  <si>
    <t>5060406350104</t>
  </si>
  <si>
    <t>Agan Cholesten &amp; Omega 3 1000mg Ειδικό Συμπλήρωμα Διατροφής 30 φυτικές κάψουλες 30 μαλακές κάψουλες</t>
  </si>
  <si>
    <t>5060406350197</t>
  </si>
  <si>
    <t>Agan Hypnus Sleep Factors Συμπλήρωμα για τον Ύπνο 20 φυτικές κάψουλες</t>
  </si>
  <si>
    <t>5060406350135</t>
  </si>
  <si>
    <t>Agan Eusensia No Depress Συμπλήρωμα για το Άγχος 30 φυτικές κάψουλες</t>
  </si>
  <si>
    <t>5060406350111</t>
  </si>
  <si>
    <t>Agan Eusensia Calm Factors Συμπλήρωμα για το Άγχος 10 φυτικές κάψουλες</t>
  </si>
  <si>
    <t>5060406350128</t>
  </si>
  <si>
    <t>Agan Pedia Health Strong Immunity Συμπλήρωμα για την Ενίσχυση του Ανοσοποιητικού 150ml</t>
  </si>
  <si>
    <t>5060406350159</t>
  </si>
  <si>
    <t>Samcos Agan Suprammune Prevent Συμπλήρωμα για την Ενίσχυση του Ανοσοποιητικού 30 μασώμενες ταμπλέτες</t>
  </si>
  <si>
    <t>5060406350043</t>
  </si>
  <si>
    <t>Agan Magnesium Citrate 2100mg 30 ταμπλέτες</t>
  </si>
  <si>
    <t>5060406350364</t>
  </si>
  <si>
    <t>Charak Spasma Σιρόπι για Παιδιά &amp; Ενήλικες για Παραγωγικό Βήχα 200ml</t>
  </si>
  <si>
    <t>8901082002253</t>
  </si>
  <si>
    <t>cosval και charak δεν μου τα εδωσε με μεγαλες εκπτωσεις</t>
  </si>
  <si>
    <t>Charak Sumenta Συμπλήρωμα για το Άγχος 40 ταμπλέτες</t>
  </si>
  <si>
    <t>8901082004455</t>
  </si>
  <si>
    <t>Charak Becamin 100 ταμπλέτες</t>
  </si>
  <si>
    <t>8901082000303</t>
  </si>
  <si>
    <t>Cosval Regula 30 tabs</t>
  </si>
  <si>
    <t>8021685011510</t>
  </si>
  <si>
    <t>Κρέμα Ανάπλασης για Σκασμένες Φτέρνες Scholl (60 ml)</t>
  </si>
  <si>
    <t>5038483668498</t>
  </si>
  <si>
    <t>Scholl Expert Care Αποσμητικό Ποδιών 48h σε Spray 150ml</t>
  </si>
  <si>
    <t>8001443351911</t>
  </si>
  <si>
    <t>Scholl για Μύκητες Νυχιών με Ουρία 3.8ml</t>
  </si>
  <si>
    <t>5052197037692</t>
  </si>
  <si>
    <t>Scholl Ράσπα Ποδιών F940017173</t>
  </si>
  <si>
    <t>5056585803180</t>
  </si>
  <si>
    <t>Scholl Freeze Away Max Wart Remover για Μυρμηγκιές</t>
  </si>
  <si>
    <t>5056585803562</t>
  </si>
  <si>
    <t>Vital Proteins Collagen Peptides 100gr Unflavoured</t>
  </si>
  <si>
    <t>Vital Proteins Marine Collagen 221gr</t>
  </si>
  <si>
    <t>8445290592101</t>
  </si>
  <si>
    <t>Vital Proteins Collagen Peptides 284gr</t>
  </si>
  <si>
    <t>8445290592064</t>
  </si>
  <si>
    <t>Vital Proteins Collagen Peptides 567gr</t>
  </si>
  <si>
    <t>8445290592088</t>
  </si>
  <si>
    <t>Solgar Formula VM-2000 Πολυβιταμίνη για Ενέργεια &amp; Ενίσχυση του Ανοσοποιητικού 90 ταμπλέτες</t>
  </si>
  <si>
    <t>33984004382</t>
  </si>
  <si>
    <t>Solgar Meta-Flex Glucosamine Hyaluronic Acid Chondroitin Msm Shellfish Free Συμπλήρωμα για την Υγεία Αρθρώσεων &amp; Οστών 60 ταμπλέτες</t>
  </si>
  <si>
    <t>33984013162</t>
  </si>
  <si>
    <t>Solgar Skin Nails And Hair Formula 60Tabs</t>
  </si>
  <si>
    <t>33984017351</t>
  </si>
  <si>
    <t>Solgar Skin, Nails And Hair Formula Ειδικό Συμπλήρωμα Διατροφής 120 ταμπλέτες</t>
  </si>
  <si>
    <t>33984017368</t>
  </si>
  <si>
    <t>Minami MorEPA Platinum Elite Ιχθυέλαιο 60 μαλακές κάψουλες</t>
  </si>
  <si>
    <t>8445290724960</t>
  </si>
  <si>
    <t>Minami MorEPA Plus Ιχθυέλαιο 60 μαλακές κάψουλες</t>
  </si>
  <si>
    <t>8445290939852</t>
  </si>
  <si>
    <t>Solgar Magnesium Citrate 200mg 60 ταμπλέτες</t>
  </si>
  <si>
    <t>Solgar Magnesium Citrate 200mg 120 ταμπλέτες</t>
  </si>
  <si>
    <t>Solgar Formula VM-2000 Πολυβιταμίνη για Ενέργεια &amp; Ενίσχυση του Ανοσοποιητικού 30 x 1 ταμπλέτες</t>
  </si>
  <si>
    <t>Solgar Magnesium with Vitamin B6 100 ταμπλέτες</t>
  </si>
  <si>
    <t>Solgar Formula VM-2000 Πολυβιταμίνη για Ενέργεια &amp; Ενίσχυση του Ανοσοποιητικού 60 x 1 ταμπλέτες</t>
  </si>
  <si>
    <t>Solgar Vitamin B12 Βιταμίνη για την Υγεία του Νευρικού Συστήματος 1000mcg 100 υπογλώσσια δισκία</t>
  </si>
  <si>
    <t>Solgar Vitamin D3 (Cholecalciferol) Βιταμίνη για Ενίσχυση του Ανοσοποιητικού &amp; την Υγεία των Οστών 2200iu 100 φυτικές κάψουλες</t>
  </si>
  <si>
    <t>Thank You Farmer Miracle Age Rich 24ωρη Αναπλαστική &amp; Λευκαντική Κρέμα Προσώπου για Ξηρές Επιδερμίδες κατά των Πανάδων 50ml</t>
  </si>
  <si>
    <t>Thank You Farmer Rice Pure Clay Μάσκα Προσώπου για Ενυδάτωση με Άργιλο 150ml</t>
  </si>
  <si>
    <t>Thank You Farmer Rice Pure Gel and Cream 80ml</t>
  </si>
  <si>
    <t>Thank You Farmer Sun Project Skin Relief Αντηλιακή Κρέμα Προσώπου SPF50 50ml</t>
  </si>
  <si>
    <t>Thank You Farmer Sun Project Silky Calming Αντηλιακό Stick Προσώπου SPF50 14gr</t>
  </si>
  <si>
    <t>Thank You Farmer Sun Project Water Αντηλιακή Κρέμα Προσώπου SPF50 50ml</t>
  </si>
  <si>
    <t>Thank You Farmer Sun Project Light Sun Essence Αντηλιακή Λοσιόν Προσώπου SPF50 40ml</t>
  </si>
  <si>
    <t>Thank You Farmer Sun Project Shimmer Sun Essence Αντηλιακή Κρέμα Προσώπου SPF30 40ml</t>
  </si>
  <si>
    <t>Thank You Farmer Αντιγηραντικό Serum Προσώπου 60ml</t>
  </si>
  <si>
    <t>Thank You Farmer Be Beautiful BB Natural Κρέμα Προσώπου Ημέρας με SPF30 για Ενυδάτωση 40ml</t>
  </si>
  <si>
    <t>Thank You Farmer True Water Deep Cotton Mask 25ml</t>
  </si>
  <si>
    <t>Thank You Farmer Be Beautiful Pure Make Up Base 40ml</t>
  </si>
  <si>
    <t>Thank You Farmer Miracle Age Repair Toner 150ml</t>
  </si>
  <si>
    <t>Thank You Farmer Micellar Water Καθαρισμού Back to Iceland 270ml</t>
  </si>
  <si>
    <t>Thank You Farmer Sun Project Light Sun Essence Αντηλιακή Λοσιόν Προσώπου SPF50 120ml</t>
  </si>
  <si>
    <t>Thank You Farmer Υγρό Τόνωσης Rice Pure Essential Toner 200ml</t>
  </si>
  <si>
    <t>Thank You Farmer Miracle Age 24ωρο Γαλάκτωμα Προσώπου για Ανάπλαση, Πανάδες &amp; Λεύκανση 150ml</t>
  </si>
  <si>
    <t>Thank You Farmer Lotion Τόνωσης True Water 150ml</t>
  </si>
  <si>
    <t>8809454980041</t>
  </si>
  <si>
    <t>Thank You Farmer Rice Pure Aqua Multi Ενυδατικό Balm Προσώπου 10gr</t>
  </si>
  <si>
    <t>Thank You Farmer Miracle Age Melawring Dual Balm Ενυδατικό &amp; Αντιγηραντικό Balm Προσώπου 10gr</t>
  </si>
  <si>
    <t>Thank You Farmer Βαck To Iceland Cleansing Foam Αφρός Καθαρισμού Προσώπου με Εκχύλισμα Πόας 120ml</t>
  </si>
  <si>
    <t>Thank You Farmer True Water Deep Cream 50ml</t>
  </si>
  <si>
    <t>Thank You Farmer True Water Light Ενυδατικό Gel Προσώπου για Λιπαρές/Μικτές Επιδερμίδες με Aloe Vera 50ml</t>
  </si>
  <si>
    <t>Thank You Farmer True Water Deep Ενυδατικό Serum Προσώπου 60ml</t>
  </si>
  <si>
    <t>8809454981680</t>
  </si>
  <si>
    <t>Thank You Farmer Face Water Ενυδάτωσης True Water Vita Mist 105ml</t>
  </si>
  <si>
    <t>8809454980423</t>
  </si>
  <si>
    <t xml:space="preserve">Thank You Farmer Back to Relax Soothing Gel Mask 100ml </t>
  </si>
  <si>
    <t>Thank You Farmer Miracle Repair Cotton Mask 25ml</t>
  </si>
  <si>
    <t>Thank You Farmer Miracle Age Ενυδατική &amp; Αντιγηραντική Κρέμα Ματιών κατά των Μαύρων Κύκλων 20gr</t>
  </si>
  <si>
    <t>Thank You Farmer Gel κατά της Ακμής Phyto Relieful Cica Gel για Ευαίσθητες Επιδερμίδες 120ml</t>
  </si>
  <si>
    <t>Thank You Farmer Phyto Relieful Cica 24ωρη Ενυδατική Κρέμα Προσώπου 80ml</t>
  </si>
  <si>
    <t>Thank You Farmer Pure Daily Foaming Gel Cleanser 200ml</t>
  </si>
  <si>
    <t>Thank You Farmer Back to Iceland Peeling Cream 150ml</t>
  </si>
  <si>
    <t>Thank You Farmer Be Beautiful CC Luminous Κρέμα Προσώπου Ημέρας με SPF30 για Ενυδάτωση 40ml</t>
  </si>
  <si>
    <t>Thank You Farmer Phyto Relieful Cica Ενυδατικό Serum Προσώπου για Ακμή 50ml</t>
  </si>
  <si>
    <t>Thank You Farmer Υγρό Τόνωσης Phyto Relieful Cica Boosting Toner για Ευαίσθητες Επιδερμίδες 200ml</t>
  </si>
  <si>
    <t>Thank You Farmer Βe Beautiful BB Sand Beige Ενυδατική Κρέμα Προσώπου Ημέρας 40ml</t>
  </si>
  <si>
    <t>Thank You Farmer BakuVita Revitalizing Serum Προσώπου με Ρετινόλη για Αναζωογόνηση 50ml</t>
  </si>
  <si>
    <t>8809454982663</t>
  </si>
  <si>
    <t>Thank You Farmer BakuVita Intensive Serum Ματιών με Ρετινόλη 30ml</t>
  </si>
  <si>
    <t>8809454982656</t>
  </si>
  <si>
    <t>Thank You Farmer Υγρό Τόνωσης Προσώπου 200ml</t>
  </si>
  <si>
    <t>Thank You Farmer BakuVita Ενυδατική Κρέμα Προσώπου με Ρετινόλη 50ml</t>
  </si>
  <si>
    <t>Yadah Green Tea Pure Κρέμα Καθαρισμού Προσώπου 100ml</t>
  </si>
  <si>
    <t>Yadah Aqua Cactus Sun Essence Αντηλιακό Προσώπου SPF50+ 60ml</t>
  </si>
  <si>
    <t>Yadah Anti-t Ενυδατική Κρέμα Προσώπου για Μικτές Επιδερμίδες κατά της Ακμής 50ml</t>
  </si>
  <si>
    <t>Yadah Cactus Toner Pads Καθαρισμού Προσώπου 60 Τεμάχια</t>
  </si>
  <si>
    <t>Yadah Cactus Green Hydra Ενυδατικό &amp; Αντιγηραντικό Serum Προσώπου 30ml</t>
  </si>
  <si>
    <t>Yadah Μάσκα Ματιών για Θρέψη</t>
  </si>
  <si>
    <t>Yadah Cushion Make Up 21 Light Beige 15gr</t>
  </si>
  <si>
    <t>Yadah Lip Gloss Peach Coral 4gr</t>
  </si>
  <si>
    <t>Yadah Be My Cushion Spf50 Pa 15gr 23 Natural Beige</t>
  </si>
  <si>
    <t>Luvum Pads Τόνωσης Προσώπου για Ευαίσθητες Επιδερμίδες 60τμχ</t>
  </si>
  <si>
    <t>Vican Cer'8 Junior Εντομοαπωθητικά Αυτοκόλλητα Κατάλληλα για Παιδιά 48τμχ</t>
  </si>
  <si>
    <t>5204559030111</t>
  </si>
  <si>
    <t>Vican Cer'8 Άοσμη Εντομοαπωθητική Κρέμα σε Σωληνάριο Κρέμα σε Σωληνάριο Κατάλληλη για Παιδιά 150ml 12τμχ</t>
  </si>
  <si>
    <t>5204559009377</t>
  </si>
  <si>
    <t>Vican Cer’8 Junior Εντομοαπωθητικά Αυτοκόλλητα Κατάλληλα για Παιδιά 24τμχ</t>
  </si>
  <si>
    <t>Vican Σαπούνι Περιποίησης για Γένια και Μουστάκι Wise Men 200ml</t>
  </si>
  <si>
    <t>5204559515625</t>
  </si>
  <si>
    <t>5204559515816</t>
  </si>
  <si>
    <t>Vican Varidoc Heavy Legs Ενυδατική Κρέμα για Κουρασμένα Πόδια 250ml</t>
  </si>
  <si>
    <t>5204559020846</t>
  </si>
  <si>
    <t>Vican Varidoc Heavy Legs Cream 150ml</t>
  </si>
  <si>
    <t>5204559020839</t>
  </si>
  <si>
    <t>Vican Λάδι Περιποίησης για Γένια Wise Men 30ml</t>
  </si>
  <si>
    <t>5204559515526</t>
  </si>
  <si>
    <t>5204559515519</t>
  </si>
  <si>
    <t>Vican Bald Head Care Fresh Cream 100ml</t>
  </si>
  <si>
    <t>5204559516028</t>
  </si>
  <si>
    <t>Vican Wise Men 24ωρη All in One After Shave &amp; Ανδρική Κρέμα Προσώπου για Ενυδάτωση, Αντιγήρανση &amp; Ανάπλαση με Υαλουρονικό Οξύ 50ml</t>
  </si>
  <si>
    <t>5204559051505</t>
  </si>
  <si>
    <t>Vican Wise Men Prebiotic Intimate Gel Καθαρισμού 250ml</t>
  </si>
  <si>
    <t>5204559051635</t>
  </si>
  <si>
    <t>5204559515823</t>
  </si>
  <si>
    <t>Vican Φυσικό Αποσμητικό σε Spray Χωρίς Αλουμίνιο 100ml</t>
  </si>
  <si>
    <t>5204559051642</t>
  </si>
  <si>
    <t>Vican Chewy Vites Adults Multivitamin Complex Πολυβιταμίνη για Ενέργεια &amp; Ενίσχυση του Ανοσοποιητικού 60 ζελεδάκια</t>
  </si>
  <si>
    <t>5060629140087</t>
  </si>
  <si>
    <t>Vican Chewy Vites Adults Hair Skin &amp; Nails Ειδικό Συμπλήρωμα Διατροφής 60 ζελεδάκια Red Fruits</t>
  </si>
  <si>
    <t>5060629140124</t>
  </si>
  <si>
    <t>Vican Chewy Vites Collagen Beauty Complex Φράουλα 60 ζελεδάκια</t>
  </si>
  <si>
    <t>5060629140933</t>
  </si>
  <si>
    <t>Vican Chewy Vites Adults Immune Function Vitamins C, D, B6 &amp; B12 Πολυβιταμίνη για Ενίσχυση του Ανοσοποιητικού Πορτοκάλι 60 x 1 ζελεδάκια</t>
  </si>
  <si>
    <t>5060629140148</t>
  </si>
  <si>
    <t>Vican Chewy Vites Kids Multi Vitamin Plus Πολυβιταμίνη για Ενίσχυση του Ανοσοποιητικού, τα Μαλλιά &amp; τo Δέρμα 60 ζελεδάκια</t>
  </si>
  <si>
    <t>6009802761809</t>
  </si>
  <si>
    <t>Vican Chewy Vites Tummy Support Προβιοτικά για Παιδιά 60 ζελεδάκια</t>
  </si>
  <si>
    <t>5060629141138</t>
  </si>
  <si>
    <t>Vican Chewy Vites Vitamin C Βιταμίνη για Ενίσχυση του Ανοσοποιητικού, τo Δέρμα &amp; Αντιοξειδωτική δράση 80mg 60 x 1 ζελεδάκια</t>
  </si>
  <si>
    <t>6009802761823</t>
  </si>
  <si>
    <t>Vican Chewy Vites Σίδηρος &amp; Πολυβιταμίνες 60 ζελεδάκια</t>
  </si>
  <si>
    <t>6009802761861</t>
  </si>
  <si>
    <t>Vican Chewy Vites Omega 3 &amp; Multivitamin Πολυβιταμίνη για Ενέργεια, Ενίσχυση του Ανοσοποιητικού &amp; τα Μαλλιά 60 x 1 ζελεδάκια</t>
  </si>
  <si>
    <t>6009702811307</t>
  </si>
  <si>
    <t>Vican Chewy Vites Πρόπολη &amp; Vitamin C Πολυβιταμίνη για Ενίσχυση του Ανοσοποιητικού Fruit 60 x 1 ζελεδάκια</t>
  </si>
  <si>
    <t>6009802761847</t>
  </si>
  <si>
    <t>Vican Αντιφθειρική Λοσιόν σε Spray Cer'8 Άοσμο για Παιδιά 125ml</t>
  </si>
  <si>
    <t>5204559030609</t>
  </si>
  <si>
    <t>Viogenesis Alive Multi Βιταμίνη 60 κάψουλες</t>
  </si>
  <si>
    <t>4260006585017</t>
  </si>
  <si>
    <t>Viogenesis Brain Active Συμπλήρωμα για την Μνήμη 30 ταμπλέτες</t>
  </si>
  <si>
    <t>4260006585345</t>
  </si>
  <si>
    <t>Viogenesis Energy Plus 2000mg Ειδικό Συμπλήρωμα Διατροφής 60 ταμπλέτες Energy</t>
  </si>
  <si>
    <t>4260006588728</t>
  </si>
  <si>
    <t>Viogenesis Berberine 500mg Βερβερίδα 30 φυτικές κάψουλες</t>
  </si>
  <si>
    <t>4260006588674</t>
  </si>
  <si>
    <t>Viogenesis L-Glutamine Powder 250gr Unflavoured</t>
  </si>
  <si>
    <t>4260006580845</t>
  </si>
  <si>
    <t>Viogenesis Zinc Gluconate 30mg 60 ταμπλέτες</t>
  </si>
  <si>
    <t>4260006580739</t>
  </si>
  <si>
    <t>Viogenesis Krill Oil Superba 600mg 60 κάψουλες</t>
  </si>
  <si>
    <t>4260006581170</t>
  </si>
  <si>
    <t>Viogenesis Zinc Depot 30mg 60 ταμπλέτες</t>
  </si>
  <si>
    <t>4260006581064</t>
  </si>
  <si>
    <t>Viogenesis Omega 3-TG Fish Oil Ιχθυέλαιο 500mg 60 μαλακές κάψουλες</t>
  </si>
  <si>
    <t>4260006585307</t>
  </si>
  <si>
    <t>Viogenesis Prostafit Active Συμπλήρωμα για την Υγεία του Προστάτη 30 ταμπλέτες</t>
  </si>
  <si>
    <t>4260006584874</t>
  </si>
  <si>
    <t>Viogenesis L-Carnitine Mix Acetyl + Tartrate 350mg 60 κάψουλες</t>
  </si>
  <si>
    <t>4260006585321</t>
  </si>
  <si>
    <t>Viogenesis Melatonin Express 1mg Συμπλήρωμα για τον Ύπνο 30 μασώμενες ταμπλέτες</t>
  </si>
  <si>
    <t>4260006580753</t>
  </si>
  <si>
    <t>Viogenesis Enteromol Ειδικό Συμπλήρωμα Διατροφής 8 κάψουλες</t>
  </si>
  <si>
    <t>4260006584898</t>
  </si>
  <si>
    <t>Viogenesis VotadeTox Ειδικό Συμπλήρωμα Διατροφής 500ml</t>
  </si>
  <si>
    <t>4260006585048</t>
  </si>
  <si>
    <t>Viogenesis Super Curcumin 30 κάψουλες</t>
  </si>
  <si>
    <t>Viogenesis Magnesium Complex 60 φυτικές κάψουλες</t>
  </si>
  <si>
    <t>Viogenesis Vitamin D3 Plus Depot Βιταμίνη για Ανοσοποιητικό 2500iu 80mg 90 κάψουλες</t>
  </si>
  <si>
    <t>Viogenesis Βιταμίνη C για το Ανοσοποιητικό 60 ταμπλέτες</t>
  </si>
  <si>
    <t>Viogenesis Vitamin K2 (MK-7) + Vitamin D3 Depot Βιταμίνη για Ανοσοποιητικό 4000iu 60 ταμπλέτες</t>
  </si>
  <si>
    <t>Viogenesis Vitamin C Βιταμίνη για Ενέργεια &amp; Ανοσοποιητικό 1000mg 30 ταμπλέτες</t>
  </si>
  <si>
    <t>Viogenesis ProbioMix 16 Προβιοτικά 10 κάψουλες</t>
  </si>
  <si>
    <t>Viogenesis Cholestrofit Ειδικό Συμπλήρωμα Διατροφής 60 φυτικές κάψουλες</t>
  </si>
  <si>
    <t>Viogenesis Ubiquinol Qh Kaneka 100mg 30 μαλακές κάψουλες</t>
  </si>
  <si>
    <t>Viogenesis Coenzyme Q10 100mg 30 κάψουλες</t>
  </si>
  <si>
    <t>Viogenesis Coenzym Q10 400mg 30 φυτικές κάψουλες</t>
  </si>
  <si>
    <t>4260006588537</t>
  </si>
  <si>
    <t>Viogenesis Thyrofit Ειδικό Συμπλήρωμα Διατροφής 60 κάψουλες</t>
  </si>
  <si>
    <t>5207415000112</t>
  </si>
  <si>
    <t>Viogenesis Serraprozyme 30 κάψουλες</t>
  </si>
  <si>
    <t>4260006588865</t>
  </si>
  <si>
    <t>Viogenesis Nattokinase 100mg 30 φυτικές κάψουλες</t>
  </si>
  <si>
    <t>VIOGENESIS COENZYME Q10 CAPSULES 100MG 30CAPS</t>
  </si>
  <si>
    <t>Viogenesis ProstaFit Extra Συμπλήρωμα για την Υγεία του Προστάτη 30 φυτικές κάψουλες</t>
  </si>
  <si>
    <t>5207415000099</t>
  </si>
  <si>
    <t xml:space="preserve">Uni-Pharma Cranfix Cranberry 60 μαλακές κάψουλες </t>
  </si>
  <si>
    <t>Uni-Pharma Repel Άοσμη Εντομοαπωθητική Λοσιόν σε Spray με Υαλουρονικό Κατάλληλη για Παιδιά 100ml</t>
  </si>
  <si>
    <t>Uni-Pharma Lacto Levure Προβιοτικά 10 κάψουλες</t>
  </si>
  <si>
    <t>Uni-Pharma B12 fix 1000μg Βιταμίνη για Ενέργεια 1000mcg 30 ταμπλέτες</t>
  </si>
  <si>
    <t>Uni-Pharma D3 Fix Extra Βιταμίνη για το Ανοσοποιητικό 2000iu 60 ταμπλέτες</t>
  </si>
  <si>
    <t>Uni-Pharma Αντιφθειρικό Σαμπουάν &amp; Λοσιόν Repel Anti-lice Restore 3 in 1 200ml</t>
  </si>
  <si>
    <t>Uni-Pharma D3 Fix Βιταμίνη για το Ανοσοποιητικό 1200iu 60 ταμπλέτες</t>
  </si>
  <si>
    <t>Uni-Pharma Repel Άοσμη Εντομοαπωθητική Λοσιόν σε Spray Κατάλληλη για Παιδιά 150ml</t>
  </si>
  <si>
    <t>Uni-Pharma D3 Fix Max Βιταμίνη για το Ανοσοποιητικό 4000iu 60 ταμπλέτες</t>
  </si>
  <si>
    <t>Uni-Pharma Vitorange Immuno Vitamin C + Zn Βιταμίνη για Ενέργεια &amp; Ανοσοποιητικό Πορτοκάλι 30 μασώμενες ταμπλέτες</t>
  </si>
  <si>
    <t xml:space="preserve">Uni-Pharma Repel After Bite Gel για Μετά το Τσίμπημα σε Σωληνάριο Κατάλληλο για Παιδιά 20ml </t>
  </si>
  <si>
    <t xml:space="preserve">Uni-Pharma Repel Myco Clean Pen Στυλό για Μύκητες Νυχιών 3ml </t>
  </si>
  <si>
    <t xml:space="preserve">Uni-Pharma Lacto Levure IBS Προβιοτικά 30 φακελίσκοι </t>
  </si>
  <si>
    <t>Uni-Pharma Tonosan Sidiro Folic Βιταμίνη 20 φακελίσκοι</t>
  </si>
  <si>
    <t>Uni-Pharma Magne &amp; B6 Fix 30 φακελίσκοι</t>
  </si>
  <si>
    <t>5206938000289</t>
  </si>
  <si>
    <t>Uni-Pharma Tonosan Skin-Hair-Nails Booster 7ml 15 μερίδες</t>
  </si>
  <si>
    <t>5206938002825</t>
  </si>
  <si>
    <t>Uni-Pharma Multivitamin 50 + Βιταμίνη για Ενέργεια 60 κάψουλες</t>
  </si>
  <si>
    <t>5206938002689</t>
  </si>
  <si>
    <t>Uni-Pharma Multivitamin Βιταμίνη για Ενέργεια 15 x 15ml 15τμχ</t>
  </si>
  <si>
    <t>5206938002665</t>
  </si>
  <si>
    <t>Uni-Pharma D3 Fix + K2 Βιταμίνη για Ανοσοποιητικό 4000iu 45mg 60 κάψουλες</t>
  </si>
  <si>
    <t>Uni-Pharma D3 Fix + K2 Βιταμίνη για Ανοσοποιητικό 2000iu 45mg 60 ταμπλέτες</t>
  </si>
  <si>
    <t>Uni-Pharma D3 Fix + K2 Βιταμίνη για Ανοσοποιητικό 1200iu 45mg 60 ταμπλέτες</t>
  </si>
  <si>
    <t>Uni-Pharma D3 Fix Max Βιταμίνη για Ανοσοποιητικό 4000iu 60 ταμπλέτες</t>
  </si>
  <si>
    <t>Uni-Pharma Vitorange Βιταμίνη για Ενέργεια &amp; Ανοσοποιητικό 1000mg Πορτοκάλι 12 αναβράζοντα δισκία</t>
  </si>
  <si>
    <t>Winmedica Sideral Forte με Σίδηρο &amp; Βιταμίνη C 30 κάψουλες</t>
  </si>
  <si>
    <t>5207071000143</t>
  </si>
  <si>
    <t>Winmedica UltraMag Oro 30 φακελίσκοι</t>
  </si>
  <si>
    <t>5207071000105</t>
  </si>
  <si>
    <t>Winmedica Valetonina Συμπλήρωμα για τον Ύπνο 60 ταμπλέτες</t>
  </si>
  <si>
    <t>WinMedica Sideral Sport 20 Φακελίδια</t>
  </si>
  <si>
    <t>934481425</t>
  </si>
  <si>
    <t>Winmedica Sideral Folico Συμπλήρωμα Διατροφής με Σίδηρο, Φολικό Οξύ &amp; Βιταμίνες 20 Φακελίσκοι</t>
  </si>
  <si>
    <t>Winmedica Sideral Forte 20 κάψουλες</t>
  </si>
  <si>
    <t>033984004252</t>
  </si>
  <si>
    <t>0033984017207</t>
  </si>
  <si>
    <t>0033984004375</t>
  </si>
  <si>
    <t>033984032293</t>
  </si>
  <si>
    <t>033984033177</t>
  </si>
  <si>
    <t>033984017108</t>
  </si>
  <si>
    <t>033984017115</t>
  </si>
  <si>
    <t>Συσκευασία (€)</t>
  </si>
  <si>
    <t>SKOUTZ</t>
  </si>
  <si>
    <t>8445290113221</t>
  </si>
  <si>
    <t>Doctor's Formulas Magnesium Citrate 200mg 60 ταμπλέτες</t>
  </si>
  <si>
    <t>Doctor's Formulas Magnesium Bisglycinate Chelate 125mg 90 κάψουλες</t>
  </si>
  <si>
    <t>Doctor's Formulas Magnesium Formula 60 κάψουλες</t>
  </si>
  <si>
    <t>Doctor's Formulas Magnesium Formula 120 κάψουλες</t>
  </si>
  <si>
    <t>Doctor's Formulas Esakor Ιχθυέλαιο 90 μαλακές κάψουλες</t>
  </si>
  <si>
    <t>Doctor's Formulas Vitamin C Fast Action 1000mg Βιταμίνη για Ενίσχυση του Ανοσοποιητικού, τo Δέρμα &amp; Αντιοξειδωτική δράση 1000mg 30 ταμπλέτες</t>
  </si>
  <si>
    <t>Doctor's Formulas Vitamin D3 2500iu &amp; K2 200mcg Βιταμίνη για Ενίσχυση του Ανοσοποιητικού &amp; την Υγεία των Οστών 2500iu 150ml</t>
  </si>
  <si>
    <t>Doctor's Formulas Vitamin D3 Βιταμίνη για Ενίσχυση του Ανοσοποιητικού &amp; την Υγεία των Οστών 2000iu 60 κάψουλες</t>
  </si>
  <si>
    <t>Doctor's Formulas B-Complex Formula Βιταμίνη για Ενέργεια, Ενίσχυση του Ανοσοποιητικού &amp; το Νευρικό Σύστημα 60 ταμπλέτες</t>
  </si>
  <si>
    <t>5200403400864</t>
  </si>
  <si>
    <t>5200403400871</t>
  </si>
  <si>
    <t>5200403400352</t>
  </si>
  <si>
    <t>5200403400130</t>
  </si>
  <si>
    <t>5200403400109</t>
  </si>
  <si>
    <t>5200403400369</t>
  </si>
  <si>
    <t>5200403400673</t>
  </si>
  <si>
    <t>5200403400543</t>
  </si>
  <si>
    <t>5200403400376</t>
  </si>
  <si>
    <t>Menarini Prostamol Συμπλήρωμα για την Υγεία του Προστάτη 30 μαλακές κάψουλες</t>
  </si>
  <si>
    <t>Menarini Prostamol Συμπλήρωμα για την Υγεία του Προστάτη 60 μαλακές κάψουλες</t>
  </si>
  <si>
    <t>5213007120151</t>
  </si>
  <si>
    <t>033984017351</t>
  </si>
  <si>
    <t>033984013162</t>
  </si>
  <si>
    <t>033984036703</t>
  </si>
  <si>
    <t>033984005082</t>
  </si>
  <si>
    <t>Durex Προφυλακτικά Extended Pleasure με Επιβραδυντικό 3τμχ</t>
  </si>
  <si>
    <t>Durex Προφυλακτικά Sensitive Thin Feel 3τμχ</t>
  </si>
  <si>
    <t>Durex Προφυλακτικά Pleasure Max με Ραβδώσεις 3τμχ</t>
  </si>
  <si>
    <t>Durex Προφυλακτικά Jeans 3τμχ</t>
  </si>
  <si>
    <t>5038483197882</t>
  </si>
  <si>
    <t>5208070002404</t>
  </si>
  <si>
    <t>5038483444702</t>
  </si>
  <si>
    <t>5010232962811</t>
  </si>
  <si>
    <t>4260006581194</t>
  </si>
  <si>
    <t>4260006588629</t>
  </si>
  <si>
    <t>4260006585123</t>
  </si>
  <si>
    <t>4260006588490</t>
  </si>
  <si>
    <t>4260006585079</t>
  </si>
  <si>
    <t>4260006584928</t>
  </si>
  <si>
    <t>4260006580890</t>
  </si>
  <si>
    <t>4260006588810</t>
  </si>
  <si>
    <t>4260006581057</t>
  </si>
  <si>
    <t>4260006588599</t>
  </si>
  <si>
    <t>4260006588520</t>
  </si>
  <si>
    <t>5207415000181</t>
  </si>
  <si>
    <t>805731993955</t>
  </si>
  <si>
    <t>805731994044</t>
  </si>
  <si>
    <t>805731993948</t>
  </si>
  <si>
    <t>805731994525</t>
  </si>
  <si>
    <t>805731993900</t>
  </si>
  <si>
    <t>805731993917</t>
  </si>
  <si>
    <t>805731994181</t>
  </si>
  <si>
    <t>805731994457</t>
  </si>
  <si>
    <t>805731994266</t>
  </si>
  <si>
    <t>805731994068</t>
  </si>
  <si>
    <t>805731994075</t>
  </si>
  <si>
    <t>805731994433</t>
  </si>
  <si>
    <t>805731993627</t>
  </si>
  <si>
    <t>805731994389</t>
  </si>
  <si>
    <t>805731993924</t>
  </si>
  <si>
    <t>805731992842</t>
  </si>
  <si>
    <t>805731993139</t>
  </si>
  <si>
    <t>805731992897</t>
  </si>
  <si>
    <t>805731993269</t>
  </si>
  <si>
    <t>805731994273</t>
  </si>
  <si>
    <t>805731994396</t>
  </si>
  <si>
    <t>805731994372</t>
  </si>
  <si>
    <t>805731994365</t>
  </si>
  <si>
    <t>805731993979</t>
  </si>
  <si>
    <t>805731994006</t>
  </si>
  <si>
    <t>805731994037</t>
  </si>
  <si>
    <t>805731993504</t>
  </si>
  <si>
    <t>805731994235</t>
  </si>
  <si>
    <t>5200040107041</t>
  </si>
  <si>
    <t>5200040107065</t>
  </si>
  <si>
    <t>5200040107638</t>
  </si>
  <si>
    <t>5200040107591</t>
  </si>
  <si>
    <t>8050762830744</t>
  </si>
  <si>
    <t>5207071000013</t>
  </si>
  <si>
    <t>5207071000020</t>
  </si>
  <si>
    <t>8033011160113</t>
  </si>
  <si>
    <t>Winmedica Spray για Επούλωση 125ml</t>
  </si>
  <si>
    <t>8050762830201</t>
  </si>
  <si>
    <t>5213006870200</t>
  </si>
  <si>
    <t>5213006870156</t>
  </si>
  <si>
    <t>5213006870187</t>
  </si>
  <si>
    <t>5213006870217</t>
  </si>
  <si>
    <t>5213006870606</t>
  </si>
  <si>
    <t>5213006870736</t>
  </si>
  <si>
    <t>5213006870262</t>
  </si>
  <si>
    <t>5213006870170</t>
  </si>
  <si>
    <t>7640167810789</t>
  </si>
  <si>
    <t>Meetab My Immuno Συμπλήρωμα για την Ενίσχυση του Ανοσοποιητικού 60 ταμπλέτες</t>
  </si>
  <si>
    <t>5205122003891</t>
  </si>
  <si>
    <t>5205122003310</t>
  </si>
  <si>
    <t>5205122004041</t>
  </si>
  <si>
    <t>5205122002832</t>
  </si>
  <si>
    <t>5205122003211</t>
  </si>
  <si>
    <t>5205122000456</t>
  </si>
  <si>
    <t>5205122002306</t>
  </si>
  <si>
    <t>5205122002399</t>
  </si>
  <si>
    <t>5205122000890</t>
  </si>
  <si>
    <t>5205122001774</t>
  </si>
  <si>
    <t>5205122000647</t>
  </si>
  <si>
    <t>5205122001408</t>
  </si>
  <si>
    <t>5205122000944</t>
  </si>
  <si>
    <t>5205122002405</t>
  </si>
  <si>
    <t>5205122002917</t>
  </si>
  <si>
    <t>5205122000869</t>
  </si>
  <si>
    <t>5205122002320</t>
  </si>
  <si>
    <t>5205122000739</t>
  </si>
  <si>
    <t>5205122001972</t>
  </si>
  <si>
    <t>5205122004218</t>
  </si>
  <si>
    <t>5205122004188</t>
  </si>
  <si>
    <t>5205122004157</t>
  </si>
  <si>
    <t>5205122000920</t>
  </si>
  <si>
    <t>5205122001781</t>
  </si>
  <si>
    <t>5205122003624</t>
  </si>
  <si>
    <t>5205122001941</t>
  </si>
  <si>
    <t>5205122000555</t>
  </si>
  <si>
    <t>5205122000500</t>
  </si>
  <si>
    <t>5205122000494</t>
  </si>
  <si>
    <t>5205122003297</t>
  </si>
  <si>
    <t>5205122004348</t>
  </si>
  <si>
    <t>5205122000432</t>
  </si>
  <si>
    <t>5205122003655</t>
  </si>
  <si>
    <t>5205122003426</t>
  </si>
  <si>
    <t>5205122003334</t>
  </si>
  <si>
    <t>5205122002542</t>
  </si>
  <si>
    <t>5205122001606</t>
  </si>
  <si>
    <t>5205122003358</t>
  </si>
  <si>
    <t>5205122001651</t>
  </si>
  <si>
    <t>5205122000425</t>
  </si>
  <si>
    <t>5205122005130</t>
  </si>
  <si>
    <t>5205122005154</t>
  </si>
  <si>
    <t>5205122002719</t>
  </si>
  <si>
    <t>5205122002580</t>
  </si>
  <si>
    <t>5205122004836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</si>
</sst>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€&quot;#,##0.00"/>
  </numFmts>
  <fonts count="2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sz val="10"/>
      <color theme="1"/>
      <name val="Verdana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Arial"/>
    </font>
    <font>
      <sz val="11"/>
      <color theme="1"/>
      <name val="Arial"/>
    </font>
    <font>
      <sz val="10"/>
      <color theme="1"/>
      <name val="Calibri"/>
    </font>
    <font>
      <sz val="10"/>
      <color theme="1"/>
      <name val="Arial"/>
    </font>
    <font>
      <b/>
      <sz val="11"/>
      <color rgb="FFFFFFFF"/>
      <name val="Calibri"/>
    </font>
    <font>
      <sz val="11"/>
      <color rgb="FF000000"/>
      <name val="Calibri"/>
    </font>
    <font>
      <sz val="11"/>
      <color theme="1"/>
      <name val="Verdana"/>
    </font>
    <font>
      <sz val="10"/>
      <color theme="1"/>
      <name val="Arial"/>
      <family val="2"/>
      <charset val="161"/>
      <scheme val="minor"/>
    </font>
    <font>
      <sz val="10"/>
      <color theme="1"/>
      <name val="Verdana"/>
      <family val="2"/>
      <charset val="161"/>
    </font>
    <font>
      <sz val="11"/>
      <color theme="1"/>
      <name val="Calibri"/>
      <family val="2"/>
      <charset val="161"/>
    </font>
    <font>
      <b/>
      <sz val="16"/>
      <color theme="1"/>
      <name val="Calibri"/>
      <family val="2"/>
      <charset val="161"/>
    </font>
    <font>
      <sz val="16"/>
      <color theme="1"/>
      <name val="Arial"/>
      <family val="2"/>
      <charset val="161"/>
      <scheme val="minor"/>
    </font>
    <font>
      <sz val="16"/>
      <color rgb="FF000000"/>
      <name val="Arial"/>
      <family val="2"/>
      <charset val="161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00FF"/>
        <bgColor rgb="FFFF00FF"/>
      </patternFill>
    </fill>
    <fill>
      <patternFill patternType="solid">
        <fgColor rgb="FF4F81BD"/>
        <bgColor rgb="FF4F81BD"/>
      </patternFill>
    </fill>
    <fill>
      <patternFill patternType="solid">
        <fgColor rgb="FF00FFFF"/>
        <bgColor rgb="FF00FFFF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theme="4" tint="0.79998168889431442"/>
        <bgColor rgb="FFB8CCE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BE5F1"/>
      </patternFill>
    </fill>
    <fill>
      <patternFill patternType="solid">
        <fgColor theme="4" tint="0.59999389629810485"/>
        <bgColor rgb="FFB8CCE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/>
    <xf numFmtId="0" fontId="1" fillId="3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/>
    <xf numFmtId="0" fontId="5" fillId="4" borderId="0" xfId="0" applyFont="1" applyFill="1"/>
    <xf numFmtId="0" fontId="5" fillId="5" borderId="0" xfId="0" applyFont="1" applyFill="1"/>
    <xf numFmtId="0" fontId="6" fillId="6" borderId="0" xfId="0" applyFont="1" applyFill="1" applyAlignment="1">
      <alignment horizontal="right"/>
    </xf>
    <xf numFmtId="0" fontId="6" fillId="5" borderId="0" xfId="0" applyFont="1" applyFill="1" applyAlignment="1">
      <alignment horizontal="right"/>
    </xf>
    <xf numFmtId="0" fontId="6" fillId="7" borderId="0" xfId="0" applyFont="1" applyFill="1" applyAlignment="1">
      <alignment horizontal="right"/>
    </xf>
    <xf numFmtId="0" fontId="2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6" fillId="8" borderId="0" xfId="0" applyFont="1" applyFill="1" applyAlignment="1">
      <alignment horizontal="right"/>
    </xf>
    <xf numFmtId="0" fontId="4" fillId="9" borderId="0" xfId="0" applyFont="1" applyFill="1"/>
    <xf numFmtId="0" fontId="2" fillId="9" borderId="0" xfId="0" applyFont="1" applyFill="1"/>
    <xf numFmtId="0" fontId="3" fillId="9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10" borderId="0" xfId="0" applyFont="1" applyFill="1"/>
    <xf numFmtId="0" fontId="2" fillId="10" borderId="0" xfId="0" applyFont="1" applyFill="1"/>
    <xf numFmtId="0" fontId="4" fillId="1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9" fillId="0" borderId="0" xfId="0" applyFont="1"/>
    <xf numFmtId="0" fontId="10" fillId="0" borderId="0" xfId="0" applyFont="1" applyAlignment="1">
      <alignment horizontal="right"/>
    </xf>
    <xf numFmtId="0" fontId="11" fillId="11" borderId="0" xfId="0" applyFont="1" applyFill="1" applyAlignment="1">
      <alignment horizontal="center"/>
    </xf>
    <xf numFmtId="0" fontId="11" fillId="11" borderId="1" xfId="0" applyFont="1" applyFill="1" applyBorder="1" applyAlignment="1">
      <alignment horizontal="center"/>
    </xf>
    <xf numFmtId="164" fontId="4" fillId="0" borderId="0" xfId="0" applyNumberFormat="1" applyFont="1"/>
    <xf numFmtId="164" fontId="12" fillId="12" borderId="1" xfId="0" applyNumberFormat="1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/>
    </xf>
    <xf numFmtId="164" fontId="4" fillId="0" borderId="0" xfId="0" applyNumberFormat="1" applyFont="1" applyAlignment="1">
      <alignment horizontal="right"/>
    </xf>
    <xf numFmtId="164" fontId="12" fillId="0" borderId="1" xfId="0" applyNumberFormat="1" applyFont="1" applyBorder="1" applyAlignment="1">
      <alignment horizontal="center"/>
    </xf>
    <xf numFmtId="164" fontId="2" fillId="0" borderId="0" xfId="0" applyNumberFormat="1" applyFont="1"/>
    <xf numFmtId="164" fontId="12" fillId="12" borderId="0" xfId="0" applyNumberFormat="1" applyFont="1" applyFill="1" applyAlignment="1">
      <alignment horizontal="center"/>
    </xf>
    <xf numFmtId="0" fontId="2" fillId="13" borderId="0" xfId="0" applyFont="1" applyFill="1"/>
    <xf numFmtId="0" fontId="2" fillId="0" borderId="0" xfId="0" applyFont="1" applyAlignment="1">
      <alignment horizontal="right"/>
    </xf>
    <xf numFmtId="0" fontId="2" fillId="3" borderId="0" xfId="0" applyFont="1" applyFill="1"/>
    <xf numFmtId="0" fontId="7" fillId="3" borderId="0" xfId="0" applyFont="1" applyFill="1" applyAlignment="1">
      <alignment horizontal="right"/>
    </xf>
    <xf numFmtId="0" fontId="7" fillId="10" borderId="0" xfId="0" applyFont="1" applyFill="1"/>
    <xf numFmtId="0" fontId="8" fillId="10" borderId="0" xfId="0" applyFont="1" applyFill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" fontId="2" fillId="0" borderId="0" xfId="0" applyNumberFormat="1" applyFont="1"/>
    <xf numFmtId="4" fontId="6" fillId="7" borderId="0" xfId="0" applyNumberFormat="1" applyFont="1" applyFill="1" applyAlignment="1">
      <alignment horizontal="right"/>
    </xf>
    <xf numFmtId="4" fontId="6" fillId="6" borderId="0" xfId="0" applyNumberFormat="1" applyFont="1" applyFill="1" applyAlignment="1">
      <alignment horizontal="right"/>
    </xf>
    <xf numFmtId="0" fontId="2" fillId="5" borderId="0" xfId="0" applyFont="1" applyFill="1"/>
    <xf numFmtId="49" fontId="4" fillId="0" borderId="0" xfId="0" applyNumberFormat="1" applyFont="1" applyAlignment="1">
      <alignment horizontal="right" indent="1"/>
    </xf>
    <xf numFmtId="49" fontId="2" fillId="0" borderId="0" xfId="0" applyNumberFormat="1" applyFont="1" applyAlignment="1">
      <alignment horizontal="right" indent="1"/>
    </xf>
    <xf numFmtId="49" fontId="6" fillId="6" borderId="0" xfId="0" applyNumberFormat="1" applyFont="1" applyFill="1" applyAlignment="1">
      <alignment horizontal="right" indent="1"/>
    </xf>
    <xf numFmtId="49" fontId="6" fillId="7" borderId="0" xfId="0" applyNumberFormat="1" applyFont="1" applyFill="1" applyAlignment="1">
      <alignment horizontal="right" indent="1"/>
    </xf>
    <xf numFmtId="0" fontId="0" fillId="0" borderId="0" xfId="0" applyAlignment="1">
      <alignment horizontal="right" indent="1"/>
    </xf>
    <xf numFmtId="49" fontId="1" fillId="0" borderId="0" xfId="0" applyNumberFormat="1" applyFont="1" applyAlignment="1">
      <alignment horizontal="right" indent="1"/>
    </xf>
    <xf numFmtId="0" fontId="17" fillId="4" borderId="0" xfId="0" applyFont="1" applyFill="1"/>
    <xf numFmtId="49" fontId="17" fillId="4" borderId="0" xfId="0" applyNumberFormat="1" applyFont="1" applyFill="1" applyAlignment="1">
      <alignment horizontal="right" indent="1"/>
    </xf>
    <xf numFmtId="4" fontId="18" fillId="0" borderId="0" xfId="0" applyNumberFormat="1" applyFont="1"/>
    <xf numFmtId="0" fontId="17" fillId="5" borderId="0" xfId="0" applyFont="1" applyFill="1"/>
    <xf numFmtId="0" fontId="19" fillId="0" borderId="0" xfId="0" applyFont="1"/>
    <xf numFmtId="49" fontId="15" fillId="0" borderId="0" xfId="0" applyNumberFormat="1" applyFont="1" applyAlignment="1">
      <alignment horizontal="right" indent="1"/>
    </xf>
    <xf numFmtId="49" fontId="16" fillId="7" borderId="0" xfId="0" applyNumberFormat="1" applyFont="1" applyFill="1" applyAlignment="1">
      <alignment horizontal="right" indent="1"/>
    </xf>
    <xf numFmtId="49" fontId="16" fillId="6" borderId="0" xfId="0" applyNumberFormat="1" applyFont="1" applyFill="1" applyAlignment="1">
      <alignment horizontal="right" indent="1"/>
    </xf>
    <xf numFmtId="0" fontId="6" fillId="14" borderId="0" xfId="0" applyFont="1" applyFill="1" applyAlignment="1">
      <alignment horizontal="right"/>
    </xf>
    <xf numFmtId="49" fontId="16" fillId="14" borderId="0" xfId="0" applyNumberFormat="1" applyFont="1" applyFill="1" applyAlignment="1">
      <alignment horizontal="right" indent="1"/>
    </xf>
    <xf numFmtId="4" fontId="2" fillId="15" borderId="0" xfId="0" applyNumberFormat="1" applyFont="1" applyFill="1"/>
    <xf numFmtId="0" fontId="6" fillId="16" borderId="0" xfId="0" applyFont="1" applyFill="1" applyAlignment="1">
      <alignment horizontal="right"/>
    </xf>
    <xf numFmtId="4" fontId="6" fillId="14" borderId="0" xfId="0" applyNumberFormat="1" applyFont="1" applyFill="1" applyAlignment="1">
      <alignment horizontal="right"/>
    </xf>
    <xf numFmtId="49" fontId="16" fillId="16" borderId="0" xfId="0" applyNumberFormat="1" applyFont="1" applyFill="1" applyAlignment="1">
      <alignment horizontal="right" indent="1"/>
    </xf>
    <xf numFmtId="4" fontId="6" fillId="16" borderId="0" xfId="0" applyNumberFormat="1" applyFont="1" applyFill="1" applyAlignment="1">
      <alignment horizontal="right"/>
    </xf>
    <xf numFmtId="0" fontId="15" fillId="0" borderId="0" xfId="0" applyFont="1"/>
    <xf numFmtId="49" fontId="4" fillId="0" borderId="0" xfId="0" applyNumberFormat="1" applyFont="1"/>
    <xf numFmtId="49" fontId="2" fillId="0" borderId="0" xfId="0" applyNumberFormat="1" applyFont="1"/>
    <xf numFmtId="49" fontId="0" fillId="0" borderId="0" xfId="0" applyNumberFormat="1"/>
    <xf numFmtId="49" fontId="15" fillId="0" borderId="0" xfId="0" applyNumberFormat="1" applyFont="1"/>
    <xf numFmtId="49" fontId="14" fillId="0" borderId="0" xfId="0" applyNumberFormat="1" applyFont="1"/>
    <xf numFmtId="0" fontId="6" fillId="17" borderId="0" xfId="0" applyFont="1" applyFill="1" applyAlignment="1">
      <alignment horizontal="right"/>
    </xf>
    <xf numFmtId="4" fontId="18" fillId="7" borderId="0" xfId="0" applyNumberFormat="1" applyFont="1" applyFill="1"/>
    <xf numFmtId="4" fontId="1" fillId="6" borderId="0" xfId="0" applyNumberFormat="1" applyFont="1" applyFill="1"/>
    <xf numFmtId="0" fontId="4" fillId="7" borderId="0" xfId="0" applyFont="1" applyFill="1"/>
    <xf numFmtId="49" fontId="4" fillId="7" borderId="0" xfId="0" applyNumberFormat="1" applyFont="1" applyFill="1" applyAlignment="1">
      <alignment horizontal="right" indent="1"/>
    </xf>
    <xf numFmtId="4" fontId="1" fillId="7" borderId="0" xfId="0" applyNumberFormat="1" applyFont="1" applyFill="1"/>
    <xf numFmtId="0" fontId="4" fillId="6" borderId="0" xfId="0" applyFont="1" applyFill="1"/>
    <xf numFmtId="49" fontId="4" fillId="6" borderId="0" xfId="0" applyNumberFormat="1" applyFont="1" applyFill="1" applyAlignment="1">
      <alignment horizontal="right" indent="1"/>
    </xf>
    <xf numFmtId="49" fontId="15" fillId="7" borderId="0" xfId="0" applyNumberFormat="1" applyFont="1" applyFill="1" applyAlignment="1">
      <alignment horizontal="right" indent="1"/>
    </xf>
    <xf numFmtId="0" fontId="1" fillId="6" borderId="0" xfId="0" applyFont="1" applyFill="1"/>
    <xf numFmtId="49" fontId="1" fillId="6" borderId="0" xfId="0" applyNumberFormat="1" applyFont="1" applyFill="1" applyAlignment="1">
      <alignment horizontal="right" indent="1"/>
    </xf>
    <xf numFmtId="4" fontId="1" fillId="15" borderId="0" xfId="0" applyNumberFormat="1" applyFont="1" applyFill="1"/>
    <xf numFmtId="0" fontId="16" fillId="7" borderId="0" xfId="0" applyFont="1" applyFill="1" applyAlignment="1">
      <alignment horizontal="right"/>
    </xf>
    <xf numFmtId="4" fontId="14" fillId="6" borderId="0" xfId="0" applyNumberFormat="1" applyFont="1" applyFill="1"/>
    <xf numFmtId="4" fontId="16" fillId="7" borderId="0" xfId="0" applyNumberFormat="1" applyFont="1" applyFill="1" applyAlignment="1">
      <alignment horizontal="right"/>
    </xf>
    <xf numFmtId="0" fontId="16" fillId="5" borderId="0" xfId="0" applyFont="1" applyFill="1" applyAlignment="1">
      <alignment horizontal="right"/>
    </xf>
    <xf numFmtId="0" fontId="4" fillId="18" borderId="0" xfId="0" applyFont="1" applyFill="1"/>
    <xf numFmtId="49" fontId="4" fillId="18" borderId="0" xfId="0" applyNumberFormat="1" applyFont="1" applyFill="1"/>
    <xf numFmtId="0" fontId="2" fillId="18" borderId="0" xfId="0" applyFont="1" applyFill="1"/>
    <xf numFmtId="49" fontId="14" fillId="18" borderId="0" xfId="0" applyNumberFormat="1" applyFont="1" applyFill="1"/>
    <xf numFmtId="49" fontId="1" fillId="0" borderId="0" xfId="0" applyNumberFormat="1" applyFont="1" applyAlignment="1">
      <alignment horizontal="left"/>
    </xf>
    <xf numFmtId="49" fontId="14" fillId="0" borderId="0" xfId="0" applyNumberFormat="1" applyFont="1" applyAlignment="1">
      <alignment horizontal="left"/>
    </xf>
    <xf numFmtId="49" fontId="13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right"/>
    </xf>
    <xf numFmtId="49" fontId="1" fillId="0" borderId="0" xfId="0" applyNumberFormat="1" applyFont="1"/>
    <xf numFmtId="0" fontId="1" fillId="0" borderId="0" xfId="0" applyFont="1"/>
    <xf numFmtId="49" fontId="1" fillId="2" borderId="0" xfId="0" applyNumberFormat="1" applyFont="1" applyFill="1" applyAlignment="1">
      <alignment horizontal="left"/>
    </xf>
    <xf numFmtId="49" fontId="3" fillId="0" borderId="0" xfId="0" applyNumberFormat="1" applyFont="1" applyAlignment="1">
      <alignment horizontal="left"/>
    </xf>
    <xf numFmtId="0" fontId="0" fillId="18" borderId="0" xfId="0" applyFill="1"/>
    <xf numFmtId="49" fontId="0" fillId="18" borderId="0" xfId="0" applyNumberFormat="1" applyFill="1"/>
    <xf numFmtId="0" fontId="16" fillId="0" borderId="0" xfId="0" applyFont="1" applyAlignment="1">
      <alignment horizontal="right"/>
    </xf>
  </cellXfs>
  <cellStyles count="1">
    <cellStyle name="Κανονικό" xfId="0" builtinId="0"/>
  </cellStyles>
  <dxfs count="33">
    <dxf>
      <fill>
        <patternFill patternType="solid">
          <fgColor rgb="FFB7E1CD"/>
          <bgColor rgb="FFB7E1C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00FFFF"/>
          <bgColor rgb="FF00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BE5F1"/>
          <bgColor rgb="FFDBE5F1"/>
        </patternFill>
      </fill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relativeIndent="-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00FFFF"/>
          <bgColor rgb="FF00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BE5F1"/>
          <bgColor rgb="FFDBE5F1"/>
        </patternFill>
      </fill>
      <alignment horizontal="right" vertical="bottom" textRotation="0" wrapText="0" indent="0" justifyLastLine="0" shrinkToFit="0" readingOrder="0"/>
    </dxf>
    <dxf>
      <alignment horizontal="right" vertical="bottom" textRotation="0" wrapText="0" relativeIndent="-1" justifyLastLine="0" shrinkToFit="0" readingOrder="0"/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9">
    <tableStyle name="NOW-style" pivot="0" count="3" xr9:uid="{00000000-0011-0000-FFFF-FFFF00000000}">
      <tableStyleElement type="headerRow" dxfId="32"/>
      <tableStyleElement type="firstRowStripe" dxfId="31"/>
      <tableStyleElement type="secondRowStripe" dxfId="30"/>
    </tableStyle>
    <tableStyle name="NOW-style 2" pivot="0" count="2" xr9:uid="{00000000-0011-0000-FFFF-FFFF01000000}">
      <tableStyleElement type="firstRowStripe" dxfId="29"/>
      <tableStyleElement type="secondRowStripe" dxfId="28"/>
    </tableStyle>
    <tableStyle name="Φύλλο52-style" pivot="0" count="3" xr9:uid="{00000000-0011-0000-FFFF-FFFF02000000}">
      <tableStyleElement type="headerRow" dxfId="27"/>
      <tableStyleElement type="firstRowStripe" dxfId="26"/>
      <tableStyleElement type="secondRowStripe" dxfId="25"/>
    </tableStyle>
    <tableStyle name="AMINO ANIMO-style" pivot="0" count="3" xr9:uid="{00000000-0011-0000-FFFF-FFFF03000000}">
      <tableStyleElement type="headerRow" dxfId="24"/>
      <tableStyleElement type="firstRowStripe" dxfId="23"/>
      <tableStyleElement type="secondRowStripe" dxfId="22"/>
    </tableStyle>
    <tableStyle name="ACTIVO-style" pivot="0" count="3" xr9:uid="{00000000-0011-0000-FFFF-FFFF04000000}">
      <tableStyleElement type="headerRow" dxfId="21"/>
      <tableStyleElement type="firstRowStripe" dxfId="20"/>
      <tableStyleElement type="secondRowStripe" dxfId="19"/>
    </tableStyle>
    <tableStyle name="ΒΕΝΝΕΤΤ-style" pivot="0" count="3" xr9:uid="{00000000-0011-0000-FFFF-FFFF05000000}">
      <tableStyleElement type="headerRow" dxfId="18"/>
      <tableStyleElement type="firstRowStripe" dxfId="17"/>
      <tableStyleElement type="secondRowStripe" dxfId="16"/>
    </tableStyle>
    <tableStyle name="HEALTH PRO-style" pivot="0" count="3" xr9:uid="{00000000-0011-0000-FFFF-FFFF06000000}">
      <tableStyleElement type="headerRow" dxfId="15"/>
      <tableStyleElement type="firstRowStripe" dxfId="14"/>
      <tableStyleElement type="secondRowStripe" dxfId="13"/>
    </tableStyle>
    <tableStyle name="SOLGAR-style" pivot="0" count="3" xr9:uid="{00000000-0011-0000-FFFF-FFFF07000000}">
      <tableStyleElement type="headerRow" dxfId="12"/>
      <tableStyleElement type="firstRowStripe" dxfId="11"/>
      <tableStyleElement type="secondRowStripe" dxfId="10"/>
    </tableStyle>
    <tableStyle name="VICAN-style" pivot="0" count="3" xr9:uid="{00000000-0011-0000-FFFF-FFFF08000000}">
      <tableStyleElement type="headerRow" dxfId="9"/>
      <tableStyleElement type="firstRowStripe" dxfId="8"/>
      <tableStyleElement type="secondRowStripe" dxfId="7"/>
    </tableStyle>
  </tableStyles>
  <colors>
    <mruColors>
      <color rgb="FF0099C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M2" headerRowCount="0">
  <tableColumns count="13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</tableColumns>
  <tableStyleInfo name="AMINO ANIM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C13:L13" headerRowCount="0">
  <tableColumns count="10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</tableColumns>
  <tableStyleInfo name="ACTIV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C1:L5">
  <tableColumns count="10">
    <tableColumn id="1" xr3:uid="{00000000-0010-0000-0500-000001000000}" name="Τιμή Αγοράς (€)"/>
    <tableColumn id="2" xr3:uid="{00000000-0010-0000-0500-000002000000}" name="Κέρδος (€)"/>
    <tableColumn id="3" xr3:uid="{00000000-0010-0000-0500-000003000000}" name="Πάγια Προμήθεια (€)"/>
    <tableColumn id="4" xr3:uid="{00000000-0010-0000-0500-000004000000}" name="Ποσοστιαία Προμήθεια (%)"/>
    <tableColumn id="5" xr3:uid="{00000000-0010-0000-0500-000005000000}" name="ΦΠΑ (%)"/>
    <tableColumn id="6" xr3:uid="{00000000-0010-0000-0500-000006000000}" name="➡ Καθαρό Ποσό"/>
    <tableColumn id="7" xr3:uid="{00000000-0010-0000-0500-000007000000}" name="➡ Τελική Τιμή Πώλησης (€)"/>
    <tableColumn id="8" xr3:uid="{00000000-0010-0000-0500-000008000000}" name="Προμήθεια (€)"/>
    <tableColumn id="9" xr3:uid="{00000000-0010-0000-0500-000009000000}" name="ΦΠΑ (€)"/>
    <tableColumn id="10" xr3:uid="{00000000-0010-0000-0500-00000A000000}" name="➡ Τελικό στο Χέρι (€)"/>
  </tableColumns>
  <tableStyleInfo name="ΒΕΝΝΕΤΤ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C1:L1" headerRowCount="0">
  <tableColumns count="10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</tableColumns>
  <tableStyleInfo name="Φύλλο52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C1:L1" headerRowCount="0">
  <tableColumns count="10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</tableColumns>
  <tableStyleInfo name="HEALTH PR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1:L1" headerRowCount="0">
  <tableColumns count="10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</tableColumns>
  <tableStyleInfo name="NOW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2:L7" headerRowCount="0">
  <tableColumns count="10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</tableColumns>
  <tableStyleInfo name="NOW-style 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O50" headerRowCount="0">
  <tableColumns count="15">
    <tableColumn id="1" xr3:uid="{00000000-0010-0000-0700-000001000000}" name="Column1"/>
    <tableColumn id="2" xr3:uid="{00000000-0010-0000-0700-000002000000}" name="Column2" dataDxfId="6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14" xr3:uid="{0D13E54C-3A62-49D0-BACA-35A6BE4690DE}" name="Στήλη2" dataDxfId="5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5" xr3:uid="{20F58933-4CF6-49FB-8DF6-E40D0147CF23}" name="Στήλη1" dataDxfId="4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</tableColumns>
  <tableStyleInfo name="SOLGAR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BD5204D-D6FC-4A1F-B1E9-263B5697FE7B}" name="Table_811" displayName="Table_811" ref="A1:O50" headerRowCount="0">
  <tableColumns count="15">
    <tableColumn id="1" xr3:uid="{0CA5B1B4-9C95-46AC-997A-734EC6FA86BB}" name="Column1"/>
    <tableColumn id="2" xr3:uid="{D9F57605-BB5D-4812-974A-1BFA8FBE2559}" name="Column2" dataDxfId="3"/>
    <tableColumn id="3" xr3:uid="{A1FC2D72-2F62-4809-ABC0-78C763330EE2}" name="Column3"/>
    <tableColumn id="4" xr3:uid="{C53B4250-90F9-4A0B-8BDD-8D3E3FBE13E5}" name="Column4"/>
    <tableColumn id="5" xr3:uid="{B2F90BC1-7B03-4E84-A750-55F0D1611457}" name="Column5"/>
    <tableColumn id="6" xr3:uid="{D5D6759A-684E-47CD-B83D-F1B68B53E109}" name="Column6"/>
    <tableColumn id="14" xr3:uid="{637C15D8-401D-43F1-B336-211894FCEFA4}" name="Στήλη2" dataDxfId="2"/>
    <tableColumn id="7" xr3:uid="{91D3F93A-CE8B-4818-9CB2-D45F2E3A4250}" name="Column7"/>
    <tableColumn id="8" xr3:uid="{8C772D78-2468-4AF6-BB65-93693E35A9B1}" name="Column8"/>
    <tableColumn id="9" xr3:uid="{F274E34D-F377-4080-9234-3C9DE6C23CC8}" name="Column9"/>
    <tableColumn id="15" xr3:uid="{698D50E7-5438-4570-A430-C3169F9F905D}" name="Στήλη1" dataDxfId="1"/>
    <tableColumn id="10" xr3:uid="{231B69C0-16D0-45FD-BD07-AF1AFBCBF332}" name="Column10"/>
    <tableColumn id="11" xr3:uid="{9C04B946-7C20-45A8-9A62-B70A61842143}" name="Column11"/>
    <tableColumn id="12" xr3:uid="{EC98439A-6169-444E-B0B1-E91A9FBA6F83}" name="Column12"/>
    <tableColumn id="13" xr3:uid="{D235E46D-E2FD-4B3D-8433-92F83565381B}" name="Column13"/>
  </tableColumns>
  <tableStyleInfo name="SOLGA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6"/>
  <sheetViews>
    <sheetView topLeftCell="A110" workbookViewId="0">
      <selection activeCell="C122" sqref="C122"/>
    </sheetView>
  </sheetViews>
  <sheetFormatPr defaultColWidth="12.5703125" defaultRowHeight="15.75" customHeight="1" x14ac:dyDescent="0.2"/>
  <cols>
    <col min="1" max="1" width="15.5703125" customWidth="1"/>
    <col min="2" max="2" width="19.140625" style="73" customWidth="1"/>
    <col min="3" max="3" width="15.28515625" customWidth="1"/>
    <col min="6" max="6" width="8.42578125" customWidth="1"/>
  </cols>
  <sheetData>
    <row r="1" spans="1:29" ht="12.75" x14ac:dyDescent="0.2">
      <c r="A1" s="1" t="s">
        <v>0</v>
      </c>
      <c r="B1" s="96"/>
      <c r="C1" s="1"/>
      <c r="D1" s="1"/>
      <c r="E1" s="1"/>
      <c r="F1" s="1"/>
      <c r="G1" s="1"/>
      <c r="H1" s="1"/>
      <c r="I1" s="1"/>
      <c r="J1" s="1"/>
      <c r="K1" s="1"/>
      <c r="L1" s="1"/>
      <c r="M1" s="1" t="str">
        <f>""</f>
        <v/>
      </c>
      <c r="N1" s="1"/>
    </row>
    <row r="2" spans="1:29" ht="12.75" x14ac:dyDescent="0.2">
      <c r="A2" s="1" t="s">
        <v>1</v>
      </c>
      <c r="B2" s="96">
        <v>8809647390015</v>
      </c>
      <c r="C2" s="1">
        <v>3.01</v>
      </c>
      <c r="D2" s="1">
        <v>0.9</v>
      </c>
      <c r="E2" s="1">
        <f t="shared" ref="E2:E70" si="0">SUM(C2)+D2</f>
        <v>3.9099999999999997</v>
      </c>
      <c r="F2" s="1">
        <v>1.24</v>
      </c>
      <c r="G2" s="1">
        <f t="shared" ref="G2:G70" si="1">SUM(E2)*F2</f>
        <v>4.8483999999999998</v>
      </c>
      <c r="H2" s="1">
        <v>1.1214999999999999</v>
      </c>
      <c r="I2" s="1">
        <f t="shared" ref="I2:I70" si="2">SUM(G2)*H2</f>
        <v>5.4374805999999998</v>
      </c>
      <c r="J2" s="1">
        <v>0.25</v>
      </c>
      <c r="K2" s="1">
        <f t="shared" ref="K2:K70" si="3">SUM(I2)+J2</f>
        <v>5.6874805999999998</v>
      </c>
      <c r="L2" s="1"/>
      <c r="M2" s="1" t="str">
        <f t="shared" ref="M2:M21" si="4">IFERROR(IF(OR(K2=0,L2=0,K2="",L2=""),"",L2-K2),"")</f>
        <v/>
      </c>
      <c r="N2" s="1"/>
    </row>
    <row r="3" spans="1:29" ht="12.75" x14ac:dyDescent="0.2">
      <c r="A3" s="2" t="s">
        <v>2</v>
      </c>
      <c r="B3" s="102">
        <v>8809640734687</v>
      </c>
      <c r="C3" s="2">
        <v>11.29</v>
      </c>
      <c r="D3" s="2">
        <v>0.9</v>
      </c>
      <c r="E3" s="2">
        <f t="shared" si="0"/>
        <v>12.19</v>
      </c>
      <c r="F3" s="2">
        <v>1.24</v>
      </c>
      <c r="G3" s="2">
        <f t="shared" si="1"/>
        <v>15.115599999999999</v>
      </c>
      <c r="H3" s="2">
        <v>1.1214999999999999</v>
      </c>
      <c r="I3" s="2">
        <f t="shared" si="2"/>
        <v>16.952145399999999</v>
      </c>
      <c r="J3" s="2">
        <v>0.74</v>
      </c>
      <c r="K3" s="2">
        <f t="shared" si="3"/>
        <v>17.692145399999998</v>
      </c>
      <c r="L3" s="2">
        <v>21</v>
      </c>
      <c r="M3" s="1">
        <f t="shared" si="4"/>
        <v>3.3078546000000024</v>
      </c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2.75" x14ac:dyDescent="0.2">
      <c r="A4" s="1" t="s">
        <v>3</v>
      </c>
      <c r="B4" s="96">
        <v>8809640734694</v>
      </c>
      <c r="C4" s="1">
        <v>10.5</v>
      </c>
      <c r="D4" s="1">
        <v>0.9</v>
      </c>
      <c r="E4" s="1">
        <f t="shared" si="0"/>
        <v>11.4</v>
      </c>
      <c r="F4" s="1">
        <v>1.24</v>
      </c>
      <c r="G4" s="1">
        <f t="shared" si="1"/>
        <v>14.136000000000001</v>
      </c>
      <c r="H4" s="1">
        <v>1.1214999999999999</v>
      </c>
      <c r="I4" s="1">
        <f t="shared" si="2"/>
        <v>15.853524</v>
      </c>
      <c r="J4" s="1">
        <v>0.74</v>
      </c>
      <c r="K4" s="1">
        <f t="shared" si="3"/>
        <v>16.593523999999999</v>
      </c>
      <c r="L4" s="1">
        <v>11.6</v>
      </c>
      <c r="M4" s="1">
        <f t="shared" si="4"/>
        <v>-4.993523999999999</v>
      </c>
      <c r="N4" s="1"/>
    </row>
    <row r="5" spans="1:29" ht="12.75" x14ac:dyDescent="0.2">
      <c r="A5" s="1" t="s">
        <v>4</v>
      </c>
      <c r="B5" s="96">
        <v>5206469006989</v>
      </c>
      <c r="C5" s="1">
        <v>5.21</v>
      </c>
      <c r="D5" s="1">
        <v>0.3</v>
      </c>
      <c r="E5" s="1">
        <f t="shared" si="0"/>
        <v>5.51</v>
      </c>
      <c r="F5" s="1">
        <v>1.24</v>
      </c>
      <c r="G5" s="1">
        <f t="shared" si="1"/>
        <v>6.8323999999999998</v>
      </c>
      <c r="H5" s="1">
        <v>1.1214999999999999</v>
      </c>
      <c r="I5" s="1">
        <f t="shared" si="2"/>
        <v>7.6625365999999993</v>
      </c>
      <c r="J5" s="1">
        <v>0.43</v>
      </c>
      <c r="K5" s="1">
        <f t="shared" si="3"/>
        <v>8.092536599999999</v>
      </c>
      <c r="L5" s="1"/>
      <c r="M5" s="1" t="str">
        <f t="shared" si="4"/>
        <v/>
      </c>
      <c r="N5" s="1"/>
    </row>
    <row r="6" spans="1:29" ht="12.75" x14ac:dyDescent="0.2">
      <c r="A6" s="1" t="s">
        <v>5</v>
      </c>
      <c r="B6" s="96">
        <v>8809747942121</v>
      </c>
      <c r="C6" s="1">
        <v>7.1</v>
      </c>
      <c r="D6" s="1">
        <v>0.9</v>
      </c>
      <c r="E6" s="1">
        <f t="shared" si="0"/>
        <v>8</v>
      </c>
      <c r="F6" s="1">
        <v>1.24</v>
      </c>
      <c r="G6" s="1">
        <f t="shared" si="1"/>
        <v>9.92</v>
      </c>
      <c r="H6" s="1">
        <v>1.1214999999999999</v>
      </c>
      <c r="I6" s="1">
        <f t="shared" si="2"/>
        <v>11.12528</v>
      </c>
      <c r="J6" s="1">
        <v>0.74</v>
      </c>
      <c r="K6" s="1">
        <f t="shared" si="3"/>
        <v>11.86528</v>
      </c>
      <c r="L6" s="1">
        <v>12.47</v>
      </c>
      <c r="M6" s="1">
        <f t="shared" si="4"/>
        <v>0.60472000000000037</v>
      </c>
      <c r="N6" s="1"/>
    </row>
    <row r="7" spans="1:29" ht="12.75" x14ac:dyDescent="0.2">
      <c r="A7" s="1" t="s">
        <v>6</v>
      </c>
      <c r="B7" s="96">
        <v>8809647391647</v>
      </c>
      <c r="C7" s="1">
        <v>10.86</v>
      </c>
      <c r="D7" s="1">
        <v>0.9</v>
      </c>
      <c r="E7" s="1">
        <f t="shared" si="0"/>
        <v>11.76</v>
      </c>
      <c r="F7" s="1">
        <v>1.24</v>
      </c>
      <c r="G7" s="1">
        <f t="shared" si="1"/>
        <v>14.5824</v>
      </c>
      <c r="H7" s="1">
        <v>1.1214999999999999</v>
      </c>
      <c r="I7" s="1">
        <f t="shared" si="2"/>
        <v>16.354161599999998</v>
      </c>
      <c r="J7" s="1">
        <v>0.74</v>
      </c>
      <c r="K7" s="1">
        <f t="shared" si="3"/>
        <v>17.094161599999996</v>
      </c>
      <c r="L7" s="1"/>
      <c r="M7" s="1" t="str">
        <f t="shared" si="4"/>
        <v/>
      </c>
      <c r="N7" s="1"/>
    </row>
    <row r="8" spans="1:29" ht="12.75" x14ac:dyDescent="0.2">
      <c r="A8" s="1" t="s">
        <v>7</v>
      </c>
      <c r="B8" s="96">
        <v>8809647391951</v>
      </c>
      <c r="C8" s="1">
        <v>10.86</v>
      </c>
      <c r="D8" s="1">
        <v>0.9</v>
      </c>
      <c r="E8" s="1">
        <f t="shared" si="0"/>
        <v>11.76</v>
      </c>
      <c r="F8" s="1">
        <v>1.24</v>
      </c>
      <c r="G8" s="1">
        <f t="shared" si="1"/>
        <v>14.5824</v>
      </c>
      <c r="H8" s="1">
        <v>1.1214999999999999</v>
      </c>
      <c r="I8" s="1">
        <f t="shared" si="2"/>
        <v>16.354161599999998</v>
      </c>
      <c r="J8" s="1">
        <v>0.74</v>
      </c>
      <c r="K8" s="1">
        <f t="shared" si="3"/>
        <v>17.094161599999996</v>
      </c>
      <c r="L8" s="1"/>
      <c r="M8" s="1" t="str">
        <f t="shared" si="4"/>
        <v/>
      </c>
      <c r="N8" s="1"/>
    </row>
    <row r="9" spans="1:29" ht="12.75" x14ac:dyDescent="0.2">
      <c r="A9" s="1" t="s">
        <v>8</v>
      </c>
      <c r="B9" s="96">
        <v>8809738600245</v>
      </c>
      <c r="C9" s="1">
        <v>22</v>
      </c>
      <c r="D9" s="1">
        <v>0.9</v>
      </c>
      <c r="E9" s="1">
        <f t="shared" si="0"/>
        <v>22.9</v>
      </c>
      <c r="F9" s="1">
        <v>1.24</v>
      </c>
      <c r="G9" s="1">
        <f t="shared" si="1"/>
        <v>28.395999999999997</v>
      </c>
      <c r="H9" s="1">
        <v>1.1214999999999999</v>
      </c>
      <c r="I9" s="1">
        <f t="shared" si="2"/>
        <v>31.846113999999996</v>
      </c>
      <c r="J9" s="1">
        <v>0.74</v>
      </c>
      <c r="K9" s="1">
        <f t="shared" si="3"/>
        <v>32.586113999999995</v>
      </c>
      <c r="L9" s="1">
        <v>23.6</v>
      </c>
      <c r="M9" s="1">
        <f t="shared" si="4"/>
        <v>-8.9861139999999935</v>
      </c>
      <c r="N9" s="1"/>
    </row>
    <row r="10" spans="1:29" ht="12.75" x14ac:dyDescent="0.2">
      <c r="A10" s="1" t="s">
        <v>9</v>
      </c>
      <c r="B10" s="96">
        <v>8809576260618</v>
      </c>
      <c r="C10" s="1">
        <v>7.92</v>
      </c>
      <c r="D10" s="1">
        <v>0.3</v>
      </c>
      <c r="E10" s="1">
        <f t="shared" si="0"/>
        <v>8.2200000000000006</v>
      </c>
      <c r="F10" s="1">
        <v>1.24</v>
      </c>
      <c r="G10" s="1">
        <f t="shared" si="1"/>
        <v>10.1928</v>
      </c>
      <c r="H10" s="1">
        <v>1.1214999999999999</v>
      </c>
      <c r="I10" s="1">
        <f t="shared" si="2"/>
        <v>11.4312252</v>
      </c>
      <c r="J10" s="1">
        <v>0.41</v>
      </c>
      <c r="K10" s="1">
        <f t="shared" si="3"/>
        <v>11.8412252</v>
      </c>
      <c r="L10" s="1">
        <v>8.41</v>
      </c>
      <c r="M10" s="1">
        <f t="shared" si="4"/>
        <v>-3.4312252000000001</v>
      </c>
      <c r="N10" s="1"/>
    </row>
    <row r="11" spans="1:29" ht="12.75" x14ac:dyDescent="0.2">
      <c r="A11" s="1" t="s">
        <v>10</v>
      </c>
      <c r="B11" s="96">
        <v>8809576261592</v>
      </c>
      <c r="C11" s="1">
        <v>19.690000000000001</v>
      </c>
      <c r="D11" s="1">
        <v>0.9</v>
      </c>
      <c r="E11" s="1">
        <f t="shared" si="0"/>
        <v>20.59</v>
      </c>
      <c r="F11" s="1">
        <v>1.24</v>
      </c>
      <c r="G11" s="1">
        <f t="shared" si="1"/>
        <v>25.531600000000001</v>
      </c>
      <c r="H11" s="1">
        <v>1.1214999999999999</v>
      </c>
      <c r="I11" s="1">
        <f t="shared" si="2"/>
        <v>28.633689399999998</v>
      </c>
      <c r="J11" s="1">
        <v>0.74</v>
      </c>
      <c r="K11" s="1">
        <f t="shared" si="3"/>
        <v>29.373689399999996</v>
      </c>
      <c r="L11" s="1">
        <v>14</v>
      </c>
      <c r="M11" s="1">
        <f t="shared" si="4"/>
        <v>-15.373689399999996</v>
      </c>
      <c r="N11" s="1"/>
    </row>
    <row r="12" spans="1:29" ht="12.75" x14ac:dyDescent="0.2">
      <c r="A12" s="1" t="s">
        <v>11</v>
      </c>
      <c r="B12" s="96">
        <v>5010232957084</v>
      </c>
      <c r="C12" s="1">
        <v>6.07</v>
      </c>
      <c r="D12" s="1">
        <v>0.9</v>
      </c>
      <c r="E12" s="1">
        <f t="shared" si="0"/>
        <v>6.9700000000000006</v>
      </c>
      <c r="F12" s="1">
        <v>1.24</v>
      </c>
      <c r="G12" s="1">
        <f t="shared" si="1"/>
        <v>8.6428000000000011</v>
      </c>
      <c r="H12" s="1">
        <v>1.1214999999999999</v>
      </c>
      <c r="I12" s="1">
        <f t="shared" si="2"/>
        <v>9.6929002000000004</v>
      </c>
      <c r="J12" s="1">
        <v>0.74</v>
      </c>
      <c r="K12" s="1">
        <f t="shared" si="3"/>
        <v>10.432900200000001</v>
      </c>
      <c r="L12" s="1">
        <v>9.8000000000000007</v>
      </c>
      <c r="M12" s="1">
        <f t="shared" si="4"/>
        <v>-0.63290019999999991</v>
      </c>
      <c r="N12" s="1"/>
    </row>
    <row r="13" spans="1:29" ht="12.75" x14ac:dyDescent="0.2">
      <c r="A13" s="1" t="s">
        <v>12</v>
      </c>
      <c r="B13" s="96">
        <v>5052197003321</v>
      </c>
      <c r="C13" s="1">
        <v>4.3600000000000003</v>
      </c>
      <c r="D13" s="1">
        <v>0.45</v>
      </c>
      <c r="E13" s="1">
        <f t="shared" si="0"/>
        <v>4.8100000000000005</v>
      </c>
      <c r="F13" s="1">
        <v>1.24</v>
      </c>
      <c r="G13" s="1">
        <f t="shared" si="1"/>
        <v>5.9644000000000004</v>
      </c>
      <c r="H13" s="1">
        <v>1.1214999999999999</v>
      </c>
      <c r="I13" s="1">
        <f t="shared" si="2"/>
        <v>6.6890745999999996</v>
      </c>
      <c r="J13" s="1">
        <v>0.25</v>
      </c>
      <c r="K13" s="1">
        <f t="shared" si="3"/>
        <v>6.9390745999999996</v>
      </c>
      <c r="L13" s="1"/>
      <c r="M13" s="1" t="str">
        <f t="shared" si="4"/>
        <v/>
      </c>
      <c r="N13" s="1"/>
    </row>
    <row r="14" spans="1:29" ht="12.75" x14ac:dyDescent="0.2">
      <c r="A14" s="1" t="s">
        <v>13</v>
      </c>
      <c r="B14" s="96">
        <v>5052197030457</v>
      </c>
      <c r="C14" s="1">
        <v>8.06</v>
      </c>
      <c r="D14" s="1">
        <v>0.9</v>
      </c>
      <c r="E14" s="1">
        <f t="shared" si="0"/>
        <v>8.9600000000000009</v>
      </c>
      <c r="F14" s="1">
        <v>1.24</v>
      </c>
      <c r="G14" s="1">
        <f t="shared" si="1"/>
        <v>11.1104</v>
      </c>
      <c r="H14" s="1">
        <v>1.1214999999999999</v>
      </c>
      <c r="I14" s="1">
        <f t="shared" si="2"/>
        <v>12.460313599999999</v>
      </c>
      <c r="J14" s="1">
        <v>0.74</v>
      </c>
      <c r="K14" s="1">
        <f t="shared" si="3"/>
        <v>13.200313599999999</v>
      </c>
      <c r="L14" s="1"/>
      <c r="M14" s="1" t="str">
        <f t="shared" si="4"/>
        <v/>
      </c>
      <c r="N14" s="1"/>
    </row>
    <row r="15" spans="1:29" ht="12.75" x14ac:dyDescent="0.2">
      <c r="A15" s="1" t="s">
        <v>14</v>
      </c>
      <c r="B15" s="96">
        <v>5038483444733</v>
      </c>
      <c r="C15" s="1">
        <v>7.18</v>
      </c>
      <c r="D15" s="1">
        <v>0.9</v>
      </c>
      <c r="E15" s="1">
        <f t="shared" si="0"/>
        <v>8.08</v>
      </c>
      <c r="F15" s="1">
        <v>1.24</v>
      </c>
      <c r="G15" s="1">
        <f t="shared" si="1"/>
        <v>10.0192</v>
      </c>
      <c r="H15" s="1">
        <v>1.1214999999999999</v>
      </c>
      <c r="I15" s="1">
        <f t="shared" si="2"/>
        <v>11.236532799999999</v>
      </c>
      <c r="J15" s="1">
        <v>0.74</v>
      </c>
      <c r="K15" s="1">
        <f t="shared" si="3"/>
        <v>11.976532799999999</v>
      </c>
      <c r="L15" s="1"/>
      <c r="M15" s="1" t="str">
        <f t="shared" si="4"/>
        <v/>
      </c>
      <c r="N15" s="1"/>
    </row>
    <row r="16" spans="1:29" ht="12.75" x14ac:dyDescent="0.2">
      <c r="A16" s="1" t="s">
        <v>15</v>
      </c>
      <c r="B16" s="96">
        <v>5052197003239</v>
      </c>
      <c r="C16" s="1">
        <v>8.2899999999999991</v>
      </c>
      <c r="D16" s="1">
        <v>0.9</v>
      </c>
      <c r="E16" s="1">
        <f t="shared" si="0"/>
        <v>9.19</v>
      </c>
      <c r="F16" s="1">
        <v>1.24</v>
      </c>
      <c r="G16" s="1">
        <f t="shared" si="1"/>
        <v>11.3956</v>
      </c>
      <c r="H16" s="1">
        <v>1.1214999999999999</v>
      </c>
      <c r="I16" s="1">
        <f t="shared" si="2"/>
        <v>12.7801654</v>
      </c>
      <c r="J16" s="1">
        <v>0.74</v>
      </c>
      <c r="K16" s="1">
        <f t="shared" si="3"/>
        <v>13.5201654</v>
      </c>
      <c r="L16" s="1"/>
      <c r="M16" s="1" t="str">
        <f t="shared" si="4"/>
        <v/>
      </c>
      <c r="N16" s="1"/>
    </row>
    <row r="17" spans="1:14" ht="12.75" x14ac:dyDescent="0.2">
      <c r="A17" s="1" t="s">
        <v>16</v>
      </c>
      <c r="B17" s="96">
        <v>5208070002398</v>
      </c>
      <c r="C17" s="1">
        <v>9.8000000000000007</v>
      </c>
      <c r="D17" s="1">
        <v>0.9</v>
      </c>
      <c r="E17" s="1">
        <f t="shared" si="0"/>
        <v>10.700000000000001</v>
      </c>
      <c r="F17" s="1">
        <v>1.24</v>
      </c>
      <c r="G17" s="1">
        <f t="shared" si="1"/>
        <v>13.268000000000001</v>
      </c>
      <c r="H17" s="1">
        <v>1.1214999999999999</v>
      </c>
      <c r="I17" s="1">
        <f t="shared" si="2"/>
        <v>14.880062000000001</v>
      </c>
      <c r="J17" s="1">
        <v>0.74</v>
      </c>
      <c r="K17" s="1">
        <f t="shared" si="3"/>
        <v>15.620062000000001</v>
      </c>
      <c r="L17" s="1"/>
      <c r="M17" s="1" t="str">
        <f t="shared" si="4"/>
        <v/>
      </c>
      <c r="N17" s="1"/>
    </row>
    <row r="18" spans="1:14" ht="12.75" x14ac:dyDescent="0.2">
      <c r="A18" s="1" t="s">
        <v>17</v>
      </c>
      <c r="B18" s="96">
        <v>5208070000899</v>
      </c>
      <c r="C18" s="1">
        <v>3.83</v>
      </c>
      <c r="D18" s="1">
        <v>0.6</v>
      </c>
      <c r="E18" s="1">
        <f t="shared" si="0"/>
        <v>4.43</v>
      </c>
      <c r="F18" s="1">
        <v>1.24</v>
      </c>
      <c r="G18" s="1">
        <f t="shared" si="1"/>
        <v>5.4931999999999999</v>
      </c>
      <c r="H18" s="1">
        <v>1.1214999999999999</v>
      </c>
      <c r="I18" s="1">
        <f t="shared" si="2"/>
        <v>6.1606237999999998</v>
      </c>
      <c r="J18" s="1">
        <v>0.25</v>
      </c>
      <c r="K18" s="1">
        <f t="shared" si="3"/>
        <v>6.4106237999999998</v>
      </c>
      <c r="L18" s="1"/>
      <c r="M18" s="1" t="str">
        <f t="shared" si="4"/>
        <v/>
      </c>
      <c r="N18" s="1"/>
    </row>
    <row r="19" spans="1:14" ht="12.75" x14ac:dyDescent="0.2">
      <c r="A19" s="1" t="s">
        <v>18</v>
      </c>
      <c r="B19" s="96">
        <v>8001090402363</v>
      </c>
      <c r="C19" s="1">
        <v>14.62</v>
      </c>
      <c r="D19" s="1">
        <v>0.9</v>
      </c>
      <c r="E19" s="1">
        <f t="shared" si="0"/>
        <v>15.52</v>
      </c>
      <c r="F19" s="1">
        <v>1.24</v>
      </c>
      <c r="G19" s="1">
        <f t="shared" si="1"/>
        <v>19.244799999999998</v>
      </c>
      <c r="H19" s="1">
        <v>1.1214999999999999</v>
      </c>
      <c r="I19" s="1">
        <f t="shared" si="2"/>
        <v>21.583043199999995</v>
      </c>
      <c r="J19" s="1">
        <v>1.49</v>
      </c>
      <c r="K19" s="1">
        <f t="shared" si="3"/>
        <v>23.073043199999994</v>
      </c>
      <c r="L19" s="1"/>
      <c r="M19" s="1" t="str">
        <f t="shared" si="4"/>
        <v/>
      </c>
      <c r="N19" s="1"/>
    </row>
    <row r="20" spans="1:14" ht="12.75" x14ac:dyDescent="0.2">
      <c r="A20" s="1" t="s">
        <v>19</v>
      </c>
      <c r="B20" s="96">
        <v>8006540433195</v>
      </c>
      <c r="C20" s="1">
        <v>9.43</v>
      </c>
      <c r="D20" s="1">
        <v>0.9</v>
      </c>
      <c r="E20" s="1">
        <f t="shared" si="0"/>
        <v>10.33</v>
      </c>
      <c r="F20" s="1">
        <v>1.24</v>
      </c>
      <c r="G20" s="1">
        <f t="shared" si="1"/>
        <v>12.809200000000001</v>
      </c>
      <c r="H20" s="1">
        <v>1.1214999999999999</v>
      </c>
      <c r="I20" s="1">
        <f t="shared" si="2"/>
        <v>14.365517799999999</v>
      </c>
      <c r="J20" s="1">
        <v>0.74</v>
      </c>
      <c r="K20" s="1">
        <f t="shared" si="3"/>
        <v>15.105517799999999</v>
      </c>
      <c r="L20" s="1"/>
      <c r="M20" s="1" t="str">
        <f t="shared" si="4"/>
        <v/>
      </c>
      <c r="N20" s="1"/>
    </row>
    <row r="21" spans="1:14" ht="12.75" x14ac:dyDescent="0.2">
      <c r="A21" s="1" t="s">
        <v>20</v>
      </c>
      <c r="B21" s="96">
        <v>5203069098260</v>
      </c>
      <c r="C21" s="1">
        <v>9.11</v>
      </c>
      <c r="D21" s="1">
        <v>0.9</v>
      </c>
      <c r="E21" s="1">
        <f t="shared" si="0"/>
        <v>10.01</v>
      </c>
      <c r="F21" s="1">
        <v>1.24</v>
      </c>
      <c r="G21" s="1">
        <f t="shared" si="1"/>
        <v>12.4124</v>
      </c>
      <c r="H21" s="1">
        <v>1.1214999999999999</v>
      </c>
      <c r="I21" s="1">
        <f t="shared" si="2"/>
        <v>13.9205066</v>
      </c>
      <c r="J21" s="1">
        <v>0.74</v>
      </c>
      <c r="K21" s="1">
        <f t="shared" si="3"/>
        <v>14.6605066</v>
      </c>
      <c r="L21" s="1">
        <v>19.97</v>
      </c>
      <c r="M21" s="1">
        <f t="shared" si="4"/>
        <v>5.3094933999999991</v>
      </c>
      <c r="N21" s="1"/>
    </row>
    <row r="22" spans="1:14" ht="12.75" x14ac:dyDescent="0.2">
      <c r="A22" s="1" t="s">
        <v>21</v>
      </c>
      <c r="B22" s="96" t="s">
        <v>22</v>
      </c>
      <c r="C22" s="1">
        <v>9.16</v>
      </c>
      <c r="D22" s="1">
        <v>0.9</v>
      </c>
      <c r="E22" s="1">
        <f t="shared" si="0"/>
        <v>10.06</v>
      </c>
      <c r="F22" s="1">
        <v>1.24</v>
      </c>
      <c r="G22" s="1">
        <f t="shared" si="1"/>
        <v>12.474400000000001</v>
      </c>
      <c r="H22" s="1">
        <v>1.1214999999999999</v>
      </c>
      <c r="I22" s="1">
        <f t="shared" si="2"/>
        <v>13.990039600000001</v>
      </c>
      <c r="J22" s="1">
        <v>0.74</v>
      </c>
      <c r="K22" s="1">
        <f t="shared" si="3"/>
        <v>14.730039600000001</v>
      </c>
      <c r="L22" s="1">
        <v>13.73</v>
      </c>
      <c r="M22" s="1">
        <f>IFERROR(
  IF(OR(K22=0,L22=0,K22="",L22=""),"",L22-K22),"")</f>
        <v>-1.0000396000000009</v>
      </c>
      <c r="N22" s="1"/>
    </row>
    <row r="23" spans="1:14" ht="12.75" x14ac:dyDescent="0.2">
      <c r="A23" s="1" t="s">
        <v>23</v>
      </c>
      <c r="B23" s="96" t="s">
        <v>24</v>
      </c>
      <c r="C23" s="1">
        <v>10</v>
      </c>
      <c r="D23" s="1">
        <v>0.9</v>
      </c>
      <c r="E23" s="1">
        <f t="shared" si="0"/>
        <v>10.9</v>
      </c>
      <c r="F23" s="1">
        <v>1.24</v>
      </c>
      <c r="G23" s="1">
        <f t="shared" si="1"/>
        <v>13.516</v>
      </c>
      <c r="H23" s="1">
        <v>1.1214999999999999</v>
      </c>
      <c r="I23" s="1">
        <f t="shared" si="2"/>
        <v>15.158194</v>
      </c>
      <c r="J23" s="1">
        <v>0.74</v>
      </c>
      <c r="K23" s="1">
        <f t="shared" si="3"/>
        <v>15.898194</v>
      </c>
      <c r="L23" s="1"/>
      <c r="M23" s="1"/>
      <c r="N23" s="1"/>
    </row>
    <row r="24" spans="1:14" ht="12.75" x14ac:dyDescent="0.2">
      <c r="A24" s="1" t="s">
        <v>25</v>
      </c>
      <c r="B24" s="96">
        <v>5203069091087</v>
      </c>
      <c r="C24" s="1">
        <v>7.07</v>
      </c>
      <c r="D24" s="1">
        <v>0.9</v>
      </c>
      <c r="E24" s="1">
        <f t="shared" si="0"/>
        <v>7.9700000000000006</v>
      </c>
      <c r="F24" s="1">
        <v>1.24</v>
      </c>
      <c r="G24" s="1">
        <f t="shared" si="1"/>
        <v>9.8828000000000014</v>
      </c>
      <c r="H24" s="1">
        <v>1.1214999999999999</v>
      </c>
      <c r="I24" s="1">
        <f t="shared" si="2"/>
        <v>11.083560200000001</v>
      </c>
      <c r="J24" s="1">
        <v>0.74</v>
      </c>
      <c r="K24" s="1">
        <f t="shared" si="3"/>
        <v>11.823560200000001</v>
      </c>
      <c r="L24" s="1"/>
      <c r="M24" s="1"/>
      <c r="N24" s="1"/>
    </row>
    <row r="25" spans="1:14" ht="12.75" x14ac:dyDescent="0.2">
      <c r="A25" s="1" t="s">
        <v>26</v>
      </c>
      <c r="B25" s="96" t="s">
        <v>27</v>
      </c>
      <c r="C25" s="1">
        <v>6.31</v>
      </c>
      <c r="D25" s="1">
        <v>0.9</v>
      </c>
      <c r="E25" s="1">
        <f t="shared" si="0"/>
        <v>7.21</v>
      </c>
      <c r="F25" s="1">
        <v>1.24</v>
      </c>
      <c r="G25" s="1">
        <f t="shared" si="1"/>
        <v>8.9404000000000003</v>
      </c>
      <c r="H25" s="1">
        <v>1.1214999999999999</v>
      </c>
      <c r="I25" s="1">
        <f t="shared" si="2"/>
        <v>10.026658599999999</v>
      </c>
      <c r="J25" s="1">
        <v>0.74</v>
      </c>
      <c r="K25" s="1">
        <f t="shared" si="3"/>
        <v>10.7666586</v>
      </c>
      <c r="L25" s="1">
        <v>11.83</v>
      </c>
      <c r="M25" s="1"/>
      <c r="N25" s="1"/>
    </row>
    <row r="26" spans="1:14" ht="12.75" x14ac:dyDescent="0.2">
      <c r="A26" s="1" t="s">
        <v>28</v>
      </c>
      <c r="B26" s="96" t="s">
        <v>29</v>
      </c>
      <c r="C26" s="1">
        <v>5.24</v>
      </c>
      <c r="D26" s="1">
        <v>0.6</v>
      </c>
      <c r="E26" s="1">
        <f t="shared" si="0"/>
        <v>5.84</v>
      </c>
      <c r="F26" s="1">
        <v>1.24</v>
      </c>
      <c r="G26" s="1">
        <f t="shared" si="1"/>
        <v>7.2416</v>
      </c>
      <c r="H26" s="1">
        <v>1.1214999999999999</v>
      </c>
      <c r="I26" s="1">
        <f t="shared" si="2"/>
        <v>8.1214543999999993</v>
      </c>
      <c r="J26" s="1">
        <v>0.45</v>
      </c>
      <c r="K26" s="1">
        <f t="shared" si="3"/>
        <v>8.5714543999999986</v>
      </c>
      <c r="L26" s="1"/>
      <c r="M26" s="1"/>
      <c r="N26" s="1"/>
    </row>
    <row r="27" spans="1:14" ht="12.75" x14ac:dyDescent="0.2">
      <c r="A27" s="1" t="s">
        <v>30</v>
      </c>
      <c r="B27" s="96" t="s">
        <v>31</v>
      </c>
      <c r="C27" s="1">
        <v>3.6</v>
      </c>
      <c r="D27" s="1">
        <v>0.3</v>
      </c>
      <c r="E27" s="1">
        <f t="shared" si="0"/>
        <v>3.9</v>
      </c>
      <c r="F27" s="1">
        <v>1.24</v>
      </c>
      <c r="G27" s="1">
        <f t="shared" si="1"/>
        <v>4.8360000000000003</v>
      </c>
      <c r="H27" s="1">
        <v>1.1214999999999999</v>
      </c>
      <c r="I27" s="1">
        <f t="shared" si="2"/>
        <v>5.4235740000000003</v>
      </c>
      <c r="J27" s="1">
        <v>0.25</v>
      </c>
      <c r="K27" s="1">
        <f t="shared" si="3"/>
        <v>5.6735740000000003</v>
      </c>
      <c r="L27" s="1"/>
      <c r="M27" s="1"/>
      <c r="N27" s="1"/>
    </row>
    <row r="28" spans="1:14" ht="12.75" x14ac:dyDescent="0.2">
      <c r="A28" s="1" t="s">
        <v>32</v>
      </c>
      <c r="B28" s="96" t="s">
        <v>33</v>
      </c>
      <c r="C28" s="1">
        <v>3.95</v>
      </c>
      <c r="D28" s="1">
        <v>0.9</v>
      </c>
      <c r="E28" s="1">
        <f t="shared" si="0"/>
        <v>4.8500000000000005</v>
      </c>
      <c r="F28" s="1">
        <v>1.24</v>
      </c>
      <c r="G28" s="1">
        <f t="shared" si="1"/>
        <v>6.0140000000000002</v>
      </c>
      <c r="H28" s="1">
        <v>1.1214999999999999</v>
      </c>
      <c r="I28" s="1">
        <f t="shared" si="2"/>
        <v>6.7447010000000001</v>
      </c>
      <c r="J28" s="1">
        <v>0.74</v>
      </c>
      <c r="K28" s="1">
        <f t="shared" si="3"/>
        <v>7.4847010000000003</v>
      </c>
      <c r="L28" s="1"/>
      <c r="M28" s="1"/>
      <c r="N28" s="1"/>
    </row>
    <row r="29" spans="1:14" ht="12.75" x14ac:dyDescent="0.2">
      <c r="A29" s="1" t="s">
        <v>34</v>
      </c>
      <c r="B29" s="96" t="s">
        <v>35</v>
      </c>
      <c r="C29" s="1">
        <v>5.73</v>
      </c>
      <c r="D29" s="1">
        <v>0.6</v>
      </c>
      <c r="E29" s="1">
        <f t="shared" si="0"/>
        <v>6.33</v>
      </c>
      <c r="F29" s="1">
        <v>1.24</v>
      </c>
      <c r="G29" s="1">
        <f t="shared" si="1"/>
        <v>7.8491999999999997</v>
      </c>
      <c r="H29" s="1">
        <v>1.1214999999999999</v>
      </c>
      <c r="I29" s="1">
        <f t="shared" si="2"/>
        <v>8.8028777999999992</v>
      </c>
      <c r="J29" s="1">
        <v>0.45</v>
      </c>
      <c r="K29" s="1">
        <f t="shared" si="3"/>
        <v>9.2528777999999985</v>
      </c>
      <c r="L29" s="1"/>
      <c r="M29" s="1"/>
      <c r="N29" s="1"/>
    </row>
    <row r="30" spans="1:14" ht="12.75" x14ac:dyDescent="0.2">
      <c r="A30" s="1" t="s">
        <v>36</v>
      </c>
      <c r="B30" s="96">
        <v>5203069126499</v>
      </c>
      <c r="C30" s="1">
        <v>10</v>
      </c>
      <c r="D30" s="1">
        <v>0.9</v>
      </c>
      <c r="E30" s="1">
        <f t="shared" si="0"/>
        <v>10.9</v>
      </c>
      <c r="F30" s="1">
        <v>1.24</v>
      </c>
      <c r="G30" s="1">
        <f t="shared" si="1"/>
        <v>13.516</v>
      </c>
      <c r="H30" s="1">
        <v>1.1214999999999999</v>
      </c>
      <c r="I30" s="1">
        <f t="shared" si="2"/>
        <v>15.158194</v>
      </c>
      <c r="J30" s="1">
        <v>0.74</v>
      </c>
      <c r="K30" s="1">
        <f t="shared" si="3"/>
        <v>15.898194</v>
      </c>
      <c r="L30" s="1"/>
      <c r="M30" s="1"/>
      <c r="N30" s="1"/>
    </row>
    <row r="31" spans="1:14" ht="12.75" x14ac:dyDescent="0.2">
      <c r="A31" s="1" t="s">
        <v>37</v>
      </c>
      <c r="B31" s="96">
        <v>5203069126482</v>
      </c>
      <c r="C31" s="1">
        <v>9.83</v>
      </c>
      <c r="D31" s="1">
        <v>0.9</v>
      </c>
      <c r="E31" s="1">
        <f t="shared" si="0"/>
        <v>10.73</v>
      </c>
      <c r="F31" s="1">
        <v>1.24</v>
      </c>
      <c r="G31" s="1">
        <f t="shared" si="1"/>
        <v>13.305200000000001</v>
      </c>
      <c r="H31" s="1">
        <v>1.1214999999999999</v>
      </c>
      <c r="I31" s="1">
        <f t="shared" si="2"/>
        <v>14.9217818</v>
      </c>
      <c r="J31" s="1">
        <v>0.74</v>
      </c>
      <c r="K31" s="1">
        <f t="shared" si="3"/>
        <v>15.6617818</v>
      </c>
      <c r="L31" s="1"/>
      <c r="M31" s="1"/>
      <c r="N31" s="1"/>
    </row>
    <row r="32" spans="1:14" ht="12.75" x14ac:dyDescent="0.2">
      <c r="A32" s="1" t="s">
        <v>38</v>
      </c>
      <c r="B32" s="96">
        <v>8809640732829</v>
      </c>
      <c r="C32" s="1">
        <v>10.71</v>
      </c>
      <c r="D32" s="1">
        <v>0.9</v>
      </c>
      <c r="E32" s="1">
        <f t="shared" si="0"/>
        <v>11.610000000000001</v>
      </c>
      <c r="F32" s="1">
        <v>1.24</v>
      </c>
      <c r="G32" s="1">
        <f t="shared" si="1"/>
        <v>14.396400000000002</v>
      </c>
      <c r="H32" s="1">
        <v>1.1214999999999999</v>
      </c>
      <c r="I32" s="1">
        <f t="shared" si="2"/>
        <v>16.145562600000002</v>
      </c>
      <c r="J32" s="1">
        <v>0.74</v>
      </c>
      <c r="K32" s="1">
        <f t="shared" si="3"/>
        <v>16.8855626</v>
      </c>
      <c r="L32" s="1">
        <v>16.38</v>
      </c>
      <c r="M32" s="1"/>
      <c r="N32" s="1"/>
    </row>
    <row r="33" spans="1:14" ht="12.75" x14ac:dyDescent="0.2">
      <c r="A33" s="1" t="s">
        <v>39</v>
      </c>
      <c r="B33" s="96">
        <v>8809541190421</v>
      </c>
      <c r="C33" s="1">
        <v>7.93</v>
      </c>
      <c r="D33" s="1">
        <v>0.9</v>
      </c>
      <c r="E33" s="1">
        <f t="shared" si="0"/>
        <v>8.83</v>
      </c>
      <c r="F33" s="1">
        <v>1.24</v>
      </c>
      <c r="G33" s="1">
        <f t="shared" si="1"/>
        <v>10.949199999999999</v>
      </c>
      <c r="H33" s="1">
        <v>1.1214999999999999</v>
      </c>
      <c r="I33" s="1">
        <f t="shared" si="2"/>
        <v>12.279527799999999</v>
      </c>
      <c r="J33" s="1">
        <v>0.74</v>
      </c>
      <c r="K33" s="1">
        <f t="shared" si="3"/>
        <v>13.019527799999999</v>
      </c>
      <c r="L33" s="1">
        <v>13.21</v>
      </c>
      <c r="M33" s="1"/>
      <c r="N33" s="1"/>
    </row>
    <row r="34" spans="1:14" ht="12.75" x14ac:dyDescent="0.2">
      <c r="A34" s="1" t="s">
        <v>40</v>
      </c>
      <c r="B34" s="96">
        <v>3337875797665</v>
      </c>
      <c r="C34" s="1">
        <v>9.5299999999999994</v>
      </c>
      <c r="D34" s="1">
        <v>0.9</v>
      </c>
      <c r="E34" s="1">
        <f t="shared" si="0"/>
        <v>10.43</v>
      </c>
      <c r="F34" s="1">
        <v>1.24</v>
      </c>
      <c r="G34" s="1">
        <f t="shared" si="1"/>
        <v>12.933199999999999</v>
      </c>
      <c r="H34" s="1">
        <v>1.1214999999999999</v>
      </c>
      <c r="I34" s="1">
        <f t="shared" si="2"/>
        <v>14.504583799999999</v>
      </c>
      <c r="J34" s="1">
        <v>0.74</v>
      </c>
      <c r="K34" s="1">
        <f t="shared" si="3"/>
        <v>15.244583799999999</v>
      </c>
      <c r="L34" s="1">
        <v>16.3</v>
      </c>
      <c r="M34" s="1"/>
      <c r="N34" s="1"/>
    </row>
    <row r="35" spans="1:14" ht="12.75" x14ac:dyDescent="0.2">
      <c r="A35" s="1" t="s">
        <v>41</v>
      </c>
      <c r="B35" s="96">
        <v>5203069063893</v>
      </c>
      <c r="C35" s="1">
        <v>4.9800000000000004</v>
      </c>
      <c r="D35" s="1">
        <v>0.6</v>
      </c>
      <c r="E35" s="1">
        <f t="shared" si="0"/>
        <v>5.58</v>
      </c>
      <c r="F35" s="1">
        <v>1.24</v>
      </c>
      <c r="G35" s="1">
        <f t="shared" si="1"/>
        <v>6.9192</v>
      </c>
      <c r="H35" s="1">
        <v>1.1214999999999999</v>
      </c>
      <c r="I35" s="1">
        <f t="shared" si="2"/>
        <v>7.7598827999999997</v>
      </c>
      <c r="J35" s="1">
        <v>0.43</v>
      </c>
      <c r="K35" s="1">
        <f t="shared" si="3"/>
        <v>8.1898827999999995</v>
      </c>
      <c r="L35" s="1"/>
      <c r="M35" s="1"/>
      <c r="N35" s="1"/>
    </row>
    <row r="36" spans="1:14" ht="12.75" x14ac:dyDescent="0.2">
      <c r="A36" s="1" t="s">
        <v>42</v>
      </c>
      <c r="B36" s="96">
        <v>8470001713865</v>
      </c>
      <c r="C36" s="1">
        <v>6.44</v>
      </c>
      <c r="D36" s="1">
        <v>0.4</v>
      </c>
      <c r="E36" s="1">
        <f t="shared" si="0"/>
        <v>6.8400000000000007</v>
      </c>
      <c r="F36" s="1">
        <v>1.24</v>
      </c>
      <c r="G36" s="1">
        <f t="shared" si="1"/>
        <v>8.4816000000000003</v>
      </c>
      <c r="H36" s="1">
        <v>1.1214999999999999</v>
      </c>
      <c r="I36" s="1">
        <f t="shared" si="2"/>
        <v>9.5121143999999997</v>
      </c>
      <c r="J36" s="1">
        <v>0.45</v>
      </c>
      <c r="K36" s="1">
        <f t="shared" si="3"/>
        <v>9.962114399999999</v>
      </c>
      <c r="L36" s="1"/>
      <c r="M36" s="1"/>
      <c r="N36" s="1"/>
    </row>
    <row r="37" spans="1:14" ht="12.75" x14ac:dyDescent="0.2">
      <c r="A37" s="1" t="s">
        <v>43</v>
      </c>
      <c r="B37" s="96">
        <v>8809685797173</v>
      </c>
      <c r="C37" s="1">
        <v>14.76</v>
      </c>
      <c r="D37" s="1">
        <v>0.9</v>
      </c>
      <c r="E37" s="1">
        <f t="shared" si="0"/>
        <v>15.66</v>
      </c>
      <c r="F37" s="1">
        <v>1.24</v>
      </c>
      <c r="G37" s="1">
        <f t="shared" si="1"/>
        <v>19.418399999999998</v>
      </c>
      <c r="H37" s="1">
        <v>1.1214999999999999</v>
      </c>
      <c r="I37" s="1">
        <f t="shared" si="2"/>
        <v>21.777735599999996</v>
      </c>
      <c r="J37" s="1">
        <v>0.74</v>
      </c>
      <c r="K37" s="1">
        <f t="shared" si="3"/>
        <v>22.517735599999995</v>
      </c>
      <c r="L37" s="1">
        <v>17</v>
      </c>
      <c r="M37" s="1"/>
      <c r="N37" s="1"/>
    </row>
    <row r="38" spans="1:14" ht="12.75" x14ac:dyDescent="0.2">
      <c r="A38" s="1" t="s">
        <v>44</v>
      </c>
      <c r="B38" s="96">
        <v>3337875549530</v>
      </c>
      <c r="C38" s="1">
        <v>7.57</v>
      </c>
      <c r="D38" s="1">
        <v>0.9</v>
      </c>
      <c r="E38" s="1">
        <f t="shared" si="0"/>
        <v>8.4700000000000006</v>
      </c>
      <c r="F38" s="1">
        <v>1.24</v>
      </c>
      <c r="G38" s="1">
        <f t="shared" si="1"/>
        <v>10.502800000000001</v>
      </c>
      <c r="H38" s="1">
        <v>1.1214999999999999</v>
      </c>
      <c r="I38" s="1">
        <f t="shared" si="2"/>
        <v>11.778890199999999</v>
      </c>
      <c r="J38" s="1">
        <v>0.74</v>
      </c>
      <c r="K38" s="1">
        <f t="shared" si="3"/>
        <v>12.5188902</v>
      </c>
      <c r="L38" s="1">
        <v>12.81</v>
      </c>
      <c r="M38" s="1"/>
      <c r="N38" s="1"/>
    </row>
    <row r="39" spans="1:14" ht="12.75" x14ac:dyDescent="0.2">
      <c r="A39" s="1" t="s">
        <v>46</v>
      </c>
      <c r="B39" s="96">
        <v>5206281120405</v>
      </c>
      <c r="C39" s="1">
        <v>9.81</v>
      </c>
      <c r="D39" s="1">
        <v>0.9</v>
      </c>
      <c r="E39" s="1">
        <f t="shared" si="0"/>
        <v>10.71</v>
      </c>
      <c r="F39" s="1">
        <v>1.24</v>
      </c>
      <c r="G39" s="1">
        <f t="shared" si="1"/>
        <v>13.2804</v>
      </c>
      <c r="H39" s="1">
        <v>1.1214999999999999</v>
      </c>
      <c r="I39" s="1">
        <f t="shared" si="2"/>
        <v>14.893968599999999</v>
      </c>
      <c r="J39" s="1">
        <v>1.49</v>
      </c>
      <c r="K39" s="1">
        <f t="shared" si="3"/>
        <v>16.383968599999999</v>
      </c>
      <c r="L39" s="1"/>
      <c r="M39" s="1"/>
      <c r="N39" s="1"/>
    </row>
    <row r="40" spans="1:14" ht="12.75" x14ac:dyDescent="0.2">
      <c r="A40" s="1" t="s">
        <v>49</v>
      </c>
      <c r="B40" s="96">
        <v>5203069126505</v>
      </c>
      <c r="C40" s="1">
        <v>10.43</v>
      </c>
      <c r="D40" s="1">
        <v>0.9</v>
      </c>
      <c r="E40" s="1">
        <f t="shared" si="0"/>
        <v>11.33</v>
      </c>
      <c r="F40" s="1">
        <v>1.24</v>
      </c>
      <c r="G40" s="1">
        <f t="shared" si="1"/>
        <v>14.049200000000001</v>
      </c>
      <c r="H40" s="1">
        <v>1.1214999999999999</v>
      </c>
      <c r="I40" s="1">
        <f t="shared" si="2"/>
        <v>15.7561778</v>
      </c>
      <c r="J40" s="1">
        <v>0.74</v>
      </c>
      <c r="K40" s="1">
        <f t="shared" si="3"/>
        <v>16.496177799999998</v>
      </c>
      <c r="L40" s="1">
        <v>12.52</v>
      </c>
      <c r="M40" s="1"/>
      <c r="N40" s="1"/>
    </row>
    <row r="41" spans="1:14" ht="12.75" x14ac:dyDescent="0.2">
      <c r="A41" s="1" t="s">
        <v>50</v>
      </c>
      <c r="B41" s="96">
        <v>8429603000385</v>
      </c>
      <c r="C41" s="1">
        <v>7.6</v>
      </c>
      <c r="D41" s="1">
        <v>0.9</v>
      </c>
      <c r="E41" s="1">
        <f t="shared" si="0"/>
        <v>8.5</v>
      </c>
      <c r="F41" s="1">
        <v>1.24</v>
      </c>
      <c r="G41" s="1">
        <f t="shared" si="1"/>
        <v>10.54</v>
      </c>
      <c r="H41" s="1">
        <v>1.1214999999999999</v>
      </c>
      <c r="I41" s="1">
        <f t="shared" si="2"/>
        <v>11.820609999999999</v>
      </c>
      <c r="J41" s="1">
        <v>0.74</v>
      </c>
      <c r="K41" s="1">
        <f t="shared" si="3"/>
        <v>12.560609999999999</v>
      </c>
      <c r="L41" s="1"/>
      <c r="M41" s="1"/>
      <c r="N41" s="1"/>
    </row>
    <row r="42" spans="1:14" ht="12.75" x14ac:dyDescent="0.2">
      <c r="A42" s="1" t="s">
        <v>51</v>
      </c>
      <c r="B42" s="96">
        <v>8809782551814</v>
      </c>
      <c r="C42" s="1">
        <v>10.15</v>
      </c>
      <c r="D42" s="1">
        <v>0.9</v>
      </c>
      <c r="E42" s="1">
        <f t="shared" si="0"/>
        <v>11.05</v>
      </c>
      <c r="F42" s="1">
        <v>1.24</v>
      </c>
      <c r="G42" s="1">
        <f t="shared" si="1"/>
        <v>13.702</v>
      </c>
      <c r="H42" s="1">
        <v>1.1214999999999999</v>
      </c>
      <c r="I42" s="1">
        <f t="shared" si="2"/>
        <v>15.366792999999999</v>
      </c>
      <c r="J42" s="1">
        <v>0.74</v>
      </c>
      <c r="K42" s="1">
        <f t="shared" si="3"/>
        <v>16.106793</v>
      </c>
      <c r="L42" s="1">
        <v>15.5</v>
      </c>
      <c r="M42" s="1"/>
      <c r="N42" s="1"/>
    </row>
    <row r="43" spans="1:14" ht="12.75" x14ac:dyDescent="0.2">
      <c r="A43" s="1" t="s">
        <v>52</v>
      </c>
      <c r="B43" s="96">
        <v>5208070002367</v>
      </c>
      <c r="C43" s="1">
        <v>7.18</v>
      </c>
      <c r="D43" s="1">
        <v>0.9</v>
      </c>
      <c r="E43" s="1">
        <f t="shared" si="0"/>
        <v>8.08</v>
      </c>
      <c r="F43" s="1">
        <v>1.24</v>
      </c>
      <c r="G43" s="1">
        <f t="shared" si="1"/>
        <v>10.0192</v>
      </c>
      <c r="H43" s="1">
        <v>1.1214999999999999</v>
      </c>
      <c r="I43" s="1">
        <f t="shared" si="2"/>
        <v>11.236532799999999</v>
      </c>
      <c r="J43" s="1">
        <v>0.74</v>
      </c>
      <c r="K43" s="1">
        <f t="shared" si="3"/>
        <v>11.976532799999999</v>
      </c>
      <c r="L43" s="1">
        <v>10.39</v>
      </c>
      <c r="M43" s="1"/>
      <c r="N43" s="1"/>
    </row>
    <row r="44" spans="1:14" ht="12.75" x14ac:dyDescent="0.2">
      <c r="A44" s="1" t="s">
        <v>53</v>
      </c>
      <c r="B44" s="96">
        <v>8809532221462</v>
      </c>
      <c r="C44" s="1">
        <v>11.9</v>
      </c>
      <c r="D44" s="1">
        <v>0.9</v>
      </c>
      <c r="E44" s="1">
        <f t="shared" si="0"/>
        <v>12.8</v>
      </c>
      <c r="F44" s="1">
        <v>1.24</v>
      </c>
      <c r="G44" s="1">
        <f t="shared" si="1"/>
        <v>15.872</v>
      </c>
      <c r="H44" s="1">
        <v>1.1214999999999999</v>
      </c>
      <c r="I44" s="1">
        <f t="shared" si="2"/>
        <v>17.800447999999999</v>
      </c>
      <c r="J44" s="1">
        <v>1.49</v>
      </c>
      <c r="K44" s="1">
        <f t="shared" si="3"/>
        <v>19.290447999999998</v>
      </c>
      <c r="L44" s="1">
        <v>9.99</v>
      </c>
      <c r="M44" s="1"/>
      <c r="N44" s="1"/>
    </row>
    <row r="45" spans="1:14" ht="12.75" x14ac:dyDescent="0.2">
      <c r="A45" s="1" t="s">
        <v>54</v>
      </c>
      <c r="B45" s="96" t="s">
        <v>55</v>
      </c>
      <c r="C45" s="1">
        <v>19.41</v>
      </c>
      <c r="D45" s="1">
        <v>0.9</v>
      </c>
      <c r="E45" s="1">
        <f t="shared" si="0"/>
        <v>20.309999999999999</v>
      </c>
      <c r="F45" s="1">
        <v>1.24</v>
      </c>
      <c r="G45" s="1">
        <f t="shared" si="1"/>
        <v>25.184399999999997</v>
      </c>
      <c r="H45" s="1">
        <v>1.1214999999999999</v>
      </c>
      <c r="I45" s="1">
        <f t="shared" si="2"/>
        <v>28.244304599999996</v>
      </c>
      <c r="J45" s="1">
        <v>0.73999999999999899</v>
      </c>
      <c r="K45" s="1">
        <f t="shared" si="3"/>
        <v>28.984304599999994</v>
      </c>
      <c r="L45" s="1">
        <v>34.18</v>
      </c>
      <c r="M45" s="1"/>
      <c r="N45" s="1"/>
    </row>
    <row r="46" spans="1:14" ht="12.75" x14ac:dyDescent="0.2">
      <c r="A46" s="1" t="s">
        <v>56</v>
      </c>
      <c r="B46" s="96" t="s">
        <v>57</v>
      </c>
      <c r="C46" s="1">
        <v>20.09</v>
      </c>
      <c r="D46" s="1">
        <v>0.9</v>
      </c>
      <c r="E46" s="1">
        <f t="shared" si="0"/>
        <v>20.99</v>
      </c>
      <c r="F46" s="1">
        <v>1.24</v>
      </c>
      <c r="G46" s="1">
        <f t="shared" si="1"/>
        <v>26.0276</v>
      </c>
      <c r="H46" s="1">
        <v>1.1214999999999999</v>
      </c>
      <c r="I46" s="1">
        <f t="shared" si="2"/>
        <v>29.189953399999997</v>
      </c>
      <c r="J46" s="1">
        <v>0.73999999999999899</v>
      </c>
      <c r="K46" s="1">
        <f t="shared" si="3"/>
        <v>29.929953399999995</v>
      </c>
      <c r="L46" s="1">
        <v>31.92</v>
      </c>
      <c r="M46" s="1"/>
      <c r="N46" s="1"/>
    </row>
    <row r="47" spans="1:14" ht="12.75" x14ac:dyDescent="0.2">
      <c r="A47" s="1" t="s">
        <v>58</v>
      </c>
      <c r="B47" s="96" t="s">
        <v>59</v>
      </c>
      <c r="C47" s="1">
        <v>12.68</v>
      </c>
      <c r="D47" s="1">
        <v>0.9</v>
      </c>
      <c r="E47" s="1">
        <f t="shared" si="0"/>
        <v>13.58</v>
      </c>
      <c r="F47" s="1">
        <v>1.24</v>
      </c>
      <c r="G47" s="1">
        <f t="shared" si="1"/>
        <v>16.839200000000002</v>
      </c>
      <c r="H47" s="1">
        <v>1.1214999999999999</v>
      </c>
      <c r="I47" s="1">
        <f t="shared" si="2"/>
        <v>18.8851628</v>
      </c>
      <c r="J47" s="1">
        <v>0.73999999999999899</v>
      </c>
      <c r="K47" s="1">
        <f t="shared" si="3"/>
        <v>19.625162799999998</v>
      </c>
      <c r="L47" s="1">
        <v>21.35</v>
      </c>
      <c r="M47" s="1"/>
      <c r="N47" s="1"/>
    </row>
    <row r="48" spans="1:14" ht="12.75" x14ac:dyDescent="0.2">
      <c r="A48" s="1" t="s">
        <v>60</v>
      </c>
      <c r="B48" s="96" t="s">
        <v>61</v>
      </c>
      <c r="C48" s="1">
        <v>9.24</v>
      </c>
      <c r="D48" s="1">
        <v>0.9</v>
      </c>
      <c r="E48" s="1">
        <f t="shared" si="0"/>
        <v>10.14</v>
      </c>
      <c r="F48" s="1">
        <v>1.24</v>
      </c>
      <c r="G48" s="1">
        <f t="shared" si="1"/>
        <v>12.573600000000001</v>
      </c>
      <c r="H48" s="1">
        <v>1.1214999999999999</v>
      </c>
      <c r="I48" s="1">
        <f t="shared" si="2"/>
        <v>14.1012924</v>
      </c>
      <c r="J48" s="1">
        <v>0.73999999999999899</v>
      </c>
      <c r="K48" s="1">
        <f t="shared" si="3"/>
        <v>14.841292399999999</v>
      </c>
      <c r="L48" s="1">
        <v>16.84</v>
      </c>
      <c r="M48" s="1"/>
      <c r="N48" s="1"/>
    </row>
    <row r="49" spans="1:14" ht="12.75" x14ac:dyDescent="0.2">
      <c r="A49" s="1" t="s">
        <v>62</v>
      </c>
      <c r="B49" s="96" t="s">
        <v>63</v>
      </c>
      <c r="C49" s="1">
        <v>11.25</v>
      </c>
      <c r="D49" s="1">
        <v>0.9</v>
      </c>
      <c r="E49" s="1">
        <f t="shared" si="0"/>
        <v>12.15</v>
      </c>
      <c r="F49" s="1">
        <v>1.24</v>
      </c>
      <c r="G49" s="1">
        <f t="shared" si="1"/>
        <v>15.066000000000001</v>
      </c>
      <c r="H49" s="1">
        <v>1.1214999999999999</v>
      </c>
      <c r="I49" s="1">
        <f t="shared" si="2"/>
        <v>16.896519000000001</v>
      </c>
      <c r="J49" s="1">
        <v>0.73999999999999899</v>
      </c>
      <c r="K49" s="1">
        <f t="shared" si="3"/>
        <v>17.636519</v>
      </c>
      <c r="L49" s="1">
        <v>22.9</v>
      </c>
      <c r="M49" s="1"/>
      <c r="N49" s="1"/>
    </row>
    <row r="50" spans="1:14" ht="12.75" x14ac:dyDescent="0.2">
      <c r="A50" s="1" t="s">
        <v>64</v>
      </c>
      <c r="B50" s="96" t="s">
        <v>65</v>
      </c>
      <c r="C50" s="1">
        <v>8.31</v>
      </c>
      <c r="D50" s="1">
        <v>0.9</v>
      </c>
      <c r="E50" s="1">
        <f t="shared" si="0"/>
        <v>9.2100000000000009</v>
      </c>
      <c r="F50" s="1">
        <v>1.24</v>
      </c>
      <c r="G50" s="1">
        <f t="shared" si="1"/>
        <v>11.420400000000001</v>
      </c>
      <c r="H50" s="1">
        <v>1.1214999999999999</v>
      </c>
      <c r="I50" s="1">
        <f t="shared" si="2"/>
        <v>12.8079786</v>
      </c>
      <c r="J50" s="1">
        <v>0.73999999999999899</v>
      </c>
      <c r="K50" s="1">
        <f t="shared" si="3"/>
        <v>13.547978599999999</v>
      </c>
      <c r="L50" s="1">
        <v>14</v>
      </c>
      <c r="M50" s="1"/>
      <c r="N50" s="1"/>
    </row>
    <row r="51" spans="1:14" ht="12.75" x14ac:dyDescent="0.2">
      <c r="A51" s="1" t="s">
        <v>66</v>
      </c>
      <c r="B51" s="96">
        <v>8809686384228</v>
      </c>
      <c r="C51" s="1">
        <v>11.93</v>
      </c>
      <c r="D51" s="1">
        <v>0.9</v>
      </c>
      <c r="E51" s="1">
        <f t="shared" si="0"/>
        <v>12.83</v>
      </c>
      <c r="F51" s="1">
        <v>1.24</v>
      </c>
      <c r="G51" s="1">
        <f t="shared" si="1"/>
        <v>15.9092</v>
      </c>
      <c r="H51" s="1">
        <v>1.1214999999999999</v>
      </c>
      <c r="I51" s="1">
        <f t="shared" si="2"/>
        <v>17.842167799999999</v>
      </c>
      <c r="J51" s="1">
        <v>0.73999999999999899</v>
      </c>
      <c r="K51" s="1">
        <f t="shared" si="3"/>
        <v>18.582167799999997</v>
      </c>
      <c r="L51" s="1">
        <v>17.579999999999998</v>
      </c>
      <c r="M51" s="1"/>
      <c r="N51" s="1"/>
    </row>
    <row r="52" spans="1:14" ht="12.75" x14ac:dyDescent="0.2">
      <c r="A52" s="1" t="s">
        <v>67</v>
      </c>
      <c r="B52" s="96">
        <v>8809560226477</v>
      </c>
      <c r="C52" s="1">
        <v>19.41</v>
      </c>
      <c r="D52" s="1">
        <v>0.9</v>
      </c>
      <c r="E52" s="1">
        <f t="shared" si="0"/>
        <v>20.309999999999999</v>
      </c>
      <c r="F52" s="1">
        <v>1.24</v>
      </c>
      <c r="G52" s="1">
        <f t="shared" si="1"/>
        <v>25.184399999999997</v>
      </c>
      <c r="H52" s="1">
        <v>1.1214999999999999</v>
      </c>
      <c r="I52" s="1">
        <f t="shared" si="2"/>
        <v>28.244304599999996</v>
      </c>
      <c r="J52" s="1">
        <v>0.73999999999999899</v>
      </c>
      <c r="K52" s="1">
        <f t="shared" si="3"/>
        <v>28.984304599999994</v>
      </c>
      <c r="L52" s="1">
        <v>26.99</v>
      </c>
      <c r="M52" s="1"/>
      <c r="N52" s="1"/>
    </row>
    <row r="53" spans="1:14" ht="12.75" x14ac:dyDescent="0.2">
      <c r="A53" s="1" t="s">
        <v>68</v>
      </c>
      <c r="B53" s="96">
        <v>8809581454712</v>
      </c>
      <c r="C53" s="1">
        <v>1.81</v>
      </c>
      <c r="D53" s="1">
        <v>0.3</v>
      </c>
      <c r="E53" s="1">
        <f t="shared" si="0"/>
        <v>2.11</v>
      </c>
      <c r="F53" s="1">
        <v>1.24</v>
      </c>
      <c r="G53" s="1">
        <f t="shared" si="1"/>
        <v>2.6163999999999996</v>
      </c>
      <c r="H53" s="1">
        <v>1.1214999999999999</v>
      </c>
      <c r="I53" s="1">
        <f t="shared" si="2"/>
        <v>2.9342925999999996</v>
      </c>
      <c r="J53" s="1">
        <v>0.25</v>
      </c>
      <c r="K53" s="1">
        <f t="shared" si="3"/>
        <v>3.1842925999999996</v>
      </c>
      <c r="L53" s="1">
        <v>2.2000000000000002</v>
      </c>
      <c r="M53" s="1"/>
      <c r="N53" s="1"/>
    </row>
    <row r="54" spans="1:14" ht="12.75" x14ac:dyDescent="0.2">
      <c r="A54" s="1" t="s">
        <v>69</v>
      </c>
      <c r="B54" s="96" t="s">
        <v>70</v>
      </c>
      <c r="C54" s="1">
        <v>5.59</v>
      </c>
      <c r="D54" s="1">
        <v>0.6</v>
      </c>
      <c r="E54" s="1">
        <f t="shared" si="0"/>
        <v>6.1899999999999995</v>
      </c>
      <c r="F54" s="1">
        <v>1.24</v>
      </c>
      <c r="G54" s="1">
        <f t="shared" si="1"/>
        <v>7.6755999999999993</v>
      </c>
      <c r="H54" s="1">
        <v>1.1214999999999999</v>
      </c>
      <c r="I54" s="1">
        <f t="shared" si="2"/>
        <v>8.6081853999999982</v>
      </c>
      <c r="J54" s="1">
        <v>0.43</v>
      </c>
      <c r="K54" s="1">
        <f t="shared" si="3"/>
        <v>9.0381853999999979</v>
      </c>
      <c r="L54" s="1"/>
      <c r="M54" s="1"/>
      <c r="N54" s="1"/>
    </row>
    <row r="55" spans="1:14" ht="12.75" x14ac:dyDescent="0.2">
      <c r="A55" s="1" t="s">
        <v>71</v>
      </c>
      <c r="B55" s="96" t="s">
        <v>72</v>
      </c>
      <c r="C55" s="1">
        <v>1.81</v>
      </c>
      <c r="D55" s="1">
        <v>0.3</v>
      </c>
      <c r="E55" s="1">
        <f t="shared" si="0"/>
        <v>2.11</v>
      </c>
      <c r="F55" s="1">
        <v>1.24</v>
      </c>
      <c r="G55" s="1">
        <f t="shared" si="1"/>
        <v>2.6163999999999996</v>
      </c>
      <c r="H55" s="1">
        <v>1.1214999999999999</v>
      </c>
      <c r="I55" s="1">
        <f t="shared" si="2"/>
        <v>2.9342925999999996</v>
      </c>
      <c r="J55" s="1">
        <v>0.25</v>
      </c>
      <c r="K55" s="1">
        <f t="shared" si="3"/>
        <v>3.1842925999999996</v>
      </c>
      <c r="L55" s="1">
        <v>2.4</v>
      </c>
      <c r="M55" s="1"/>
      <c r="N55" s="1"/>
    </row>
    <row r="56" spans="1:14" ht="12.75" x14ac:dyDescent="0.2">
      <c r="A56" s="1" t="s">
        <v>73</v>
      </c>
      <c r="B56" s="96" t="s">
        <v>74</v>
      </c>
      <c r="C56" s="1">
        <v>1.81</v>
      </c>
      <c r="D56" s="1">
        <v>0.3</v>
      </c>
      <c r="E56" s="1">
        <f t="shared" si="0"/>
        <v>2.11</v>
      </c>
      <c r="F56" s="1">
        <v>1.24</v>
      </c>
      <c r="G56" s="1">
        <f t="shared" si="1"/>
        <v>2.6163999999999996</v>
      </c>
      <c r="H56" s="1">
        <v>1.1214999999999999</v>
      </c>
      <c r="I56" s="1">
        <f t="shared" si="2"/>
        <v>2.9342925999999996</v>
      </c>
      <c r="J56" s="1">
        <v>0.25</v>
      </c>
      <c r="K56" s="1">
        <f t="shared" si="3"/>
        <v>3.1842925999999996</v>
      </c>
      <c r="L56" s="1">
        <v>2.2999999999999998</v>
      </c>
      <c r="M56" s="1"/>
      <c r="N56" s="1"/>
    </row>
    <row r="57" spans="1:14" ht="12.75" x14ac:dyDescent="0.2">
      <c r="A57" s="1" t="s">
        <v>75</v>
      </c>
      <c r="B57" s="96" t="s">
        <v>76</v>
      </c>
      <c r="C57" s="1">
        <v>1.81</v>
      </c>
      <c r="D57" s="1">
        <v>0.3</v>
      </c>
      <c r="E57" s="1">
        <f t="shared" si="0"/>
        <v>2.11</v>
      </c>
      <c r="F57" s="1">
        <v>1.24</v>
      </c>
      <c r="G57" s="1">
        <f t="shared" si="1"/>
        <v>2.6163999999999996</v>
      </c>
      <c r="H57" s="1">
        <v>1.1214999999999999</v>
      </c>
      <c r="I57" s="1">
        <f t="shared" si="2"/>
        <v>2.9342925999999996</v>
      </c>
      <c r="J57" s="1">
        <v>0.25</v>
      </c>
      <c r="K57" s="1">
        <f t="shared" si="3"/>
        <v>3.1842925999999996</v>
      </c>
      <c r="L57" s="1">
        <v>2.9</v>
      </c>
      <c r="M57" s="1"/>
      <c r="N57" s="1"/>
    </row>
    <row r="58" spans="1:14" ht="12.75" x14ac:dyDescent="0.2">
      <c r="A58" s="1" t="s">
        <v>77</v>
      </c>
      <c r="B58" s="96" t="s">
        <v>78</v>
      </c>
      <c r="C58" s="1">
        <v>1.81</v>
      </c>
      <c r="D58" s="1">
        <v>0.3</v>
      </c>
      <c r="E58" s="1">
        <f t="shared" si="0"/>
        <v>2.11</v>
      </c>
      <c r="F58" s="1">
        <v>1.24</v>
      </c>
      <c r="G58" s="1">
        <f t="shared" si="1"/>
        <v>2.6163999999999996</v>
      </c>
      <c r="H58" s="1">
        <v>1.1214999999999999</v>
      </c>
      <c r="I58" s="1">
        <f t="shared" si="2"/>
        <v>2.9342925999999996</v>
      </c>
      <c r="J58" s="1">
        <v>0.25</v>
      </c>
      <c r="K58" s="1">
        <f t="shared" si="3"/>
        <v>3.1842925999999996</v>
      </c>
      <c r="L58" s="1">
        <v>2.9</v>
      </c>
      <c r="M58" s="1"/>
      <c r="N58" s="1"/>
    </row>
    <row r="59" spans="1:14" ht="12.75" x14ac:dyDescent="0.2">
      <c r="A59" s="1" t="s">
        <v>79</v>
      </c>
      <c r="B59" s="96">
        <v>5200250300119</v>
      </c>
      <c r="C59" s="1">
        <v>3.3</v>
      </c>
      <c r="D59" s="1">
        <v>0.3</v>
      </c>
      <c r="E59" s="1">
        <f t="shared" si="0"/>
        <v>3.5999999999999996</v>
      </c>
      <c r="F59" s="1">
        <v>1.24</v>
      </c>
      <c r="G59" s="1">
        <f t="shared" si="1"/>
        <v>4.4639999999999995</v>
      </c>
      <c r="H59" s="1">
        <v>1.1214999999999999</v>
      </c>
      <c r="I59" s="1">
        <f t="shared" si="2"/>
        <v>5.0063759999999995</v>
      </c>
      <c r="J59" s="1">
        <v>0.25</v>
      </c>
      <c r="K59" s="1">
        <f t="shared" si="3"/>
        <v>5.2563759999999995</v>
      </c>
      <c r="L59" s="1"/>
      <c r="M59" s="1"/>
      <c r="N59" s="1"/>
    </row>
    <row r="60" spans="1:14" ht="12.75" x14ac:dyDescent="0.2">
      <c r="A60" s="1" t="s">
        <v>80</v>
      </c>
      <c r="B60" s="96">
        <v>5214001855131</v>
      </c>
      <c r="C60" s="1">
        <v>11.47</v>
      </c>
      <c r="D60" s="1">
        <v>0.57999999999999996</v>
      </c>
      <c r="E60" s="1">
        <f t="shared" si="0"/>
        <v>12.05</v>
      </c>
      <c r="F60" s="1">
        <v>1.24</v>
      </c>
      <c r="G60" s="1">
        <f t="shared" si="1"/>
        <v>14.942</v>
      </c>
      <c r="H60" s="1">
        <v>1.1214999999999999</v>
      </c>
      <c r="I60" s="1">
        <f t="shared" si="2"/>
        <v>16.757452999999998</v>
      </c>
      <c r="J60" s="1">
        <v>0.73999999999999899</v>
      </c>
      <c r="K60" s="1">
        <f t="shared" si="3"/>
        <v>17.497452999999997</v>
      </c>
      <c r="L60" s="1"/>
      <c r="M60" s="1"/>
      <c r="N60" s="1"/>
    </row>
    <row r="61" spans="1:14" ht="12.75" x14ac:dyDescent="0.2">
      <c r="A61" s="1" t="s">
        <v>81</v>
      </c>
      <c r="B61" s="96">
        <v>5200309854105</v>
      </c>
      <c r="C61" s="1">
        <v>7.89</v>
      </c>
      <c r="D61" s="1">
        <v>0.9</v>
      </c>
      <c r="E61" s="1">
        <f t="shared" si="0"/>
        <v>8.7899999999999991</v>
      </c>
      <c r="F61" s="1">
        <v>1.24</v>
      </c>
      <c r="G61" s="1">
        <f t="shared" si="1"/>
        <v>10.8996</v>
      </c>
      <c r="H61" s="1">
        <v>1.1214999999999999</v>
      </c>
      <c r="I61" s="1">
        <f t="shared" si="2"/>
        <v>12.223901399999999</v>
      </c>
      <c r="J61" s="1">
        <v>0.73999999999999899</v>
      </c>
      <c r="K61" s="1">
        <f t="shared" si="3"/>
        <v>12.963901399999997</v>
      </c>
      <c r="L61" s="1"/>
      <c r="M61" s="1"/>
      <c r="N61" s="1"/>
    </row>
    <row r="62" spans="1:14" ht="12.75" x14ac:dyDescent="0.2">
      <c r="A62" s="1" t="s">
        <v>82</v>
      </c>
      <c r="B62" s="96">
        <v>5011417567586</v>
      </c>
      <c r="C62" s="1">
        <v>4.9000000000000004</v>
      </c>
      <c r="D62" s="1">
        <v>0.6</v>
      </c>
      <c r="E62" s="1">
        <f t="shared" si="0"/>
        <v>5.5</v>
      </c>
      <c r="F62" s="1">
        <v>1.24</v>
      </c>
      <c r="G62" s="1">
        <f t="shared" si="1"/>
        <v>6.82</v>
      </c>
      <c r="H62" s="1">
        <v>1.1214999999999999</v>
      </c>
      <c r="I62" s="1">
        <f t="shared" si="2"/>
        <v>7.6486299999999998</v>
      </c>
      <c r="J62" s="1">
        <v>0.45</v>
      </c>
      <c r="K62" s="1">
        <f t="shared" si="3"/>
        <v>8.09863</v>
      </c>
      <c r="L62" s="1"/>
      <c r="M62" s="1"/>
      <c r="N62" s="1"/>
    </row>
    <row r="63" spans="1:14" ht="12.75" x14ac:dyDescent="0.2">
      <c r="A63" s="1" t="s">
        <v>83</v>
      </c>
      <c r="B63" s="96">
        <v>5201314047452</v>
      </c>
      <c r="C63" s="1">
        <v>6.92</v>
      </c>
      <c r="D63" s="1">
        <v>0.9</v>
      </c>
      <c r="E63" s="1">
        <f t="shared" si="0"/>
        <v>7.82</v>
      </c>
      <c r="F63" s="1">
        <v>1.24</v>
      </c>
      <c r="G63" s="1">
        <f t="shared" si="1"/>
        <v>9.6967999999999996</v>
      </c>
      <c r="H63" s="1">
        <v>1.1214999999999999</v>
      </c>
      <c r="I63" s="1">
        <f t="shared" si="2"/>
        <v>10.8749612</v>
      </c>
      <c r="J63" s="1">
        <v>0.73999999999999899</v>
      </c>
      <c r="K63" s="1">
        <f t="shared" si="3"/>
        <v>11.614961199999998</v>
      </c>
      <c r="L63" s="1"/>
      <c r="M63" s="1"/>
      <c r="N63" s="1"/>
    </row>
    <row r="64" spans="1:14" ht="12.75" x14ac:dyDescent="0.2">
      <c r="A64" s="1" t="s">
        <v>84</v>
      </c>
      <c r="B64" s="96">
        <v>5201314047353</v>
      </c>
      <c r="C64" s="1">
        <v>3.04</v>
      </c>
      <c r="D64" s="1">
        <v>0.1</v>
      </c>
      <c r="E64" s="1">
        <f t="shared" si="0"/>
        <v>3.14</v>
      </c>
      <c r="F64" s="1">
        <v>1.24</v>
      </c>
      <c r="G64" s="1">
        <f t="shared" si="1"/>
        <v>3.8936000000000002</v>
      </c>
      <c r="H64" s="1">
        <v>1.1214999999999999</v>
      </c>
      <c r="I64" s="1">
        <f t="shared" si="2"/>
        <v>4.3666723999999997</v>
      </c>
      <c r="J64" s="1">
        <v>0.25</v>
      </c>
      <c r="K64" s="1">
        <f t="shared" si="3"/>
        <v>4.6166723999999997</v>
      </c>
      <c r="L64" s="1"/>
      <c r="M64" s="1"/>
      <c r="N64" s="1"/>
    </row>
    <row r="65" spans="1:14" ht="12.75" x14ac:dyDescent="0.2">
      <c r="A65" s="1" t="s">
        <v>85</v>
      </c>
      <c r="B65" s="96">
        <v>5201314047407</v>
      </c>
      <c r="C65" s="1">
        <v>4.8499999999999996</v>
      </c>
      <c r="D65" s="1">
        <v>0.6</v>
      </c>
      <c r="E65" s="1">
        <f t="shared" si="0"/>
        <v>5.4499999999999993</v>
      </c>
      <c r="F65" s="1">
        <v>1.24</v>
      </c>
      <c r="G65" s="1">
        <f t="shared" si="1"/>
        <v>6.7579999999999991</v>
      </c>
      <c r="H65" s="1">
        <v>1.1214999999999999</v>
      </c>
      <c r="I65" s="1">
        <f t="shared" si="2"/>
        <v>7.5790969999999982</v>
      </c>
      <c r="J65" s="1">
        <v>0.45</v>
      </c>
      <c r="K65" s="1">
        <f t="shared" si="3"/>
        <v>8.0290969999999984</v>
      </c>
      <c r="L65" s="1"/>
      <c r="M65" s="1"/>
      <c r="N65" s="1"/>
    </row>
    <row r="66" spans="1:14" ht="12.75" x14ac:dyDescent="0.2">
      <c r="A66" s="1" t="s">
        <v>86</v>
      </c>
      <c r="B66" s="96">
        <v>5201314047438</v>
      </c>
      <c r="C66" s="1">
        <v>2.67</v>
      </c>
      <c r="D66" s="1">
        <v>0.3</v>
      </c>
      <c r="E66" s="1">
        <f t="shared" si="0"/>
        <v>2.9699999999999998</v>
      </c>
      <c r="F66" s="1">
        <v>1.24</v>
      </c>
      <c r="G66" s="1">
        <f t="shared" si="1"/>
        <v>3.6827999999999999</v>
      </c>
      <c r="H66" s="1">
        <v>1.1214999999999999</v>
      </c>
      <c r="I66" s="1">
        <f t="shared" si="2"/>
        <v>4.1302601999999995</v>
      </c>
      <c r="J66" s="1">
        <v>0.25</v>
      </c>
      <c r="K66" s="1">
        <f t="shared" si="3"/>
        <v>4.3802601999999995</v>
      </c>
      <c r="L66" s="1"/>
      <c r="M66" s="1"/>
      <c r="N66" s="1"/>
    </row>
    <row r="67" spans="1:14" ht="12.75" x14ac:dyDescent="0.2">
      <c r="A67" s="1" t="s">
        <v>87</v>
      </c>
      <c r="B67" s="96">
        <v>8809532220953</v>
      </c>
      <c r="C67" s="1">
        <v>7.99</v>
      </c>
      <c r="D67" s="1">
        <v>0.9</v>
      </c>
      <c r="E67" s="1">
        <f t="shared" si="0"/>
        <v>8.89</v>
      </c>
      <c r="F67" s="1">
        <v>1.24</v>
      </c>
      <c r="G67" s="1">
        <f t="shared" si="1"/>
        <v>11.0236</v>
      </c>
      <c r="H67" s="1">
        <v>1.1214999999999999</v>
      </c>
      <c r="I67" s="1">
        <f t="shared" si="2"/>
        <v>12.362967399999999</v>
      </c>
      <c r="J67" s="1">
        <v>0.73999999999999899</v>
      </c>
      <c r="K67" s="1">
        <f t="shared" si="3"/>
        <v>13.102967399999997</v>
      </c>
      <c r="L67" s="1"/>
      <c r="M67" s="1"/>
      <c r="N67" s="1"/>
    </row>
    <row r="68" spans="1:14" ht="12.75" x14ac:dyDescent="0.2">
      <c r="A68" s="1" t="s">
        <v>88</v>
      </c>
      <c r="B68" s="96">
        <v>8809686384204</v>
      </c>
      <c r="C68" s="1">
        <v>10.119999999999999</v>
      </c>
      <c r="D68" s="1">
        <v>0.9</v>
      </c>
      <c r="E68" s="1">
        <f t="shared" si="0"/>
        <v>11.02</v>
      </c>
      <c r="F68" s="1">
        <v>1.24</v>
      </c>
      <c r="G68" s="1">
        <f t="shared" si="1"/>
        <v>13.6648</v>
      </c>
      <c r="H68" s="1">
        <v>1.1214999999999999</v>
      </c>
      <c r="I68" s="1">
        <f t="shared" si="2"/>
        <v>15.325073199999999</v>
      </c>
      <c r="J68" s="1">
        <v>0.73999999999999899</v>
      </c>
      <c r="K68" s="1">
        <f t="shared" si="3"/>
        <v>16.065073199999997</v>
      </c>
      <c r="L68" s="1">
        <v>12.49</v>
      </c>
      <c r="M68" s="1"/>
      <c r="N68" s="1"/>
    </row>
    <row r="69" spans="1:14" ht="12.75" x14ac:dyDescent="0.2">
      <c r="A69" s="1" t="s">
        <v>89</v>
      </c>
      <c r="B69" s="96">
        <v>5201314047490</v>
      </c>
      <c r="C69" s="1">
        <v>4.1500000000000004</v>
      </c>
      <c r="D69" s="1">
        <v>0.3</v>
      </c>
      <c r="E69" s="1">
        <f t="shared" si="0"/>
        <v>4.45</v>
      </c>
      <c r="F69" s="1">
        <v>1.24</v>
      </c>
      <c r="G69" s="1">
        <f t="shared" si="1"/>
        <v>5.5179999999999998</v>
      </c>
      <c r="H69" s="1">
        <v>1.1214999999999999</v>
      </c>
      <c r="I69" s="1">
        <f t="shared" si="2"/>
        <v>6.1884369999999995</v>
      </c>
      <c r="J69" s="1">
        <v>0.25</v>
      </c>
      <c r="K69" s="1">
        <f t="shared" si="3"/>
        <v>6.4384369999999995</v>
      </c>
      <c r="L69" s="1"/>
      <c r="M69" s="1"/>
      <c r="N69" s="1"/>
    </row>
    <row r="70" spans="1:14" ht="12.75" x14ac:dyDescent="0.2">
      <c r="A70" s="1" t="s">
        <v>90</v>
      </c>
      <c r="B70" s="96">
        <v>8470002998834</v>
      </c>
      <c r="C70" s="1">
        <v>7.59</v>
      </c>
      <c r="D70" s="1">
        <v>0.9</v>
      </c>
      <c r="E70" s="1">
        <f t="shared" si="0"/>
        <v>8.49</v>
      </c>
      <c r="F70" s="1">
        <v>1.24</v>
      </c>
      <c r="G70" s="1">
        <f t="shared" si="1"/>
        <v>10.5276</v>
      </c>
      <c r="H70" s="1">
        <v>1.1214999999999999</v>
      </c>
      <c r="I70" s="1">
        <f t="shared" si="2"/>
        <v>11.806703399999998</v>
      </c>
      <c r="J70" s="1">
        <v>0.73999999999999899</v>
      </c>
      <c r="K70" s="1">
        <f t="shared" si="3"/>
        <v>12.546703399999997</v>
      </c>
      <c r="L70" s="1"/>
      <c r="M70" s="1"/>
      <c r="N70" s="1"/>
    </row>
    <row r="71" spans="1:14" ht="12.75" x14ac:dyDescent="0.2">
      <c r="A71" s="1" t="s">
        <v>91</v>
      </c>
      <c r="B71" s="96">
        <v>3337875486736</v>
      </c>
      <c r="C71" s="1"/>
      <c r="D71" s="1"/>
      <c r="E71" s="1"/>
      <c r="F71" s="1"/>
      <c r="G71" s="1"/>
      <c r="H71" s="1"/>
      <c r="I71" s="1"/>
      <c r="J71" s="1"/>
      <c r="K71" s="1"/>
      <c r="L71" s="1">
        <v>10.88</v>
      </c>
      <c r="M71" s="1"/>
      <c r="N71" s="1"/>
    </row>
    <row r="72" spans="1:14" ht="12.75" x14ac:dyDescent="0.2">
      <c r="A72" s="1" t="s">
        <v>92</v>
      </c>
      <c r="B72" s="96">
        <v>8809532221523</v>
      </c>
      <c r="C72" s="1">
        <v>8.69</v>
      </c>
      <c r="D72" s="1">
        <v>0.9</v>
      </c>
      <c r="E72" s="1">
        <f t="shared" ref="E72:E108" si="5">SUM(C72)+D72</f>
        <v>9.59</v>
      </c>
      <c r="F72" s="1">
        <v>1.24</v>
      </c>
      <c r="G72" s="1">
        <f t="shared" ref="G72:G108" si="6">SUM(E72)*F72</f>
        <v>11.8916</v>
      </c>
      <c r="H72" s="1">
        <v>1.1214999999999999</v>
      </c>
      <c r="I72" s="1">
        <f t="shared" ref="I72:I108" si="7">SUM(G72)*H72</f>
        <v>13.3364294</v>
      </c>
      <c r="J72" s="1">
        <v>0.73999999999999899</v>
      </c>
      <c r="K72" s="1">
        <f t="shared" ref="K72:K108" si="8">SUM(I72)+J72</f>
        <v>14.076429399999999</v>
      </c>
      <c r="L72" s="1">
        <v>15.75</v>
      </c>
      <c r="M72" s="1"/>
      <c r="N72" s="1"/>
    </row>
    <row r="73" spans="1:14" ht="12.75" x14ac:dyDescent="0.2">
      <c r="A73" s="1" t="s">
        <v>93</v>
      </c>
      <c r="B73" s="96">
        <v>5052197025606</v>
      </c>
      <c r="C73" s="1">
        <v>8.2899999999999991</v>
      </c>
      <c r="D73" s="1">
        <v>0.9</v>
      </c>
      <c r="E73" s="1">
        <f t="shared" si="5"/>
        <v>9.19</v>
      </c>
      <c r="F73" s="1">
        <v>1.24</v>
      </c>
      <c r="G73" s="1">
        <f t="shared" si="6"/>
        <v>11.3956</v>
      </c>
      <c r="H73" s="1">
        <v>1.1214999999999999</v>
      </c>
      <c r="I73" s="1">
        <f t="shared" si="7"/>
        <v>12.7801654</v>
      </c>
      <c r="J73" s="1">
        <v>0.73999999999999899</v>
      </c>
      <c r="K73" s="1">
        <f t="shared" si="8"/>
        <v>13.520165399999998</v>
      </c>
      <c r="L73" s="1"/>
      <c r="M73" s="1"/>
      <c r="N73" s="1"/>
    </row>
    <row r="74" spans="1:14" ht="12.75" x14ac:dyDescent="0.2">
      <c r="A74" s="1" t="s">
        <v>94</v>
      </c>
      <c r="B74" s="96">
        <v>5011417567272</v>
      </c>
      <c r="C74" s="1">
        <v>7.18</v>
      </c>
      <c r="D74" s="1">
        <v>0.9</v>
      </c>
      <c r="E74" s="1">
        <f t="shared" si="5"/>
        <v>8.08</v>
      </c>
      <c r="F74" s="1">
        <v>1.24</v>
      </c>
      <c r="G74" s="1">
        <f t="shared" si="6"/>
        <v>10.0192</v>
      </c>
      <c r="H74" s="1">
        <v>1.1214999999999999</v>
      </c>
      <c r="I74" s="1">
        <f t="shared" si="7"/>
        <v>11.236532799999999</v>
      </c>
      <c r="J74" s="1">
        <v>0.73999999999999899</v>
      </c>
      <c r="K74" s="1">
        <f t="shared" si="8"/>
        <v>11.976532799999998</v>
      </c>
      <c r="L74" s="1"/>
      <c r="M74" s="1"/>
      <c r="N74" s="1"/>
    </row>
    <row r="75" spans="1:14" ht="12.75" x14ac:dyDescent="0.2">
      <c r="A75" s="1" t="s">
        <v>96</v>
      </c>
      <c r="B75" s="96">
        <v>5201314087656</v>
      </c>
      <c r="C75" s="1">
        <v>3.15</v>
      </c>
      <c r="D75" s="1">
        <v>0.3</v>
      </c>
      <c r="E75" s="1">
        <f t="shared" si="5"/>
        <v>3.4499999999999997</v>
      </c>
      <c r="F75" s="1">
        <v>1.24</v>
      </c>
      <c r="G75" s="1">
        <f t="shared" si="6"/>
        <v>4.2779999999999996</v>
      </c>
      <c r="H75" s="1">
        <v>1.1214999999999999</v>
      </c>
      <c r="I75" s="1">
        <f t="shared" si="7"/>
        <v>4.7977769999999991</v>
      </c>
      <c r="J75" s="1">
        <v>0.25</v>
      </c>
      <c r="K75" s="1">
        <f t="shared" si="8"/>
        <v>5.0477769999999991</v>
      </c>
      <c r="L75" s="1"/>
      <c r="M75" s="1"/>
      <c r="N75" s="1"/>
    </row>
    <row r="76" spans="1:14" ht="12.75" x14ac:dyDescent="0.2">
      <c r="A76" s="1" t="s">
        <v>97</v>
      </c>
      <c r="B76" s="96">
        <v>5600767644162</v>
      </c>
      <c r="C76" s="1">
        <v>9.1999999999999993</v>
      </c>
      <c r="D76" s="1">
        <v>0.9</v>
      </c>
      <c r="E76" s="1">
        <f t="shared" si="5"/>
        <v>10.1</v>
      </c>
      <c r="F76" s="1">
        <v>1.24</v>
      </c>
      <c r="G76" s="1">
        <f t="shared" si="6"/>
        <v>12.523999999999999</v>
      </c>
      <c r="H76" s="1">
        <v>1.1214999999999999</v>
      </c>
      <c r="I76" s="1">
        <f t="shared" si="7"/>
        <v>14.045665999999999</v>
      </c>
      <c r="J76" s="1">
        <v>0.73999999999999899</v>
      </c>
      <c r="K76" s="1">
        <f t="shared" si="8"/>
        <v>14.785665999999997</v>
      </c>
      <c r="L76" s="1"/>
      <c r="M76" s="1"/>
      <c r="N76" s="1"/>
    </row>
    <row r="77" spans="1:14" ht="12.75" x14ac:dyDescent="0.2">
      <c r="A77" s="1" t="s">
        <v>98</v>
      </c>
      <c r="B77" s="96">
        <v>5054563198501</v>
      </c>
      <c r="C77" s="1">
        <v>3.84</v>
      </c>
      <c r="D77" s="1">
        <v>0.3</v>
      </c>
      <c r="E77" s="1">
        <f t="shared" si="5"/>
        <v>4.1399999999999997</v>
      </c>
      <c r="F77" s="1">
        <v>1.24</v>
      </c>
      <c r="G77" s="1">
        <f t="shared" si="6"/>
        <v>5.1335999999999995</v>
      </c>
      <c r="H77" s="1">
        <v>1.1214999999999999</v>
      </c>
      <c r="I77" s="1">
        <f t="shared" si="7"/>
        <v>5.7573323999999992</v>
      </c>
      <c r="J77" s="1">
        <v>0.25</v>
      </c>
      <c r="K77" s="1">
        <f t="shared" si="8"/>
        <v>6.0073323999999992</v>
      </c>
      <c r="L77" s="1"/>
      <c r="M77" s="1"/>
      <c r="N77" s="1"/>
    </row>
    <row r="78" spans="1:14" ht="12.75" x14ac:dyDescent="0.2">
      <c r="A78" s="1" t="s">
        <v>99</v>
      </c>
      <c r="B78" s="96">
        <v>3664798030839</v>
      </c>
      <c r="C78" s="1">
        <v>7.44</v>
      </c>
      <c r="D78" s="1">
        <v>0.6</v>
      </c>
      <c r="E78" s="1">
        <f t="shared" si="5"/>
        <v>8.0400000000000009</v>
      </c>
      <c r="F78" s="1">
        <v>1.24</v>
      </c>
      <c r="G78" s="1">
        <f t="shared" si="6"/>
        <v>9.9696000000000016</v>
      </c>
      <c r="H78" s="1">
        <v>1.1214999999999999</v>
      </c>
      <c r="I78" s="1">
        <f t="shared" si="7"/>
        <v>11.180906400000001</v>
      </c>
      <c r="J78" s="1">
        <v>0.73999999999999899</v>
      </c>
      <c r="K78" s="1">
        <f t="shared" si="8"/>
        <v>11.9209064</v>
      </c>
      <c r="L78" s="1"/>
      <c r="M78" s="1"/>
      <c r="N78" s="1"/>
    </row>
    <row r="79" spans="1:14" ht="12.75" x14ac:dyDescent="0.2">
      <c r="A79" s="1" t="s">
        <v>100</v>
      </c>
      <c r="B79" s="96">
        <v>5600767644179</v>
      </c>
      <c r="C79" s="1">
        <v>10.29</v>
      </c>
      <c r="D79" s="1">
        <v>0.9</v>
      </c>
      <c r="E79" s="1">
        <f t="shared" si="5"/>
        <v>11.19</v>
      </c>
      <c r="F79" s="1">
        <v>1.24</v>
      </c>
      <c r="G79" s="1">
        <f t="shared" si="6"/>
        <v>13.875599999999999</v>
      </c>
      <c r="H79" s="1">
        <v>1.1214999999999999</v>
      </c>
      <c r="I79" s="1">
        <f t="shared" si="7"/>
        <v>15.561485399999997</v>
      </c>
      <c r="J79" s="1">
        <v>0.73999999999999899</v>
      </c>
      <c r="K79" s="1">
        <f t="shared" si="8"/>
        <v>16.301485399999997</v>
      </c>
      <c r="L79" s="1"/>
      <c r="M79" s="1"/>
      <c r="N79" s="1"/>
    </row>
    <row r="80" spans="1:14" ht="12.75" x14ac:dyDescent="0.2">
      <c r="A80" s="1" t="s">
        <v>101</v>
      </c>
      <c r="B80" s="96">
        <v>3664798028805</v>
      </c>
      <c r="C80" s="1">
        <v>6.84</v>
      </c>
      <c r="D80" s="1">
        <v>0.9</v>
      </c>
      <c r="E80" s="1">
        <f t="shared" si="5"/>
        <v>7.74</v>
      </c>
      <c r="F80" s="1">
        <v>1.24</v>
      </c>
      <c r="G80" s="1">
        <f t="shared" si="6"/>
        <v>9.5975999999999999</v>
      </c>
      <c r="H80" s="1">
        <v>1.1214999999999999</v>
      </c>
      <c r="I80" s="1">
        <f t="shared" si="7"/>
        <v>10.763708399999999</v>
      </c>
      <c r="J80" s="1">
        <v>0.73999999999999899</v>
      </c>
      <c r="K80" s="1">
        <f t="shared" si="8"/>
        <v>11.503708399999997</v>
      </c>
      <c r="L80" s="1"/>
      <c r="M80" s="1"/>
      <c r="N80" s="1"/>
    </row>
    <row r="81" spans="1:14" ht="12.75" x14ac:dyDescent="0.2">
      <c r="A81" s="1" t="s">
        <v>102</v>
      </c>
      <c r="B81" s="96">
        <v>3564300001015</v>
      </c>
      <c r="C81" s="1">
        <v>5.64</v>
      </c>
      <c r="D81" s="1">
        <v>0.6</v>
      </c>
      <c r="E81" s="1">
        <f t="shared" si="5"/>
        <v>6.2399999999999993</v>
      </c>
      <c r="F81" s="1">
        <v>1.24</v>
      </c>
      <c r="G81" s="1">
        <f t="shared" si="6"/>
        <v>7.7375999999999987</v>
      </c>
      <c r="H81" s="1">
        <v>1.1214999999999999</v>
      </c>
      <c r="I81" s="1">
        <f t="shared" si="7"/>
        <v>8.6777183999999981</v>
      </c>
      <c r="J81" s="1">
        <v>0.45</v>
      </c>
      <c r="K81" s="1">
        <f t="shared" si="8"/>
        <v>9.1277183999999973</v>
      </c>
      <c r="L81" s="1"/>
      <c r="M81" s="1"/>
      <c r="N81" s="1"/>
    </row>
    <row r="82" spans="1:14" ht="12.75" x14ac:dyDescent="0.2">
      <c r="A82" s="1" t="s">
        <v>103</v>
      </c>
      <c r="B82" s="96">
        <v>8809532221622</v>
      </c>
      <c r="C82" s="1">
        <v>13.91</v>
      </c>
      <c r="D82" s="1">
        <v>0.9</v>
      </c>
      <c r="E82" s="1">
        <f t="shared" si="5"/>
        <v>14.81</v>
      </c>
      <c r="F82" s="1">
        <v>1.24</v>
      </c>
      <c r="G82" s="1">
        <f t="shared" si="6"/>
        <v>18.3644</v>
      </c>
      <c r="H82" s="1">
        <v>1.1214999999999999</v>
      </c>
      <c r="I82" s="1">
        <f t="shared" si="7"/>
        <v>20.595674599999999</v>
      </c>
      <c r="J82" s="1">
        <v>0.73999999999999899</v>
      </c>
      <c r="K82" s="1">
        <f t="shared" si="8"/>
        <v>21.335674599999997</v>
      </c>
      <c r="L82" s="1">
        <v>19.2</v>
      </c>
      <c r="M82" s="1"/>
      <c r="N82" s="1"/>
    </row>
    <row r="83" spans="1:14" ht="12.75" x14ac:dyDescent="0.2">
      <c r="A83" s="1" t="s">
        <v>104</v>
      </c>
      <c r="B83" s="96">
        <v>5200250300133</v>
      </c>
      <c r="C83" s="1">
        <v>23.92</v>
      </c>
      <c r="D83" s="1">
        <v>0.9</v>
      </c>
      <c r="E83" s="1">
        <f t="shared" si="5"/>
        <v>24.82</v>
      </c>
      <c r="F83" s="1">
        <v>1.24</v>
      </c>
      <c r="G83" s="1">
        <f t="shared" si="6"/>
        <v>30.776800000000001</v>
      </c>
      <c r="H83" s="1">
        <v>1.1214999999999999</v>
      </c>
      <c r="I83" s="1">
        <f t="shared" si="7"/>
        <v>34.516181199999998</v>
      </c>
      <c r="J83" s="1">
        <v>0.73999999999999899</v>
      </c>
      <c r="K83" s="1">
        <f t="shared" si="8"/>
        <v>35.2561812</v>
      </c>
      <c r="L83" s="1">
        <v>36</v>
      </c>
      <c r="M83" s="1"/>
      <c r="N83" s="1"/>
    </row>
    <row r="84" spans="1:14" ht="15" customHeight="1" x14ac:dyDescent="0.2">
      <c r="A84" s="1" t="s">
        <v>105</v>
      </c>
      <c r="B84" s="96">
        <v>5206469007023</v>
      </c>
      <c r="C84" s="1">
        <v>4.34</v>
      </c>
      <c r="D84" s="1">
        <v>0.4</v>
      </c>
      <c r="E84" s="1">
        <f t="shared" si="5"/>
        <v>4.74</v>
      </c>
      <c r="F84" s="1">
        <v>1.24</v>
      </c>
      <c r="G84" s="1">
        <f t="shared" si="6"/>
        <v>5.8776000000000002</v>
      </c>
      <c r="H84" s="1">
        <v>1.1214999999999999</v>
      </c>
      <c r="I84" s="1">
        <f t="shared" si="7"/>
        <v>6.5917284</v>
      </c>
      <c r="J84" s="1">
        <v>0.25</v>
      </c>
      <c r="K84" s="1">
        <f t="shared" si="8"/>
        <v>6.8417284</v>
      </c>
      <c r="L84" s="1"/>
      <c r="M84" s="1"/>
      <c r="N84" s="1"/>
    </row>
    <row r="85" spans="1:14" ht="15" customHeight="1" x14ac:dyDescent="0.2">
      <c r="A85" s="1" t="s">
        <v>106</v>
      </c>
      <c r="B85" s="96">
        <v>5201314047476</v>
      </c>
      <c r="C85" s="1">
        <v>7.24</v>
      </c>
      <c r="D85" s="1">
        <v>0.9</v>
      </c>
      <c r="E85" s="1">
        <f t="shared" si="5"/>
        <v>8.14</v>
      </c>
      <c r="F85" s="1">
        <v>1.24</v>
      </c>
      <c r="G85" s="1">
        <f t="shared" si="6"/>
        <v>10.0936</v>
      </c>
      <c r="H85" s="1">
        <v>1.1214999999999999</v>
      </c>
      <c r="I85" s="1">
        <f t="shared" si="7"/>
        <v>11.319972399999999</v>
      </c>
      <c r="J85" s="1">
        <v>0.73999999999999899</v>
      </c>
      <c r="K85" s="1">
        <f t="shared" si="8"/>
        <v>12.059972399999998</v>
      </c>
      <c r="L85" s="1"/>
      <c r="M85" s="1"/>
      <c r="N85" s="1"/>
    </row>
    <row r="86" spans="1:14" ht="15" customHeight="1" x14ac:dyDescent="0.2">
      <c r="A86" s="1" t="s">
        <v>107</v>
      </c>
      <c r="B86" s="96">
        <v>5201314169673</v>
      </c>
      <c r="C86" s="1">
        <v>6.97</v>
      </c>
      <c r="D86" s="1">
        <v>0.9</v>
      </c>
      <c r="E86" s="1">
        <f t="shared" si="5"/>
        <v>7.87</v>
      </c>
      <c r="F86" s="1">
        <v>1.24</v>
      </c>
      <c r="G86" s="1">
        <f t="shared" si="6"/>
        <v>9.7588000000000008</v>
      </c>
      <c r="H86" s="1">
        <v>1.1214999999999999</v>
      </c>
      <c r="I86" s="1">
        <f t="shared" si="7"/>
        <v>10.944494200000001</v>
      </c>
      <c r="J86" s="1">
        <v>0.73999999999999899</v>
      </c>
      <c r="K86" s="1">
        <f t="shared" si="8"/>
        <v>11.6844942</v>
      </c>
      <c r="L86" s="1"/>
      <c r="M86" s="1"/>
      <c r="N86" s="1"/>
    </row>
    <row r="87" spans="1:14" ht="15" customHeight="1" x14ac:dyDescent="0.2">
      <c r="A87" s="1" t="s">
        <v>108</v>
      </c>
      <c r="B87" s="96">
        <v>5201314169680</v>
      </c>
      <c r="C87" s="1">
        <v>4.9800000000000004</v>
      </c>
      <c r="D87" s="1">
        <v>0.6</v>
      </c>
      <c r="E87" s="1">
        <f t="shared" si="5"/>
        <v>5.58</v>
      </c>
      <c r="F87" s="1">
        <v>1.24</v>
      </c>
      <c r="G87" s="1">
        <f t="shared" si="6"/>
        <v>6.9192</v>
      </c>
      <c r="H87" s="1">
        <v>1.1214999999999999</v>
      </c>
      <c r="I87" s="1">
        <f t="shared" si="7"/>
        <v>7.7598827999999997</v>
      </c>
      <c r="J87" s="1">
        <v>0.45</v>
      </c>
      <c r="K87" s="1">
        <f t="shared" si="8"/>
        <v>8.209882799999999</v>
      </c>
      <c r="L87" s="1"/>
      <c r="M87" s="1"/>
      <c r="N87" s="1"/>
    </row>
    <row r="88" spans="1:14" ht="12.75" x14ac:dyDescent="0.2">
      <c r="A88" s="1" t="s">
        <v>109</v>
      </c>
      <c r="B88" s="96">
        <v>5200250300140</v>
      </c>
      <c r="C88" s="1">
        <v>10.31</v>
      </c>
      <c r="D88" s="1">
        <v>0.66</v>
      </c>
      <c r="E88" s="1">
        <f t="shared" si="5"/>
        <v>10.97</v>
      </c>
      <c r="F88" s="1">
        <v>1.24</v>
      </c>
      <c r="G88" s="1">
        <f t="shared" si="6"/>
        <v>13.6028</v>
      </c>
      <c r="H88" s="1">
        <v>1.1214999999999999</v>
      </c>
      <c r="I88" s="1">
        <f t="shared" si="7"/>
        <v>15.255540199999999</v>
      </c>
      <c r="J88" s="1">
        <v>0.73999999999999899</v>
      </c>
      <c r="K88" s="1">
        <f t="shared" si="8"/>
        <v>15.995540199999997</v>
      </c>
      <c r="L88" s="1"/>
      <c r="M88" s="1"/>
      <c r="N88" s="1"/>
    </row>
    <row r="89" spans="1:14" ht="12.75" x14ac:dyDescent="0.2">
      <c r="A89" s="1" t="s">
        <v>110</v>
      </c>
      <c r="B89" s="96">
        <v>8001841906850</v>
      </c>
      <c r="C89" s="1">
        <v>10.4</v>
      </c>
      <c r="D89" s="1">
        <v>0.9</v>
      </c>
      <c r="E89" s="1">
        <f t="shared" si="5"/>
        <v>11.3</v>
      </c>
      <c r="F89" s="1">
        <v>1.24</v>
      </c>
      <c r="G89" s="1">
        <f t="shared" si="6"/>
        <v>14.012</v>
      </c>
      <c r="H89" s="1">
        <v>1.1214999999999999</v>
      </c>
      <c r="I89" s="1">
        <f t="shared" si="7"/>
        <v>15.714458</v>
      </c>
      <c r="J89" s="1">
        <v>0.73999999999999899</v>
      </c>
      <c r="K89" s="1">
        <f t="shared" si="8"/>
        <v>16.454457999999999</v>
      </c>
      <c r="L89" s="1"/>
      <c r="M89" s="1"/>
      <c r="N89" s="1"/>
    </row>
    <row r="90" spans="1:14" ht="12.75" x14ac:dyDescent="0.2">
      <c r="A90" s="1" t="s">
        <v>111</v>
      </c>
      <c r="B90" s="96">
        <v>8001841906829</v>
      </c>
      <c r="C90" s="1">
        <v>6.28</v>
      </c>
      <c r="D90" s="1">
        <v>0.9</v>
      </c>
      <c r="E90" s="1">
        <f t="shared" si="5"/>
        <v>7.1800000000000006</v>
      </c>
      <c r="F90" s="1">
        <v>1.24</v>
      </c>
      <c r="G90" s="1">
        <f t="shared" si="6"/>
        <v>8.9032</v>
      </c>
      <c r="H90" s="1">
        <v>1.1214999999999999</v>
      </c>
      <c r="I90" s="1">
        <f t="shared" si="7"/>
        <v>9.9849388000000001</v>
      </c>
      <c r="J90" s="1">
        <v>0.73999999999999899</v>
      </c>
      <c r="K90" s="1">
        <f t="shared" si="8"/>
        <v>10.724938799999999</v>
      </c>
      <c r="L90" s="1"/>
      <c r="M90" s="1"/>
      <c r="N90" s="1"/>
    </row>
    <row r="91" spans="1:14" ht="12.75" x14ac:dyDescent="0.2">
      <c r="A91" s="1" t="s">
        <v>112</v>
      </c>
      <c r="B91" s="96">
        <v>8809647390022</v>
      </c>
      <c r="C91" s="1">
        <v>2.48</v>
      </c>
      <c r="D91" s="1">
        <v>0.9</v>
      </c>
      <c r="E91" s="1">
        <f t="shared" si="5"/>
        <v>3.38</v>
      </c>
      <c r="F91" s="1">
        <v>1.24</v>
      </c>
      <c r="G91" s="1">
        <f t="shared" si="6"/>
        <v>4.1912000000000003</v>
      </c>
      <c r="H91" s="1">
        <v>1.1214999999999999</v>
      </c>
      <c r="I91" s="1">
        <f t="shared" si="7"/>
        <v>4.7004308000000004</v>
      </c>
      <c r="J91" s="1">
        <v>0.25</v>
      </c>
      <c r="K91" s="1">
        <f t="shared" si="8"/>
        <v>4.9504308000000004</v>
      </c>
      <c r="L91" s="1"/>
      <c r="M91" s="1"/>
      <c r="N91" s="1"/>
    </row>
    <row r="92" spans="1:14" ht="12.75" x14ac:dyDescent="0.2">
      <c r="A92" s="1" t="s">
        <v>113</v>
      </c>
      <c r="B92" s="96">
        <v>8809844991084</v>
      </c>
      <c r="C92" s="1">
        <v>24.55</v>
      </c>
      <c r="D92" s="1">
        <v>0.9</v>
      </c>
      <c r="E92" s="1">
        <f t="shared" si="5"/>
        <v>25.45</v>
      </c>
      <c r="F92" s="1">
        <v>1.24</v>
      </c>
      <c r="G92" s="1">
        <f t="shared" si="6"/>
        <v>31.558</v>
      </c>
      <c r="H92" s="1">
        <v>1.1214999999999999</v>
      </c>
      <c r="I92" s="1">
        <f t="shared" si="7"/>
        <v>35.392296999999999</v>
      </c>
      <c r="J92" s="1">
        <v>0.73999999999999899</v>
      </c>
      <c r="K92" s="1">
        <f t="shared" si="8"/>
        <v>36.132297000000001</v>
      </c>
      <c r="L92" s="1">
        <v>34.89</v>
      </c>
      <c r="M92" s="1"/>
      <c r="N92" s="1"/>
    </row>
    <row r="93" spans="1:14" ht="12.75" x14ac:dyDescent="0.2">
      <c r="A93" s="1" t="s">
        <v>114</v>
      </c>
      <c r="B93" s="96">
        <v>8809803588515</v>
      </c>
      <c r="C93" s="1">
        <v>18.84</v>
      </c>
      <c r="D93" s="1">
        <v>0.9</v>
      </c>
      <c r="E93" s="1">
        <f t="shared" si="5"/>
        <v>19.739999999999998</v>
      </c>
      <c r="F93" s="1">
        <v>1.24</v>
      </c>
      <c r="G93" s="1">
        <f t="shared" si="6"/>
        <v>24.477599999999999</v>
      </c>
      <c r="H93" s="1">
        <v>1.1214999999999999</v>
      </c>
      <c r="I93" s="1">
        <f t="shared" si="7"/>
        <v>27.451628399999997</v>
      </c>
      <c r="J93" s="1">
        <v>0.73999999999999899</v>
      </c>
      <c r="K93" s="1">
        <f t="shared" si="8"/>
        <v>28.191628399999995</v>
      </c>
      <c r="L93" s="1">
        <v>28.99</v>
      </c>
      <c r="M93" s="1"/>
      <c r="N93" s="1"/>
    </row>
    <row r="94" spans="1:14" ht="12.75" x14ac:dyDescent="0.2">
      <c r="A94" s="1" t="s">
        <v>115</v>
      </c>
      <c r="B94" s="96">
        <v>5016003680700</v>
      </c>
      <c r="C94" s="1">
        <v>11.22</v>
      </c>
      <c r="D94" s="1">
        <v>0.9</v>
      </c>
      <c r="E94" s="1">
        <f t="shared" si="5"/>
        <v>12.120000000000001</v>
      </c>
      <c r="F94" s="1">
        <v>1.1299999999999999</v>
      </c>
      <c r="G94" s="1">
        <f t="shared" si="6"/>
        <v>13.695600000000001</v>
      </c>
      <c r="H94" s="1">
        <v>1.1214999999999999</v>
      </c>
      <c r="I94" s="1">
        <f t="shared" si="7"/>
        <v>15.359615399999999</v>
      </c>
      <c r="J94" s="1">
        <v>0.73999999999999899</v>
      </c>
      <c r="K94" s="1">
        <f t="shared" si="8"/>
        <v>16.099615399999998</v>
      </c>
      <c r="L94" s="1"/>
      <c r="M94" s="1"/>
      <c r="N94" s="1"/>
    </row>
    <row r="95" spans="1:14" ht="12.75" x14ac:dyDescent="0.2">
      <c r="A95" s="1" t="s">
        <v>116</v>
      </c>
      <c r="B95" s="96">
        <v>5016003728105</v>
      </c>
      <c r="C95" s="1">
        <v>13.23</v>
      </c>
      <c r="D95" s="1">
        <v>0.9</v>
      </c>
      <c r="E95" s="1">
        <f t="shared" si="5"/>
        <v>14.13</v>
      </c>
      <c r="F95" s="1">
        <v>1.1299999999999999</v>
      </c>
      <c r="G95" s="1">
        <f t="shared" si="6"/>
        <v>15.966899999999999</v>
      </c>
      <c r="H95" s="1">
        <v>1.1214999999999999</v>
      </c>
      <c r="I95" s="1">
        <f t="shared" si="7"/>
        <v>17.90687835</v>
      </c>
      <c r="J95" s="1">
        <v>0.73999999999999899</v>
      </c>
      <c r="K95" s="1">
        <f t="shared" si="8"/>
        <v>18.646878349999998</v>
      </c>
      <c r="L95" s="1"/>
      <c r="M95" s="1"/>
      <c r="N95" s="1"/>
    </row>
    <row r="96" spans="1:14" ht="12.75" x14ac:dyDescent="0.2">
      <c r="A96" s="1" t="s">
        <v>118</v>
      </c>
      <c r="B96" s="96">
        <v>4210201415459</v>
      </c>
      <c r="C96" s="1">
        <v>64.72</v>
      </c>
      <c r="D96" s="1">
        <v>0.9</v>
      </c>
      <c r="E96" s="1">
        <f t="shared" si="5"/>
        <v>65.62</v>
      </c>
      <c r="F96" s="1">
        <v>1.24</v>
      </c>
      <c r="G96" s="1">
        <f t="shared" si="6"/>
        <v>81.368800000000007</v>
      </c>
      <c r="H96" s="1">
        <v>1.1214999999999999</v>
      </c>
      <c r="I96" s="1">
        <f t="shared" si="7"/>
        <v>91.255109200000007</v>
      </c>
      <c r="J96" s="1">
        <v>1.49</v>
      </c>
      <c r="K96" s="1">
        <f t="shared" si="8"/>
        <v>92.745109200000002</v>
      </c>
      <c r="L96" s="1">
        <v>89</v>
      </c>
      <c r="M96" s="1"/>
      <c r="N96" s="1"/>
    </row>
    <row r="97" spans="1:14" ht="12.75" x14ac:dyDescent="0.2">
      <c r="A97" s="1" t="s">
        <v>119</v>
      </c>
      <c r="B97" s="96" t="s">
        <v>120</v>
      </c>
      <c r="C97" s="1">
        <v>9.33</v>
      </c>
      <c r="D97" s="1">
        <v>0.9</v>
      </c>
      <c r="E97" s="1">
        <f t="shared" si="5"/>
        <v>10.23</v>
      </c>
      <c r="F97" s="1">
        <v>1.24</v>
      </c>
      <c r="G97" s="1">
        <f t="shared" si="6"/>
        <v>12.6852</v>
      </c>
      <c r="H97" s="1">
        <v>1.1214999999999999</v>
      </c>
      <c r="I97" s="1">
        <f t="shared" si="7"/>
        <v>14.2264518</v>
      </c>
      <c r="J97" s="1">
        <v>0.74</v>
      </c>
      <c r="K97" s="1">
        <f t="shared" si="8"/>
        <v>14.9664518</v>
      </c>
      <c r="L97" s="1"/>
      <c r="M97" s="1"/>
      <c r="N97" s="1"/>
    </row>
    <row r="98" spans="1:14" ht="12.75" x14ac:dyDescent="0.2">
      <c r="A98" s="1" t="s">
        <v>121</v>
      </c>
      <c r="B98" s="96">
        <v>5011025014007</v>
      </c>
      <c r="C98" s="1">
        <v>5.77</v>
      </c>
      <c r="D98" s="1">
        <v>0.9</v>
      </c>
      <c r="E98" s="1">
        <f t="shared" si="5"/>
        <v>6.67</v>
      </c>
      <c r="F98" s="1">
        <v>1.24</v>
      </c>
      <c r="G98" s="1">
        <f t="shared" si="6"/>
        <v>8.2707999999999995</v>
      </c>
      <c r="H98" s="1">
        <v>1.1214999999999999</v>
      </c>
      <c r="I98" s="1">
        <f t="shared" si="7"/>
        <v>9.2757021999999996</v>
      </c>
      <c r="J98" s="1">
        <v>0.45</v>
      </c>
      <c r="K98" s="1">
        <f t="shared" si="8"/>
        <v>9.7257021999999989</v>
      </c>
      <c r="L98" s="1"/>
      <c r="M98" s="1"/>
      <c r="N98" s="1"/>
    </row>
    <row r="99" spans="1:14" ht="12.75" x14ac:dyDescent="0.2">
      <c r="A99" s="1" t="s">
        <v>122</v>
      </c>
      <c r="B99" s="96">
        <v>5203622093824</v>
      </c>
      <c r="C99" s="1">
        <v>8.98</v>
      </c>
      <c r="D99" s="1">
        <v>0.9</v>
      </c>
      <c r="E99" s="1">
        <f t="shared" si="5"/>
        <v>9.8800000000000008</v>
      </c>
      <c r="F99" s="1">
        <v>1.24</v>
      </c>
      <c r="G99" s="1">
        <f t="shared" si="6"/>
        <v>12.251200000000001</v>
      </c>
      <c r="H99" s="1">
        <v>1.1214999999999999</v>
      </c>
      <c r="I99" s="1">
        <f t="shared" si="7"/>
        <v>13.739720800000001</v>
      </c>
      <c r="J99" s="1">
        <v>0.63</v>
      </c>
      <c r="K99" s="1">
        <f t="shared" si="8"/>
        <v>14.369720800000001</v>
      </c>
      <c r="L99" s="1"/>
      <c r="M99" s="1"/>
      <c r="N99" s="1"/>
    </row>
    <row r="100" spans="1:14" ht="12.75" x14ac:dyDescent="0.2">
      <c r="A100" s="1" t="s">
        <v>123</v>
      </c>
      <c r="B100" s="96" t="s">
        <v>124</v>
      </c>
      <c r="C100" s="1">
        <v>7.92</v>
      </c>
      <c r="D100" s="1">
        <v>0.9</v>
      </c>
      <c r="E100" s="1">
        <f t="shared" si="5"/>
        <v>8.82</v>
      </c>
      <c r="F100" s="1">
        <v>1.24</v>
      </c>
      <c r="G100" s="1">
        <f t="shared" si="6"/>
        <v>10.9368</v>
      </c>
      <c r="H100" s="1">
        <v>1.1214999999999999</v>
      </c>
      <c r="I100" s="1">
        <f t="shared" si="7"/>
        <v>12.2656212</v>
      </c>
      <c r="J100" s="1">
        <v>1.49</v>
      </c>
      <c r="K100" s="1">
        <f t="shared" si="8"/>
        <v>13.7556212</v>
      </c>
      <c r="L100" s="1"/>
      <c r="M100" s="1"/>
      <c r="N100" s="1"/>
    </row>
    <row r="101" spans="1:14" ht="12.75" x14ac:dyDescent="0.2">
      <c r="A101" s="1" t="s">
        <v>125</v>
      </c>
      <c r="B101" s="96" t="s">
        <v>126</v>
      </c>
      <c r="C101" s="1">
        <v>8.7200000000000006</v>
      </c>
      <c r="D101" s="1">
        <v>0.9</v>
      </c>
      <c r="E101" s="1">
        <f t="shared" si="5"/>
        <v>9.620000000000001</v>
      </c>
      <c r="F101" s="1">
        <v>1.24</v>
      </c>
      <c r="G101" s="1">
        <f t="shared" si="6"/>
        <v>11.928800000000001</v>
      </c>
      <c r="H101" s="1">
        <v>1.1214999999999999</v>
      </c>
      <c r="I101" s="1">
        <f t="shared" si="7"/>
        <v>13.378149199999999</v>
      </c>
      <c r="J101" s="1">
        <v>1.49</v>
      </c>
      <c r="K101" s="1">
        <f t="shared" si="8"/>
        <v>14.8681492</v>
      </c>
      <c r="L101" s="1"/>
      <c r="M101" s="1"/>
      <c r="N101" s="1"/>
    </row>
    <row r="102" spans="1:14" ht="12.75" x14ac:dyDescent="0.2">
      <c r="A102" s="1" t="s">
        <v>127</v>
      </c>
      <c r="B102" s="96" t="s">
        <v>128</v>
      </c>
      <c r="C102" s="1">
        <v>7.92</v>
      </c>
      <c r="D102" s="1">
        <v>0.9</v>
      </c>
      <c r="E102" s="1">
        <f t="shared" si="5"/>
        <v>8.82</v>
      </c>
      <c r="F102" s="1">
        <v>1.24</v>
      </c>
      <c r="G102" s="1">
        <f t="shared" si="6"/>
        <v>10.9368</v>
      </c>
      <c r="H102" s="1">
        <v>1.1214999999999999</v>
      </c>
      <c r="I102" s="1">
        <f t="shared" si="7"/>
        <v>12.2656212</v>
      </c>
      <c r="J102" s="1">
        <v>1.49</v>
      </c>
      <c r="K102" s="1">
        <f t="shared" si="8"/>
        <v>13.7556212</v>
      </c>
      <c r="L102" s="1"/>
      <c r="M102" s="1"/>
      <c r="N102" s="1"/>
    </row>
    <row r="103" spans="1:14" ht="12.75" x14ac:dyDescent="0.2">
      <c r="A103" s="1" t="s">
        <v>129</v>
      </c>
      <c r="B103" s="96" t="s">
        <v>130</v>
      </c>
      <c r="C103" s="1">
        <v>9.44</v>
      </c>
      <c r="D103" s="1">
        <v>0.9</v>
      </c>
      <c r="E103" s="1">
        <f t="shared" si="5"/>
        <v>10.34</v>
      </c>
      <c r="F103" s="1">
        <v>1.24</v>
      </c>
      <c r="G103" s="1">
        <f t="shared" si="6"/>
        <v>12.8216</v>
      </c>
      <c r="H103" s="1">
        <v>1.1214999999999999</v>
      </c>
      <c r="I103" s="1">
        <f t="shared" si="7"/>
        <v>14.3794244</v>
      </c>
      <c r="J103" s="1">
        <v>0.73999999999999899</v>
      </c>
      <c r="K103" s="1">
        <f t="shared" si="8"/>
        <v>15.119424399999998</v>
      </c>
      <c r="L103" s="1"/>
      <c r="M103" s="1"/>
      <c r="N103" s="1"/>
    </row>
    <row r="104" spans="1:14" ht="12.75" x14ac:dyDescent="0.2">
      <c r="A104" s="1" t="s">
        <v>131</v>
      </c>
      <c r="B104" s="96" t="s">
        <v>132</v>
      </c>
      <c r="C104" s="1">
        <v>6.96</v>
      </c>
      <c r="D104" s="1">
        <v>0.9</v>
      </c>
      <c r="E104" s="1">
        <f t="shared" si="5"/>
        <v>7.86</v>
      </c>
      <c r="F104" s="1">
        <v>1.24</v>
      </c>
      <c r="G104" s="1">
        <f t="shared" si="6"/>
        <v>9.7463999999999995</v>
      </c>
      <c r="H104" s="1">
        <v>1.1214999999999999</v>
      </c>
      <c r="I104" s="1">
        <f t="shared" si="7"/>
        <v>10.930587599999999</v>
      </c>
      <c r="J104" s="1">
        <v>1.49</v>
      </c>
      <c r="K104" s="1">
        <f t="shared" si="8"/>
        <v>12.420587599999999</v>
      </c>
      <c r="L104" s="1"/>
      <c r="M104" s="1"/>
      <c r="N104" s="1"/>
    </row>
    <row r="105" spans="1:14" ht="12.75" x14ac:dyDescent="0.2">
      <c r="A105" s="1" t="s">
        <v>133</v>
      </c>
      <c r="B105" s="96" t="s">
        <v>134</v>
      </c>
      <c r="C105" s="1">
        <v>13.74</v>
      </c>
      <c r="D105" s="1">
        <v>0.9</v>
      </c>
      <c r="E105" s="1">
        <f t="shared" si="5"/>
        <v>14.64</v>
      </c>
      <c r="F105" s="1">
        <v>1.24</v>
      </c>
      <c r="G105" s="1">
        <f t="shared" si="6"/>
        <v>18.153600000000001</v>
      </c>
      <c r="H105" s="1">
        <v>1.1214999999999999</v>
      </c>
      <c r="I105" s="1">
        <f t="shared" si="7"/>
        <v>20.359262399999999</v>
      </c>
      <c r="J105" s="1">
        <v>0.73999999999999899</v>
      </c>
      <c r="K105" s="1">
        <f t="shared" si="8"/>
        <v>21.099262399999997</v>
      </c>
      <c r="L105" s="1">
        <v>21.7</v>
      </c>
      <c r="M105" s="1"/>
      <c r="N105" s="1"/>
    </row>
    <row r="106" spans="1:14" ht="12.75" x14ac:dyDescent="0.2">
      <c r="A106" s="1" t="s">
        <v>135</v>
      </c>
      <c r="B106" s="96" t="s">
        <v>136</v>
      </c>
      <c r="C106" s="1">
        <v>13.74</v>
      </c>
      <c r="D106" s="1">
        <v>0.9</v>
      </c>
      <c r="E106" s="1">
        <f t="shared" si="5"/>
        <v>14.64</v>
      </c>
      <c r="F106" s="1">
        <v>1.24</v>
      </c>
      <c r="G106" s="1">
        <f t="shared" si="6"/>
        <v>18.153600000000001</v>
      </c>
      <c r="H106" s="1">
        <v>1.1214999999999999</v>
      </c>
      <c r="I106" s="1">
        <f t="shared" si="7"/>
        <v>20.359262399999999</v>
      </c>
      <c r="J106" s="1">
        <v>0.73999999999999899</v>
      </c>
      <c r="K106" s="1">
        <f t="shared" si="8"/>
        <v>21.099262399999997</v>
      </c>
      <c r="L106" s="1">
        <v>21.79</v>
      </c>
      <c r="M106" s="1"/>
      <c r="N106" s="1"/>
    </row>
    <row r="107" spans="1:14" ht="12.75" x14ac:dyDescent="0.2">
      <c r="A107" s="1" t="s">
        <v>137</v>
      </c>
      <c r="B107" s="96" t="s">
        <v>138</v>
      </c>
      <c r="C107" s="1">
        <v>13.74</v>
      </c>
      <c r="D107" s="1">
        <v>0.9</v>
      </c>
      <c r="E107" s="1">
        <f t="shared" si="5"/>
        <v>14.64</v>
      </c>
      <c r="F107" s="1">
        <v>1.24</v>
      </c>
      <c r="G107" s="1">
        <f t="shared" si="6"/>
        <v>18.153600000000001</v>
      </c>
      <c r="H107" s="1">
        <v>1.1214999999999999</v>
      </c>
      <c r="I107" s="1">
        <f t="shared" si="7"/>
        <v>20.359262399999999</v>
      </c>
      <c r="J107" s="1">
        <v>0.73999999999999899</v>
      </c>
      <c r="K107" s="1">
        <f t="shared" si="8"/>
        <v>21.099262399999997</v>
      </c>
      <c r="L107" s="1">
        <v>21.79</v>
      </c>
      <c r="M107" s="1"/>
      <c r="N107" s="1"/>
    </row>
    <row r="108" spans="1:14" ht="12.75" x14ac:dyDescent="0.2">
      <c r="A108" s="1" t="s">
        <v>139</v>
      </c>
      <c r="B108" s="96" t="s">
        <v>140</v>
      </c>
      <c r="C108" s="1">
        <v>13.74</v>
      </c>
      <c r="D108" s="1">
        <v>0.9</v>
      </c>
      <c r="E108" s="1">
        <f t="shared" si="5"/>
        <v>14.64</v>
      </c>
      <c r="F108" s="1">
        <v>1.24</v>
      </c>
      <c r="G108" s="1">
        <f t="shared" si="6"/>
        <v>18.153600000000001</v>
      </c>
      <c r="H108" s="1">
        <v>1.1214999999999999</v>
      </c>
      <c r="I108" s="1">
        <f t="shared" si="7"/>
        <v>20.359262399999999</v>
      </c>
      <c r="J108" s="1">
        <v>0.73999999999999899</v>
      </c>
      <c r="K108" s="1">
        <f t="shared" si="8"/>
        <v>21.099262399999997</v>
      </c>
      <c r="L108" s="1">
        <v>21.79</v>
      </c>
      <c r="M108" s="1"/>
      <c r="N108" s="1"/>
    </row>
    <row r="110" spans="1:14" ht="12.75" x14ac:dyDescent="0.2">
      <c r="A110" s="1" t="s">
        <v>141</v>
      </c>
      <c r="B110" s="96" t="s">
        <v>142</v>
      </c>
      <c r="C110" s="1">
        <v>7.33</v>
      </c>
      <c r="D110" s="1">
        <v>0.9</v>
      </c>
      <c r="E110" s="1">
        <f t="shared" ref="E110:E122" si="9">SUM(C110)+D110</f>
        <v>8.23</v>
      </c>
      <c r="F110" s="1">
        <v>1.24</v>
      </c>
      <c r="G110" s="1">
        <f t="shared" ref="G110:G122" si="10">SUM(E110)*F110</f>
        <v>10.2052</v>
      </c>
      <c r="H110" s="1">
        <v>1.1214999999999999</v>
      </c>
      <c r="I110" s="1">
        <f t="shared" ref="I110:I122" si="11">SUM(G110)*H110</f>
        <v>11.445131799999999</v>
      </c>
      <c r="J110" s="1">
        <v>0.73999999999999899</v>
      </c>
      <c r="K110" s="1">
        <f t="shared" ref="K110:K122" si="12">SUM(I110)+J110</f>
        <v>12.185131799999997</v>
      </c>
      <c r="L110" s="1">
        <v>9.9</v>
      </c>
      <c r="M110" s="1"/>
      <c r="N110" s="1"/>
    </row>
    <row r="111" spans="1:14" ht="12.75" x14ac:dyDescent="0.2">
      <c r="A111" s="1" t="s">
        <v>143</v>
      </c>
      <c r="B111" s="96" t="s">
        <v>144</v>
      </c>
      <c r="C111" s="1">
        <v>5.99</v>
      </c>
      <c r="D111" s="1">
        <v>0.6</v>
      </c>
      <c r="E111" s="1">
        <f t="shared" si="9"/>
        <v>6.59</v>
      </c>
      <c r="F111" s="1">
        <v>1.24</v>
      </c>
      <c r="G111" s="1">
        <f t="shared" si="10"/>
        <v>8.1715999999999998</v>
      </c>
      <c r="H111" s="1">
        <v>1.1214999999999999</v>
      </c>
      <c r="I111" s="1">
        <f t="shared" si="11"/>
        <v>9.1644493999999987</v>
      </c>
      <c r="J111" s="1">
        <v>0.45</v>
      </c>
      <c r="K111" s="1">
        <f t="shared" si="12"/>
        <v>9.614449399999998</v>
      </c>
      <c r="L111" s="1"/>
      <c r="M111" s="1"/>
      <c r="N111" s="1"/>
    </row>
    <row r="112" spans="1:14" ht="12.75" x14ac:dyDescent="0.2">
      <c r="A112" s="1" t="s">
        <v>145</v>
      </c>
      <c r="B112" s="96" t="s">
        <v>146</v>
      </c>
      <c r="C112" s="1">
        <v>18.82</v>
      </c>
      <c r="D112" s="1">
        <v>0.9</v>
      </c>
      <c r="E112" s="1">
        <f t="shared" si="9"/>
        <v>19.72</v>
      </c>
      <c r="F112" s="1">
        <v>1.24</v>
      </c>
      <c r="G112" s="1">
        <f t="shared" si="10"/>
        <v>24.4528</v>
      </c>
      <c r="H112" s="1">
        <v>1.1214999999999999</v>
      </c>
      <c r="I112" s="1">
        <f t="shared" si="11"/>
        <v>27.4238152</v>
      </c>
      <c r="J112" s="1">
        <v>0.73999999999999899</v>
      </c>
      <c r="K112" s="1">
        <f t="shared" si="12"/>
        <v>28.163815199999998</v>
      </c>
      <c r="L112" s="1"/>
      <c r="M112" s="1"/>
      <c r="N112" s="1"/>
    </row>
    <row r="113" spans="1:14" ht="12.75" x14ac:dyDescent="0.2">
      <c r="A113" s="1" t="s">
        <v>147</v>
      </c>
      <c r="B113" s="96" t="s">
        <v>148</v>
      </c>
      <c r="C113" s="1">
        <v>16.440000000000001</v>
      </c>
      <c r="D113" s="1">
        <v>0.9</v>
      </c>
      <c r="E113" s="1">
        <f t="shared" si="9"/>
        <v>17.34</v>
      </c>
      <c r="F113" s="1">
        <v>1.24</v>
      </c>
      <c r="G113" s="1">
        <f t="shared" si="10"/>
        <v>21.5016</v>
      </c>
      <c r="H113" s="1">
        <v>1.1214999999999999</v>
      </c>
      <c r="I113" s="1">
        <f t="shared" si="11"/>
        <v>24.114044399999997</v>
      </c>
      <c r="J113" s="1">
        <v>1.49</v>
      </c>
      <c r="K113" s="1">
        <f t="shared" si="12"/>
        <v>25.604044399999996</v>
      </c>
      <c r="L113" s="1"/>
      <c r="M113" s="1"/>
      <c r="N113" s="1"/>
    </row>
    <row r="114" spans="1:14" ht="12.75" x14ac:dyDescent="0.2">
      <c r="A114" s="1" t="s">
        <v>149</v>
      </c>
      <c r="B114" s="96">
        <v>5203069129148</v>
      </c>
      <c r="C114" s="1">
        <v>9.16</v>
      </c>
      <c r="D114" s="1">
        <v>0.9</v>
      </c>
      <c r="E114" s="1">
        <f t="shared" si="9"/>
        <v>10.06</v>
      </c>
      <c r="F114" s="1">
        <v>1.24</v>
      </c>
      <c r="G114" s="1">
        <f t="shared" si="10"/>
        <v>12.474400000000001</v>
      </c>
      <c r="H114" s="1">
        <v>1.1214999999999999</v>
      </c>
      <c r="I114" s="1">
        <f t="shared" si="11"/>
        <v>13.990039600000001</v>
      </c>
      <c r="J114" s="1">
        <v>0.73999999999999899</v>
      </c>
      <c r="K114" s="1">
        <f t="shared" si="12"/>
        <v>14.7300396</v>
      </c>
      <c r="L114" s="1"/>
      <c r="M114" s="1"/>
      <c r="N114" s="1"/>
    </row>
    <row r="115" spans="1:14" ht="12.75" x14ac:dyDescent="0.2">
      <c r="A115" s="1" t="s">
        <v>150</v>
      </c>
      <c r="B115" s="96">
        <v>5203069129155</v>
      </c>
      <c r="C115" s="1">
        <v>8.82</v>
      </c>
      <c r="D115" s="1">
        <v>0.9</v>
      </c>
      <c r="E115" s="1">
        <f t="shared" si="9"/>
        <v>9.7200000000000006</v>
      </c>
      <c r="F115" s="1">
        <v>1.24</v>
      </c>
      <c r="G115" s="1">
        <f t="shared" si="10"/>
        <v>12.052800000000001</v>
      </c>
      <c r="H115" s="1">
        <v>1.1214999999999999</v>
      </c>
      <c r="I115" s="1">
        <f t="shared" si="11"/>
        <v>13.517215200000001</v>
      </c>
      <c r="J115" s="1">
        <v>0.73999999999999899</v>
      </c>
      <c r="K115" s="1">
        <f t="shared" si="12"/>
        <v>14.257215199999999</v>
      </c>
      <c r="L115" s="1"/>
      <c r="M115" s="1"/>
      <c r="N115" s="1"/>
    </row>
    <row r="116" spans="1:14" ht="12.75" x14ac:dyDescent="0.2">
      <c r="A116" s="1" t="s">
        <v>151</v>
      </c>
      <c r="B116" s="96">
        <v>5203069126437</v>
      </c>
      <c r="C116" s="1">
        <v>8.82</v>
      </c>
      <c r="D116" s="1">
        <v>0.9</v>
      </c>
      <c r="E116" s="1">
        <f t="shared" si="9"/>
        <v>9.7200000000000006</v>
      </c>
      <c r="F116" s="1">
        <v>1.24</v>
      </c>
      <c r="G116" s="1">
        <f t="shared" si="10"/>
        <v>12.052800000000001</v>
      </c>
      <c r="H116" s="1">
        <v>1.1214999999999999</v>
      </c>
      <c r="I116" s="1">
        <f t="shared" si="11"/>
        <v>13.517215200000001</v>
      </c>
      <c r="J116" s="1">
        <v>0.73999999999999899</v>
      </c>
      <c r="K116" s="1">
        <f t="shared" si="12"/>
        <v>14.257215199999999</v>
      </c>
      <c r="L116" s="1"/>
      <c r="M116" s="1"/>
      <c r="N116" s="1"/>
    </row>
    <row r="117" spans="1:14" ht="12.75" x14ac:dyDescent="0.2">
      <c r="A117" s="1" t="s">
        <v>152</v>
      </c>
      <c r="B117" s="96">
        <v>5203069126413</v>
      </c>
      <c r="C117" s="1">
        <v>9.16</v>
      </c>
      <c r="D117" s="1">
        <v>0.9</v>
      </c>
      <c r="E117" s="1">
        <f t="shared" si="9"/>
        <v>10.06</v>
      </c>
      <c r="F117" s="1">
        <v>1.24</v>
      </c>
      <c r="G117" s="1">
        <f t="shared" si="10"/>
        <v>12.474400000000001</v>
      </c>
      <c r="H117" s="1">
        <v>1.1214999999999999</v>
      </c>
      <c r="I117" s="1">
        <f t="shared" si="11"/>
        <v>13.990039600000001</v>
      </c>
      <c r="J117" s="1">
        <v>0.73999999999999899</v>
      </c>
      <c r="K117" s="1">
        <f t="shared" si="12"/>
        <v>14.7300396</v>
      </c>
      <c r="L117" s="1">
        <v>12.73</v>
      </c>
      <c r="M117" s="1"/>
      <c r="N117" s="1"/>
    </row>
    <row r="118" spans="1:14" ht="12.75" x14ac:dyDescent="0.2">
      <c r="A118" s="1" t="s">
        <v>153</v>
      </c>
      <c r="B118" s="96">
        <v>8056860820083</v>
      </c>
      <c r="C118" s="1">
        <v>7.45</v>
      </c>
      <c r="D118" s="1">
        <v>0.9</v>
      </c>
      <c r="E118" s="1">
        <f t="shared" si="9"/>
        <v>8.35</v>
      </c>
      <c r="F118" s="1">
        <v>1.24</v>
      </c>
      <c r="G118" s="1">
        <f t="shared" si="10"/>
        <v>10.353999999999999</v>
      </c>
      <c r="H118" s="1">
        <v>1.1214999999999999</v>
      </c>
      <c r="I118" s="1">
        <f t="shared" si="11"/>
        <v>11.612010999999999</v>
      </c>
      <c r="J118" s="1">
        <v>0.73999999999999899</v>
      </c>
      <c r="K118" s="1">
        <f t="shared" si="12"/>
        <v>12.352010999999997</v>
      </c>
      <c r="L118" s="1">
        <v>12.62</v>
      </c>
      <c r="M118" s="1"/>
      <c r="N118" s="1"/>
    </row>
    <row r="119" spans="1:14" ht="12.75" x14ac:dyDescent="0.2">
      <c r="A119" s="1" t="s">
        <v>154</v>
      </c>
      <c r="B119" s="96">
        <v>5038483444672</v>
      </c>
      <c r="C119" s="1">
        <v>8.2899999999999991</v>
      </c>
      <c r="D119" s="1">
        <v>0.9</v>
      </c>
      <c r="E119" s="1">
        <f t="shared" si="9"/>
        <v>9.19</v>
      </c>
      <c r="F119" s="1">
        <v>1.24</v>
      </c>
      <c r="G119" s="1">
        <f t="shared" si="10"/>
        <v>11.3956</v>
      </c>
      <c r="H119" s="1">
        <v>1.1214999999999999</v>
      </c>
      <c r="I119" s="1">
        <f t="shared" si="11"/>
        <v>12.7801654</v>
      </c>
      <c r="J119" s="1">
        <v>0.73999999999999899</v>
      </c>
      <c r="K119" s="1">
        <f t="shared" si="12"/>
        <v>13.520165399999998</v>
      </c>
      <c r="L119" s="1"/>
      <c r="M119" s="1"/>
      <c r="N119" s="1"/>
    </row>
    <row r="120" spans="1:14" ht="12.75" x14ac:dyDescent="0.2">
      <c r="A120" s="1" t="s">
        <v>155</v>
      </c>
      <c r="B120" s="96">
        <v>5208070002411</v>
      </c>
      <c r="C120" s="1">
        <v>4.53</v>
      </c>
      <c r="D120" s="1">
        <v>0.6</v>
      </c>
      <c r="E120" s="1">
        <f t="shared" si="9"/>
        <v>5.13</v>
      </c>
      <c r="F120" s="1">
        <v>1.24</v>
      </c>
      <c r="G120" s="1">
        <f t="shared" si="10"/>
        <v>6.3612000000000002</v>
      </c>
      <c r="H120" s="1">
        <v>1.1214999999999999</v>
      </c>
      <c r="I120" s="1">
        <f t="shared" si="11"/>
        <v>7.1340858000000003</v>
      </c>
      <c r="J120" s="1">
        <v>0.45</v>
      </c>
      <c r="K120" s="1">
        <f t="shared" si="12"/>
        <v>7.5840858000000004</v>
      </c>
      <c r="L120" s="1"/>
      <c r="M120" s="1"/>
      <c r="N120" s="1"/>
    </row>
    <row r="121" spans="1:14" ht="12.75" x14ac:dyDescent="0.2">
      <c r="A121" s="1" t="s">
        <v>156</v>
      </c>
      <c r="B121" s="96" t="s">
        <v>157</v>
      </c>
      <c r="C121" s="1">
        <v>17.63</v>
      </c>
      <c r="D121" s="1">
        <v>0.9</v>
      </c>
      <c r="E121" s="1">
        <f t="shared" si="9"/>
        <v>18.529999999999998</v>
      </c>
      <c r="F121" s="1">
        <v>1.24</v>
      </c>
      <c r="G121" s="1">
        <f t="shared" si="10"/>
        <v>22.977199999999996</v>
      </c>
      <c r="H121" s="1">
        <v>1.1214999999999999</v>
      </c>
      <c r="I121" s="1">
        <f t="shared" si="11"/>
        <v>25.768929799999995</v>
      </c>
      <c r="J121" s="1">
        <v>0.73999999999999899</v>
      </c>
      <c r="K121" s="1">
        <f t="shared" si="12"/>
        <v>26.508929799999994</v>
      </c>
      <c r="L121" s="1">
        <v>27.08</v>
      </c>
      <c r="M121" s="1"/>
      <c r="N121" s="1"/>
    </row>
    <row r="122" spans="1:14" ht="12.75" x14ac:dyDescent="0.2">
      <c r="A122" s="1" t="s">
        <v>158</v>
      </c>
      <c r="B122" s="96" t="s">
        <v>159</v>
      </c>
      <c r="C122" s="1">
        <v>40.049999999999997</v>
      </c>
      <c r="D122" s="1">
        <v>0.9</v>
      </c>
      <c r="E122" s="1">
        <f t="shared" si="9"/>
        <v>40.949999999999996</v>
      </c>
      <c r="F122" s="1">
        <v>1.24</v>
      </c>
      <c r="G122" s="1">
        <f t="shared" si="10"/>
        <v>50.777999999999992</v>
      </c>
      <c r="H122" s="1">
        <v>1.1214999999999999</v>
      </c>
      <c r="I122" s="1">
        <f t="shared" si="11"/>
        <v>56.947526999999987</v>
      </c>
      <c r="J122" s="1">
        <v>0.73999999999999899</v>
      </c>
      <c r="K122" s="1">
        <f t="shared" si="12"/>
        <v>57.687526999999989</v>
      </c>
      <c r="L122" s="1">
        <v>59.77</v>
      </c>
      <c r="M122" s="1"/>
      <c r="N122" s="1"/>
    </row>
    <row r="124" spans="1:14" ht="12.75" x14ac:dyDescent="0.2">
      <c r="A124" s="1" t="s">
        <v>160</v>
      </c>
      <c r="B124" s="96" t="s">
        <v>161</v>
      </c>
      <c r="C124" s="1">
        <v>9.61</v>
      </c>
      <c r="D124" s="1">
        <v>0.9</v>
      </c>
      <c r="E124" s="1">
        <f t="shared" ref="E124:E259" si="13">SUM(C124)+D124</f>
        <v>10.51</v>
      </c>
      <c r="F124" s="1">
        <v>1.24</v>
      </c>
      <c r="G124" s="1">
        <f t="shared" ref="G124:G259" si="14">SUM(E124)*F124</f>
        <v>13.032399999999999</v>
      </c>
      <c r="H124" s="1">
        <v>1.1214999999999999</v>
      </c>
      <c r="I124" s="1">
        <f t="shared" ref="I124:I259" si="15">SUM(G124)*H124</f>
        <v>14.615836599999998</v>
      </c>
      <c r="J124" s="1">
        <v>0.73999999999999899</v>
      </c>
      <c r="K124" s="1">
        <f t="shared" ref="K124:K259" si="16">SUM(I124)+J124</f>
        <v>15.355836599999996</v>
      </c>
      <c r="L124" s="1"/>
      <c r="M124" s="1"/>
      <c r="N124" s="1"/>
    </row>
    <row r="125" spans="1:14" ht="12.75" x14ac:dyDescent="0.2">
      <c r="A125" s="1" t="s">
        <v>162</v>
      </c>
      <c r="B125" s="96" t="s">
        <v>163</v>
      </c>
      <c r="C125" s="1">
        <v>9.61</v>
      </c>
      <c r="D125" s="1">
        <v>0.9</v>
      </c>
      <c r="E125" s="1">
        <f t="shared" si="13"/>
        <v>10.51</v>
      </c>
      <c r="F125" s="1">
        <v>1.24</v>
      </c>
      <c r="G125" s="1">
        <f t="shared" si="14"/>
        <v>13.032399999999999</v>
      </c>
      <c r="H125" s="1">
        <v>1.1214999999999999</v>
      </c>
      <c r="I125" s="1">
        <f t="shared" si="15"/>
        <v>14.615836599999998</v>
      </c>
      <c r="J125" s="1">
        <v>0.73999999999999899</v>
      </c>
      <c r="K125" s="1">
        <f t="shared" si="16"/>
        <v>15.355836599999996</v>
      </c>
      <c r="L125" s="1"/>
      <c r="M125" s="1"/>
      <c r="N125" s="1"/>
    </row>
    <row r="126" spans="1:14" ht="12.75" x14ac:dyDescent="0.2">
      <c r="A126" s="1" t="s">
        <v>164</v>
      </c>
      <c r="B126" s="96" t="s">
        <v>165</v>
      </c>
      <c r="C126" s="1">
        <v>9.61</v>
      </c>
      <c r="D126" s="1">
        <v>0.9</v>
      </c>
      <c r="E126" s="1">
        <f t="shared" si="13"/>
        <v>10.51</v>
      </c>
      <c r="F126" s="1">
        <v>1.24</v>
      </c>
      <c r="G126" s="1">
        <f t="shared" si="14"/>
        <v>13.032399999999999</v>
      </c>
      <c r="H126" s="1">
        <v>1.1214999999999999</v>
      </c>
      <c r="I126" s="1">
        <f t="shared" si="15"/>
        <v>14.615836599999998</v>
      </c>
      <c r="J126" s="1">
        <v>0.73999999999999899</v>
      </c>
      <c r="K126" s="1">
        <f t="shared" si="16"/>
        <v>15.355836599999996</v>
      </c>
      <c r="L126" s="1"/>
      <c r="M126" s="1"/>
      <c r="N126" s="1"/>
    </row>
    <row r="127" spans="1:14" ht="12.75" x14ac:dyDescent="0.2">
      <c r="A127" s="1" t="s">
        <v>166</v>
      </c>
      <c r="B127" s="96" t="s">
        <v>167</v>
      </c>
      <c r="C127" s="1">
        <v>10</v>
      </c>
      <c r="D127" s="1">
        <v>0.9</v>
      </c>
      <c r="E127" s="1">
        <f t="shared" si="13"/>
        <v>10.9</v>
      </c>
      <c r="F127" s="1">
        <v>1.24</v>
      </c>
      <c r="G127" s="1">
        <f t="shared" si="14"/>
        <v>13.516</v>
      </c>
      <c r="H127" s="1">
        <v>1.1214999999999999</v>
      </c>
      <c r="I127" s="1">
        <f t="shared" si="15"/>
        <v>15.158194</v>
      </c>
      <c r="J127" s="1">
        <v>1.49</v>
      </c>
      <c r="K127" s="1">
        <f t="shared" si="16"/>
        <v>16.648194</v>
      </c>
      <c r="L127" s="1"/>
      <c r="M127" s="1"/>
      <c r="N127" s="1"/>
    </row>
    <row r="128" spans="1:14" ht="12.75" x14ac:dyDescent="0.2">
      <c r="A128" s="1" t="s">
        <v>168</v>
      </c>
      <c r="B128" s="96" t="s">
        <v>169</v>
      </c>
      <c r="C128" s="1">
        <v>12.28</v>
      </c>
      <c r="D128" s="1">
        <v>0.9</v>
      </c>
      <c r="E128" s="1">
        <f t="shared" si="13"/>
        <v>13.18</v>
      </c>
      <c r="F128" s="1">
        <v>1.24</v>
      </c>
      <c r="G128" s="1">
        <f t="shared" si="14"/>
        <v>16.3432</v>
      </c>
      <c r="H128" s="1">
        <v>1.1214999999999999</v>
      </c>
      <c r="I128" s="1">
        <f t="shared" si="15"/>
        <v>18.328898799999997</v>
      </c>
      <c r="J128" s="1">
        <v>0.73999999999999899</v>
      </c>
      <c r="K128" s="1">
        <f t="shared" si="16"/>
        <v>19.068898799999996</v>
      </c>
      <c r="L128" s="1"/>
      <c r="M128" s="1"/>
      <c r="N128" s="1"/>
    </row>
    <row r="129" spans="1:14" ht="12.75" x14ac:dyDescent="0.2">
      <c r="A129" s="1" t="s">
        <v>170</v>
      </c>
      <c r="B129" s="96" t="s">
        <v>171</v>
      </c>
      <c r="C129" s="1">
        <v>7.48</v>
      </c>
      <c r="D129" s="1">
        <v>0.9</v>
      </c>
      <c r="E129" s="1">
        <f t="shared" si="13"/>
        <v>8.3800000000000008</v>
      </c>
      <c r="F129" s="1">
        <v>1.24</v>
      </c>
      <c r="G129" s="1">
        <f t="shared" si="14"/>
        <v>10.391200000000001</v>
      </c>
      <c r="H129" s="1">
        <v>1.1214999999999999</v>
      </c>
      <c r="I129" s="1">
        <f t="shared" si="15"/>
        <v>11.653730800000002</v>
      </c>
      <c r="J129" s="1">
        <v>0.73999999999999899</v>
      </c>
      <c r="K129" s="1">
        <f t="shared" si="16"/>
        <v>12.3937308</v>
      </c>
      <c r="L129" s="1"/>
      <c r="M129" s="1"/>
      <c r="N129" s="1"/>
    </row>
    <row r="130" spans="1:14" ht="12.75" x14ac:dyDescent="0.2">
      <c r="A130" s="1" t="s">
        <v>172</v>
      </c>
      <c r="B130" s="96" t="s">
        <v>173</v>
      </c>
      <c r="C130" s="1">
        <v>6.72</v>
      </c>
      <c r="D130" s="1">
        <v>0.9</v>
      </c>
      <c r="E130" s="1">
        <f t="shared" si="13"/>
        <v>7.62</v>
      </c>
      <c r="F130" s="1">
        <v>1.24</v>
      </c>
      <c r="G130" s="1">
        <f t="shared" si="14"/>
        <v>9.4488000000000003</v>
      </c>
      <c r="H130" s="1">
        <v>1.1214999999999999</v>
      </c>
      <c r="I130" s="1">
        <f t="shared" si="15"/>
        <v>10.5968292</v>
      </c>
      <c r="J130" s="1">
        <v>0.73999999999999899</v>
      </c>
      <c r="K130" s="1">
        <f t="shared" si="16"/>
        <v>11.336829199999999</v>
      </c>
      <c r="L130" s="1"/>
      <c r="M130" s="1"/>
      <c r="N130" s="1"/>
    </row>
    <row r="131" spans="1:14" ht="12.75" x14ac:dyDescent="0.2">
      <c r="A131" s="1" t="s">
        <v>174</v>
      </c>
      <c r="B131" s="96">
        <v>5204559515519</v>
      </c>
      <c r="C131" s="1">
        <v>6.56</v>
      </c>
      <c r="D131" s="1">
        <v>0.9</v>
      </c>
      <c r="E131" s="1">
        <f t="shared" si="13"/>
        <v>7.46</v>
      </c>
      <c r="F131" s="1">
        <v>1.24</v>
      </c>
      <c r="G131" s="1">
        <f t="shared" si="14"/>
        <v>9.2503999999999991</v>
      </c>
      <c r="H131" s="1">
        <v>1.1214999999999999</v>
      </c>
      <c r="I131" s="1">
        <f t="shared" si="15"/>
        <v>10.374323599999999</v>
      </c>
      <c r="J131" s="1">
        <v>0.73999999999999899</v>
      </c>
      <c r="K131" s="1">
        <f t="shared" si="16"/>
        <v>11.114323599999997</v>
      </c>
      <c r="L131" s="1">
        <v>9.9</v>
      </c>
      <c r="M131" s="1"/>
      <c r="N131" s="1"/>
    </row>
    <row r="132" spans="1:14" ht="12.75" x14ac:dyDescent="0.2">
      <c r="A132" s="1" t="s">
        <v>175</v>
      </c>
      <c r="B132" s="96">
        <v>5204559515816</v>
      </c>
      <c r="C132" s="1">
        <v>7.12</v>
      </c>
      <c r="D132" s="1">
        <v>0.9</v>
      </c>
      <c r="E132" s="1">
        <f t="shared" si="13"/>
        <v>8.02</v>
      </c>
      <c r="F132" s="1">
        <v>1.24</v>
      </c>
      <c r="G132" s="1">
        <f t="shared" si="14"/>
        <v>9.944799999999999</v>
      </c>
      <c r="H132" s="1">
        <v>1.1214999999999999</v>
      </c>
      <c r="I132" s="1">
        <f t="shared" si="15"/>
        <v>11.153093199999999</v>
      </c>
      <c r="J132" s="1">
        <v>0.41</v>
      </c>
      <c r="K132" s="1">
        <f t="shared" si="16"/>
        <v>11.563093199999999</v>
      </c>
      <c r="L132" s="1">
        <v>9.99</v>
      </c>
      <c r="M132" s="1"/>
      <c r="N132" s="1"/>
    </row>
    <row r="133" spans="1:14" ht="12.75" x14ac:dyDescent="0.2">
      <c r="A133" s="1" t="s">
        <v>176</v>
      </c>
      <c r="B133" s="96">
        <v>5204559515823</v>
      </c>
      <c r="C133" s="1">
        <v>7.12</v>
      </c>
      <c r="D133" s="1">
        <v>0.9</v>
      </c>
      <c r="E133" s="1">
        <f t="shared" si="13"/>
        <v>8.02</v>
      </c>
      <c r="F133" s="1">
        <v>1.24</v>
      </c>
      <c r="G133" s="1">
        <f t="shared" si="14"/>
        <v>9.944799999999999</v>
      </c>
      <c r="H133" s="1">
        <v>1.1214999999999999</v>
      </c>
      <c r="I133" s="1">
        <f t="shared" si="15"/>
        <v>11.153093199999999</v>
      </c>
      <c r="J133" s="1">
        <v>0.74</v>
      </c>
      <c r="K133" s="1">
        <f t="shared" si="16"/>
        <v>11.893093199999999</v>
      </c>
      <c r="L133" s="1">
        <v>13.02</v>
      </c>
      <c r="M133" s="1"/>
      <c r="N133" s="1"/>
    </row>
    <row r="134" spans="1:14" ht="12.75" x14ac:dyDescent="0.2">
      <c r="A134" s="1" t="s">
        <v>177</v>
      </c>
      <c r="B134" s="96">
        <v>810071800337</v>
      </c>
      <c r="C134" s="1">
        <v>7.63</v>
      </c>
      <c r="D134" s="1">
        <v>0.9</v>
      </c>
      <c r="E134" s="1">
        <f t="shared" si="13"/>
        <v>8.5299999999999994</v>
      </c>
      <c r="F134" s="1">
        <v>1.24</v>
      </c>
      <c r="G134" s="1">
        <f t="shared" si="14"/>
        <v>10.577199999999999</v>
      </c>
      <c r="H134" s="1">
        <v>1.1214999999999999</v>
      </c>
      <c r="I134" s="1">
        <f t="shared" si="15"/>
        <v>11.862329799999999</v>
      </c>
      <c r="J134" s="1">
        <v>0.73999999999999899</v>
      </c>
      <c r="K134" s="1">
        <f t="shared" si="16"/>
        <v>12.602329799999998</v>
      </c>
      <c r="L134" s="1"/>
      <c r="M134" s="1"/>
      <c r="N134" s="1"/>
    </row>
    <row r="135" spans="1:14" ht="12.75" x14ac:dyDescent="0.2">
      <c r="A135" s="1" t="s">
        <v>178</v>
      </c>
      <c r="B135" s="96">
        <v>5201109201014</v>
      </c>
      <c r="C135" s="1">
        <v>7.57</v>
      </c>
      <c r="D135" s="1">
        <v>0.9</v>
      </c>
      <c r="E135" s="1">
        <f t="shared" si="13"/>
        <v>8.4700000000000006</v>
      </c>
      <c r="F135" s="1">
        <v>1.24</v>
      </c>
      <c r="G135" s="1">
        <f t="shared" si="14"/>
        <v>10.502800000000001</v>
      </c>
      <c r="H135" s="1">
        <v>1.1214999999999999</v>
      </c>
      <c r="I135" s="1">
        <f t="shared" si="15"/>
        <v>11.778890199999999</v>
      </c>
      <c r="J135" s="1">
        <v>0.73999999999999899</v>
      </c>
      <c r="K135" s="1">
        <f t="shared" si="16"/>
        <v>12.518890199999998</v>
      </c>
      <c r="L135" s="1"/>
      <c r="M135" s="1"/>
      <c r="N135" s="1"/>
    </row>
    <row r="136" spans="1:14" ht="12.75" x14ac:dyDescent="0.2">
      <c r="A136" s="1" t="s">
        <v>179</v>
      </c>
      <c r="B136" s="96">
        <v>5400951991184</v>
      </c>
      <c r="C136" s="4">
        <v>5.42</v>
      </c>
      <c r="D136" s="4">
        <v>0.6</v>
      </c>
      <c r="E136" s="4">
        <f t="shared" si="13"/>
        <v>6.02</v>
      </c>
      <c r="F136" s="4">
        <v>1.24</v>
      </c>
      <c r="G136" s="4">
        <f t="shared" si="14"/>
        <v>7.4647999999999994</v>
      </c>
      <c r="H136" s="4">
        <v>1.1214999999999999</v>
      </c>
      <c r="I136" s="4">
        <f t="shared" si="15"/>
        <v>8.3717731999999998</v>
      </c>
      <c r="J136" s="4">
        <v>0.45</v>
      </c>
      <c r="K136" s="4">
        <f t="shared" si="16"/>
        <v>8.8217731999999991</v>
      </c>
      <c r="L136" s="4"/>
      <c r="M136" s="1"/>
      <c r="N136" s="1"/>
    </row>
    <row r="137" spans="1:14" ht="12.75" x14ac:dyDescent="0.2">
      <c r="A137" s="1" t="s">
        <v>121</v>
      </c>
      <c r="B137" s="96">
        <v>5203275407917</v>
      </c>
      <c r="C137" s="1">
        <v>5.77</v>
      </c>
      <c r="D137" s="1">
        <v>0.4</v>
      </c>
      <c r="E137" s="1">
        <f t="shared" si="13"/>
        <v>6.17</v>
      </c>
      <c r="F137" s="1">
        <v>1.24</v>
      </c>
      <c r="G137" s="1">
        <f t="shared" si="14"/>
        <v>7.6508000000000003</v>
      </c>
      <c r="H137" s="1">
        <v>1.1214999999999999</v>
      </c>
      <c r="I137" s="1">
        <f t="shared" si="15"/>
        <v>8.5803721999999993</v>
      </c>
      <c r="J137" s="1">
        <v>0.44</v>
      </c>
      <c r="K137" s="1">
        <f t="shared" si="16"/>
        <v>9.0203721999999988</v>
      </c>
      <c r="L137" s="1"/>
      <c r="M137" s="1"/>
      <c r="N137" s="1"/>
    </row>
    <row r="138" spans="1:14" ht="12.75" x14ac:dyDescent="0.2">
      <c r="A138" s="1" t="s">
        <v>180</v>
      </c>
      <c r="B138" s="96">
        <v>5054563079534</v>
      </c>
      <c r="C138" s="1">
        <v>2.4900000000000002</v>
      </c>
      <c r="D138" s="1">
        <v>0.4</v>
      </c>
      <c r="E138" s="1">
        <f t="shared" si="13"/>
        <v>2.89</v>
      </c>
      <c r="F138" s="1">
        <v>1.24</v>
      </c>
      <c r="G138" s="1">
        <f t="shared" si="14"/>
        <v>3.5836000000000001</v>
      </c>
      <c r="H138" s="1">
        <v>1.1214999999999999</v>
      </c>
      <c r="I138" s="1">
        <f t="shared" si="15"/>
        <v>4.0190073999999996</v>
      </c>
      <c r="J138" s="1">
        <v>0.25</v>
      </c>
      <c r="K138" s="1">
        <f t="shared" si="16"/>
        <v>4.2690073999999996</v>
      </c>
      <c r="L138" s="1"/>
      <c r="M138" s="1"/>
      <c r="N138" s="1"/>
    </row>
    <row r="139" spans="1:14" ht="12.75" x14ac:dyDescent="0.2">
      <c r="A139" s="1" t="s">
        <v>181</v>
      </c>
      <c r="B139" s="96">
        <v>3700244200071</v>
      </c>
      <c r="C139" s="1">
        <v>12</v>
      </c>
      <c r="D139" s="1">
        <v>0.9</v>
      </c>
      <c r="E139" s="1">
        <f t="shared" si="13"/>
        <v>12.9</v>
      </c>
      <c r="F139" s="1">
        <v>1.24</v>
      </c>
      <c r="G139" s="1">
        <f t="shared" si="14"/>
        <v>15.996</v>
      </c>
      <c r="H139" s="1">
        <v>1.1214999999999999</v>
      </c>
      <c r="I139" s="1">
        <f t="shared" si="15"/>
        <v>17.939513999999999</v>
      </c>
      <c r="J139" s="1">
        <v>0.73999999999999899</v>
      </c>
      <c r="K139" s="1">
        <f t="shared" si="16"/>
        <v>18.679513999999998</v>
      </c>
      <c r="L139" s="1"/>
      <c r="M139" s="1"/>
      <c r="N139" s="1"/>
    </row>
    <row r="140" spans="1:14" ht="12.75" x14ac:dyDescent="0.2">
      <c r="A140" s="1" t="s">
        <v>182</v>
      </c>
      <c r="B140" s="96" t="s">
        <v>183</v>
      </c>
      <c r="C140" s="1">
        <v>25.42</v>
      </c>
      <c r="D140" s="1">
        <v>0.9</v>
      </c>
      <c r="E140" s="1">
        <f t="shared" si="13"/>
        <v>26.32</v>
      </c>
      <c r="F140" s="1">
        <v>1.24</v>
      </c>
      <c r="G140" s="1">
        <f t="shared" si="14"/>
        <v>32.636800000000001</v>
      </c>
      <c r="H140" s="1">
        <v>1.1214999999999999</v>
      </c>
      <c r="I140" s="1">
        <f t="shared" si="15"/>
        <v>36.602171200000001</v>
      </c>
      <c r="J140" s="1">
        <v>0.73999999999999899</v>
      </c>
      <c r="K140" s="1">
        <f t="shared" si="16"/>
        <v>37.342171200000003</v>
      </c>
      <c r="L140" s="1">
        <v>45.01</v>
      </c>
      <c r="M140" s="1"/>
      <c r="N140" s="1"/>
    </row>
    <row r="141" spans="1:14" ht="12.75" x14ac:dyDescent="0.2">
      <c r="A141" s="1" t="s">
        <v>184</v>
      </c>
      <c r="B141" s="96" t="s">
        <v>185</v>
      </c>
      <c r="C141" s="1">
        <v>22.53</v>
      </c>
      <c r="D141" s="1">
        <v>0.9</v>
      </c>
      <c r="E141" s="1">
        <f t="shared" si="13"/>
        <v>23.43</v>
      </c>
      <c r="F141" s="1">
        <v>1.24</v>
      </c>
      <c r="G141" s="1">
        <f t="shared" si="14"/>
        <v>29.0532</v>
      </c>
      <c r="H141" s="1">
        <v>1.1214999999999999</v>
      </c>
      <c r="I141" s="1">
        <f t="shared" si="15"/>
        <v>32.583163800000001</v>
      </c>
      <c r="J141" s="1">
        <v>0.73999999999999899</v>
      </c>
      <c r="K141" s="1">
        <f t="shared" si="16"/>
        <v>33.323163800000003</v>
      </c>
      <c r="L141" s="1">
        <v>37.5</v>
      </c>
      <c r="M141" s="1"/>
      <c r="N141" s="1"/>
    </row>
    <row r="142" spans="1:14" ht="12.75" x14ac:dyDescent="0.2">
      <c r="A142" s="1" t="s">
        <v>186</v>
      </c>
      <c r="B142" s="96" t="s">
        <v>187</v>
      </c>
      <c r="C142" s="1">
        <v>25.17</v>
      </c>
      <c r="D142" s="1">
        <v>0.9</v>
      </c>
      <c r="E142" s="1">
        <f t="shared" si="13"/>
        <v>26.07</v>
      </c>
      <c r="F142" s="1">
        <v>1.24</v>
      </c>
      <c r="G142" s="1">
        <f t="shared" si="14"/>
        <v>32.326799999999999</v>
      </c>
      <c r="H142" s="1">
        <v>1.1214999999999999</v>
      </c>
      <c r="I142" s="1">
        <f t="shared" si="15"/>
        <v>36.254506199999994</v>
      </c>
      <c r="J142" s="1">
        <v>0.73999999999999899</v>
      </c>
      <c r="K142" s="1">
        <f t="shared" si="16"/>
        <v>36.994506199999996</v>
      </c>
      <c r="L142" s="1">
        <v>40.56</v>
      </c>
      <c r="M142" s="1"/>
      <c r="N142" s="1"/>
    </row>
    <row r="143" spans="1:14" ht="12.75" x14ac:dyDescent="0.2">
      <c r="A143" s="1" t="s">
        <v>188</v>
      </c>
      <c r="B143" s="96" t="s">
        <v>189</v>
      </c>
      <c r="C143" s="1">
        <v>17.760000000000002</v>
      </c>
      <c r="D143" s="1">
        <v>0.9</v>
      </c>
      <c r="E143" s="1">
        <f t="shared" si="13"/>
        <v>18.66</v>
      </c>
      <c r="F143" s="1">
        <v>1.24</v>
      </c>
      <c r="G143" s="1">
        <f t="shared" si="14"/>
        <v>23.138400000000001</v>
      </c>
      <c r="H143" s="1">
        <v>1.1214999999999999</v>
      </c>
      <c r="I143" s="1">
        <f t="shared" si="15"/>
        <v>25.949715600000001</v>
      </c>
      <c r="J143" s="1">
        <v>0.73999999999999899</v>
      </c>
      <c r="K143" s="1">
        <f t="shared" si="16"/>
        <v>26.6897156</v>
      </c>
      <c r="L143" s="1"/>
      <c r="M143" s="1"/>
      <c r="N143" s="1"/>
    </row>
    <row r="144" spans="1:14" ht="12.75" x14ac:dyDescent="0.2">
      <c r="A144" s="1" t="s">
        <v>190</v>
      </c>
      <c r="B144" s="96" t="s">
        <v>191</v>
      </c>
      <c r="C144" s="1">
        <v>6.41</v>
      </c>
      <c r="D144" s="1">
        <v>0.9</v>
      </c>
      <c r="E144" s="1">
        <f t="shared" si="13"/>
        <v>7.3100000000000005</v>
      </c>
      <c r="F144" s="1">
        <v>1.24</v>
      </c>
      <c r="G144" s="1">
        <f t="shared" si="14"/>
        <v>9.0644000000000009</v>
      </c>
      <c r="H144" s="1">
        <v>1.1214999999999999</v>
      </c>
      <c r="I144" s="1">
        <f t="shared" si="15"/>
        <v>10.165724600000001</v>
      </c>
      <c r="J144" s="1">
        <v>0.73999999999999899</v>
      </c>
      <c r="K144" s="1">
        <f t="shared" si="16"/>
        <v>10.905724599999999</v>
      </c>
      <c r="L144" s="1"/>
      <c r="M144" s="1"/>
      <c r="N144" s="1"/>
    </row>
    <row r="145" spans="1:14" ht="12.75" x14ac:dyDescent="0.2">
      <c r="A145" s="1" t="s">
        <v>192</v>
      </c>
      <c r="B145" s="96">
        <v>3700225602436</v>
      </c>
      <c r="C145" s="1">
        <v>8.89</v>
      </c>
      <c r="D145" s="1">
        <v>0.9</v>
      </c>
      <c r="E145" s="1">
        <f t="shared" si="13"/>
        <v>9.7900000000000009</v>
      </c>
      <c r="F145" s="1">
        <v>1.24</v>
      </c>
      <c r="G145" s="1">
        <f t="shared" si="14"/>
        <v>12.139600000000002</v>
      </c>
      <c r="H145" s="1">
        <v>1.1214999999999999</v>
      </c>
      <c r="I145" s="1">
        <f t="shared" si="15"/>
        <v>13.614561400000001</v>
      </c>
      <c r="J145" s="1">
        <v>0.73999999999999899</v>
      </c>
      <c r="K145" s="1">
        <f t="shared" si="16"/>
        <v>14.3545614</v>
      </c>
      <c r="L145" s="1"/>
      <c r="M145" s="1"/>
      <c r="N145" s="1"/>
    </row>
    <row r="146" spans="1:14" ht="12.75" x14ac:dyDescent="0.2">
      <c r="A146" s="1" t="s">
        <v>193</v>
      </c>
      <c r="B146" s="96">
        <v>3700225602443</v>
      </c>
      <c r="C146" s="1">
        <v>8.89</v>
      </c>
      <c r="D146" s="1">
        <v>0.9</v>
      </c>
      <c r="E146" s="1">
        <f t="shared" si="13"/>
        <v>9.7900000000000009</v>
      </c>
      <c r="F146" s="1">
        <v>1.24</v>
      </c>
      <c r="G146" s="1">
        <f t="shared" si="14"/>
        <v>12.139600000000002</v>
      </c>
      <c r="H146" s="1">
        <v>1.1214999999999999</v>
      </c>
      <c r="I146" s="1">
        <f t="shared" si="15"/>
        <v>13.614561400000001</v>
      </c>
      <c r="J146" s="1">
        <v>0.73999999999999899</v>
      </c>
      <c r="K146" s="1">
        <f t="shared" si="16"/>
        <v>14.3545614</v>
      </c>
      <c r="L146" s="1"/>
      <c r="M146" s="1"/>
      <c r="N146" s="1"/>
    </row>
    <row r="147" spans="1:14" ht="12.75" x14ac:dyDescent="0.2">
      <c r="A147" s="1" t="s">
        <v>194</v>
      </c>
      <c r="B147" s="96">
        <v>3700225602450</v>
      </c>
      <c r="C147" s="1">
        <v>8.89</v>
      </c>
      <c r="D147" s="1">
        <v>0.9</v>
      </c>
      <c r="E147" s="1">
        <f t="shared" si="13"/>
        <v>9.7900000000000009</v>
      </c>
      <c r="F147" s="1">
        <v>1.24</v>
      </c>
      <c r="G147" s="1">
        <f t="shared" si="14"/>
        <v>12.139600000000002</v>
      </c>
      <c r="H147" s="1">
        <v>1.1214999999999999</v>
      </c>
      <c r="I147" s="1">
        <f t="shared" si="15"/>
        <v>13.614561400000001</v>
      </c>
      <c r="J147" s="1">
        <v>0.73999999999999899</v>
      </c>
      <c r="K147" s="1">
        <f t="shared" si="16"/>
        <v>14.3545614</v>
      </c>
      <c r="L147" s="1"/>
      <c r="M147" s="1"/>
      <c r="N147" s="1"/>
    </row>
    <row r="148" spans="1:14" ht="12.75" x14ac:dyDescent="0.2">
      <c r="A148" s="1" t="s">
        <v>195</v>
      </c>
      <c r="B148" s="96" t="s">
        <v>196</v>
      </c>
      <c r="C148" s="1">
        <v>16.239999999999998</v>
      </c>
      <c r="D148" s="1">
        <v>0.9</v>
      </c>
      <c r="E148" s="1">
        <f t="shared" si="13"/>
        <v>17.139999999999997</v>
      </c>
      <c r="F148" s="1">
        <v>1.24</v>
      </c>
      <c r="G148" s="1">
        <f t="shared" si="14"/>
        <v>21.253599999999995</v>
      </c>
      <c r="H148" s="1">
        <v>1.1214999999999999</v>
      </c>
      <c r="I148" s="1">
        <f t="shared" si="15"/>
        <v>23.835912399999994</v>
      </c>
      <c r="J148" s="1">
        <v>0.73999999999999899</v>
      </c>
      <c r="K148" s="1">
        <f t="shared" si="16"/>
        <v>24.575912399999993</v>
      </c>
      <c r="L148" s="1"/>
      <c r="M148" s="1"/>
      <c r="N148" s="1"/>
    </row>
    <row r="149" spans="1:14" ht="12.75" x14ac:dyDescent="0.2">
      <c r="A149" s="1" t="s">
        <v>60</v>
      </c>
      <c r="B149" s="96">
        <v>8809187049350</v>
      </c>
      <c r="C149" s="1">
        <v>9.24</v>
      </c>
      <c r="D149" s="1">
        <v>0.9</v>
      </c>
      <c r="E149" s="1">
        <f t="shared" si="13"/>
        <v>10.14</v>
      </c>
      <c r="F149" s="1">
        <v>1.24</v>
      </c>
      <c r="G149" s="1">
        <f t="shared" si="14"/>
        <v>12.573600000000001</v>
      </c>
      <c r="H149" s="1">
        <v>1.1214999999999999</v>
      </c>
      <c r="I149" s="1">
        <f t="shared" si="15"/>
        <v>14.1012924</v>
      </c>
      <c r="J149" s="1">
        <v>0.73999999999999899</v>
      </c>
      <c r="K149" s="1">
        <f t="shared" si="16"/>
        <v>14.841292399999999</v>
      </c>
      <c r="L149" s="1">
        <v>9.8000000000000007</v>
      </c>
      <c r="M149" s="1"/>
      <c r="N149" s="1"/>
    </row>
    <row r="150" spans="1:14" ht="12.75" x14ac:dyDescent="0.2">
      <c r="A150" s="1" t="s">
        <v>197</v>
      </c>
      <c r="B150" s="96">
        <v>8809541190254</v>
      </c>
      <c r="C150" s="1">
        <v>0</v>
      </c>
      <c r="D150" s="1">
        <v>0.9</v>
      </c>
      <c r="E150" s="1">
        <f t="shared" si="13"/>
        <v>0.9</v>
      </c>
      <c r="F150" s="1">
        <v>1.24</v>
      </c>
      <c r="G150" s="1">
        <f t="shared" si="14"/>
        <v>1.1160000000000001</v>
      </c>
      <c r="H150" s="1">
        <v>1.1214999999999999</v>
      </c>
      <c r="I150" s="1">
        <f t="shared" si="15"/>
        <v>1.2515940000000001</v>
      </c>
      <c r="J150" s="1">
        <v>1.49</v>
      </c>
      <c r="K150" s="1">
        <f t="shared" si="16"/>
        <v>2.7415940000000001</v>
      </c>
      <c r="L150" s="1">
        <v>14.2</v>
      </c>
      <c r="M150" s="1"/>
      <c r="N150" s="1"/>
    </row>
    <row r="151" spans="1:14" ht="12.75" x14ac:dyDescent="0.2">
      <c r="A151" s="1" t="s">
        <v>198</v>
      </c>
      <c r="B151" s="96">
        <v>8809560226422</v>
      </c>
      <c r="C151" s="1">
        <v>15.36</v>
      </c>
      <c r="D151" s="1">
        <v>0.9</v>
      </c>
      <c r="E151" s="1">
        <f t="shared" si="13"/>
        <v>16.259999999999998</v>
      </c>
      <c r="F151" s="1">
        <v>1.24</v>
      </c>
      <c r="G151" s="1">
        <f t="shared" si="14"/>
        <v>20.162399999999998</v>
      </c>
      <c r="H151" s="1">
        <v>1.1214999999999999</v>
      </c>
      <c r="I151" s="1">
        <f t="shared" si="15"/>
        <v>22.612131599999998</v>
      </c>
      <c r="J151" s="1">
        <v>0.73999999999999899</v>
      </c>
      <c r="K151" s="1">
        <f t="shared" si="16"/>
        <v>23.352131599999996</v>
      </c>
      <c r="L151" s="1">
        <v>29.99</v>
      </c>
      <c r="M151" s="1"/>
      <c r="N151" s="1"/>
    </row>
    <row r="152" spans="1:14" ht="12.75" x14ac:dyDescent="0.2">
      <c r="A152" s="1" t="s">
        <v>199</v>
      </c>
      <c r="B152" s="96" t="s">
        <v>200</v>
      </c>
      <c r="C152" s="1">
        <v>11.05</v>
      </c>
      <c r="D152" s="1">
        <v>0.9</v>
      </c>
      <c r="E152" s="1">
        <f t="shared" si="13"/>
        <v>11.950000000000001</v>
      </c>
      <c r="F152" s="1">
        <v>1.24</v>
      </c>
      <c r="G152" s="1">
        <f t="shared" si="14"/>
        <v>14.818000000000001</v>
      </c>
      <c r="H152" s="1">
        <v>1.1214999999999999</v>
      </c>
      <c r="I152" s="1">
        <f t="shared" si="15"/>
        <v>16.618387000000002</v>
      </c>
      <c r="J152" s="1">
        <v>0.73999999999999899</v>
      </c>
      <c r="K152" s="1">
        <f t="shared" si="16"/>
        <v>17.358387</v>
      </c>
      <c r="L152" s="1"/>
      <c r="M152" s="1"/>
      <c r="N152" s="1"/>
    </row>
    <row r="153" spans="1:14" ht="12.75" x14ac:dyDescent="0.2">
      <c r="A153" s="1" t="s">
        <v>201</v>
      </c>
      <c r="B153" s="96" t="s">
        <v>202</v>
      </c>
      <c r="C153" s="1">
        <v>58.12</v>
      </c>
      <c r="D153" s="1">
        <v>0.9</v>
      </c>
      <c r="E153" s="1">
        <f t="shared" si="13"/>
        <v>59.019999999999996</v>
      </c>
      <c r="F153" s="1">
        <v>1.1299999999999999</v>
      </c>
      <c r="G153" s="1">
        <f t="shared" si="14"/>
        <v>66.692599999999985</v>
      </c>
      <c r="H153" s="1">
        <v>1.1214999999999999</v>
      </c>
      <c r="I153" s="1">
        <f t="shared" si="15"/>
        <v>74.795750899999973</v>
      </c>
      <c r="J153" s="1">
        <v>0.73999999999999899</v>
      </c>
      <c r="K153" s="1">
        <f t="shared" si="16"/>
        <v>75.535750899999968</v>
      </c>
      <c r="L153" s="1"/>
      <c r="M153" s="1"/>
      <c r="N153" s="1"/>
    </row>
    <row r="154" spans="1:14" ht="12.75" x14ac:dyDescent="0.2">
      <c r="A154" s="1" t="s">
        <v>203</v>
      </c>
      <c r="B154" s="96" t="s">
        <v>204</v>
      </c>
      <c r="C154" s="1">
        <v>20.399999999999999</v>
      </c>
      <c r="D154" s="1">
        <v>0.9</v>
      </c>
      <c r="E154" s="1">
        <f t="shared" si="13"/>
        <v>21.299999999999997</v>
      </c>
      <c r="F154" s="1">
        <v>1.24</v>
      </c>
      <c r="G154" s="1">
        <f t="shared" si="14"/>
        <v>26.411999999999995</v>
      </c>
      <c r="H154" s="1">
        <v>1.1214999999999999</v>
      </c>
      <c r="I154" s="1">
        <f t="shared" si="15"/>
        <v>29.621057999999994</v>
      </c>
      <c r="J154" s="1">
        <v>0.73999999999999899</v>
      </c>
      <c r="K154" s="1">
        <f t="shared" si="16"/>
        <v>30.361057999999993</v>
      </c>
      <c r="L154" s="1"/>
      <c r="M154" s="1"/>
      <c r="N154" s="1"/>
    </row>
    <row r="155" spans="1:14" ht="12.75" x14ac:dyDescent="0.2">
      <c r="A155" s="1" t="s">
        <v>205</v>
      </c>
      <c r="B155" s="96" t="s">
        <v>206</v>
      </c>
      <c r="C155" s="1">
        <v>25.5</v>
      </c>
      <c r="D155" s="1">
        <v>0.9</v>
      </c>
      <c r="E155" s="1">
        <f t="shared" si="13"/>
        <v>26.4</v>
      </c>
      <c r="F155" s="1">
        <v>1.24</v>
      </c>
      <c r="G155" s="1">
        <f t="shared" si="14"/>
        <v>32.735999999999997</v>
      </c>
      <c r="H155" s="1">
        <v>1.1214999999999999</v>
      </c>
      <c r="I155" s="1">
        <f t="shared" si="15"/>
        <v>36.713423999999996</v>
      </c>
      <c r="J155" s="1">
        <v>0.73999999999999899</v>
      </c>
      <c r="K155" s="1">
        <f t="shared" si="16"/>
        <v>37.453423999999998</v>
      </c>
      <c r="L155" s="1"/>
      <c r="M155" s="1"/>
      <c r="N155" s="1"/>
    </row>
    <row r="156" spans="1:14" ht="12.75" x14ac:dyDescent="0.2">
      <c r="A156" s="1" t="s">
        <v>207</v>
      </c>
      <c r="B156" s="96">
        <v>8700216275378</v>
      </c>
      <c r="C156" s="1">
        <v>7.19</v>
      </c>
      <c r="D156" s="1">
        <v>0.7</v>
      </c>
      <c r="E156" s="1">
        <f t="shared" si="13"/>
        <v>7.8900000000000006</v>
      </c>
      <c r="F156" s="1">
        <v>1.24</v>
      </c>
      <c r="G156" s="1">
        <f t="shared" si="14"/>
        <v>9.7835999999999999</v>
      </c>
      <c r="H156" s="1">
        <v>1.1214999999999999</v>
      </c>
      <c r="I156" s="1">
        <f t="shared" si="15"/>
        <v>10.9723074</v>
      </c>
      <c r="J156" s="1">
        <v>0.55000000000000004</v>
      </c>
      <c r="K156" s="1">
        <f t="shared" si="16"/>
        <v>11.522307400000001</v>
      </c>
      <c r="L156" s="1"/>
      <c r="M156" s="1"/>
      <c r="N156" s="1"/>
    </row>
    <row r="157" spans="1:14" ht="12.75" x14ac:dyDescent="0.2">
      <c r="A157" s="1" t="s">
        <v>208</v>
      </c>
      <c r="B157" s="96">
        <v>5021791005314</v>
      </c>
      <c r="C157" s="1">
        <v>13.58</v>
      </c>
      <c r="D157" s="1">
        <v>0.9</v>
      </c>
      <c r="E157" s="1">
        <f t="shared" si="13"/>
        <v>14.48</v>
      </c>
      <c r="F157" s="1">
        <v>1.06</v>
      </c>
      <c r="G157" s="1">
        <f t="shared" si="14"/>
        <v>15.348800000000001</v>
      </c>
      <c r="H157" s="1">
        <v>1.1214999999999999</v>
      </c>
      <c r="I157" s="1">
        <f t="shared" si="15"/>
        <v>17.213679200000001</v>
      </c>
      <c r="J157" s="1">
        <v>0.73999999999999899</v>
      </c>
      <c r="K157" s="1">
        <f t="shared" si="16"/>
        <v>17.9536792</v>
      </c>
      <c r="L157" s="1">
        <v>15.05</v>
      </c>
      <c r="M157" s="1"/>
      <c r="N157" s="1"/>
    </row>
    <row r="158" spans="1:14" ht="12.75" x14ac:dyDescent="0.2">
      <c r="A158" s="1" t="s">
        <v>209</v>
      </c>
      <c r="B158" s="96">
        <v>3337875799348</v>
      </c>
      <c r="C158" s="1">
        <v>12.71</v>
      </c>
      <c r="D158" s="1">
        <v>0.9</v>
      </c>
      <c r="E158" s="1">
        <f t="shared" si="13"/>
        <v>13.610000000000001</v>
      </c>
      <c r="F158" s="1">
        <v>1.24</v>
      </c>
      <c r="G158" s="1">
        <f t="shared" si="14"/>
        <v>16.8764</v>
      </c>
      <c r="H158" s="1">
        <v>1.1214999999999999</v>
      </c>
      <c r="I158" s="1">
        <f t="shared" si="15"/>
        <v>18.926882599999999</v>
      </c>
      <c r="J158" s="1">
        <v>0.73999999999999899</v>
      </c>
      <c r="K158" s="1">
        <f t="shared" si="16"/>
        <v>19.666882599999997</v>
      </c>
      <c r="L158" s="1"/>
      <c r="M158" s="1"/>
      <c r="N158" s="1"/>
    </row>
    <row r="159" spans="1:14" ht="12.75" x14ac:dyDescent="0.2">
      <c r="A159" s="1" t="s">
        <v>210</v>
      </c>
      <c r="B159" s="96">
        <v>3337875696838</v>
      </c>
      <c r="C159" s="1">
        <v>11.46</v>
      </c>
      <c r="D159" s="1">
        <v>0.9</v>
      </c>
      <c r="E159" s="1">
        <f t="shared" si="13"/>
        <v>12.360000000000001</v>
      </c>
      <c r="F159" s="1">
        <v>1.24</v>
      </c>
      <c r="G159" s="1">
        <f t="shared" si="14"/>
        <v>15.326400000000001</v>
      </c>
      <c r="H159" s="1">
        <v>1.1214999999999999</v>
      </c>
      <c r="I159" s="1">
        <f t="shared" si="15"/>
        <v>17.188557599999999</v>
      </c>
      <c r="J159" s="1">
        <v>0.73999999999999899</v>
      </c>
      <c r="K159" s="1">
        <f t="shared" si="16"/>
        <v>17.928557599999998</v>
      </c>
      <c r="L159" s="1"/>
      <c r="M159" s="1"/>
      <c r="N159" s="1"/>
    </row>
    <row r="160" spans="1:14" ht="12.75" x14ac:dyDescent="0.2">
      <c r="A160" s="1" t="s">
        <v>211</v>
      </c>
      <c r="B160" s="96">
        <v>3337875888851</v>
      </c>
      <c r="C160" s="1">
        <v>12.5</v>
      </c>
      <c r="D160" s="1">
        <v>0.9</v>
      </c>
      <c r="E160" s="1">
        <f t="shared" si="13"/>
        <v>13.4</v>
      </c>
      <c r="F160" s="1">
        <v>1.24</v>
      </c>
      <c r="G160" s="1">
        <f t="shared" si="14"/>
        <v>16.616</v>
      </c>
      <c r="H160" s="1">
        <v>1.1214999999999999</v>
      </c>
      <c r="I160" s="1">
        <f t="shared" si="15"/>
        <v>18.634843999999998</v>
      </c>
      <c r="J160" s="1">
        <v>0.74</v>
      </c>
      <c r="K160" s="1">
        <f t="shared" si="16"/>
        <v>19.374843999999996</v>
      </c>
      <c r="L160" s="1"/>
      <c r="M160" s="1"/>
      <c r="N160" s="1"/>
    </row>
    <row r="161" spans="1:14" ht="12.75" x14ac:dyDescent="0.2">
      <c r="A161" s="1" t="s">
        <v>212</v>
      </c>
      <c r="B161" s="96">
        <v>3337875845489</v>
      </c>
      <c r="C161" s="1">
        <v>11.46</v>
      </c>
      <c r="D161" s="1">
        <v>0.9</v>
      </c>
      <c r="E161" s="1">
        <f t="shared" si="13"/>
        <v>12.360000000000001</v>
      </c>
      <c r="F161" s="1">
        <v>1.24</v>
      </c>
      <c r="G161" s="1">
        <f t="shared" si="14"/>
        <v>15.326400000000001</v>
      </c>
      <c r="H161" s="1">
        <v>1.1214999999999999</v>
      </c>
      <c r="I161" s="1">
        <f t="shared" si="15"/>
        <v>17.188557599999999</v>
      </c>
      <c r="J161" s="1">
        <v>0.73999999999999899</v>
      </c>
      <c r="K161" s="1">
        <f t="shared" si="16"/>
        <v>17.928557599999998</v>
      </c>
      <c r="L161" s="1"/>
      <c r="M161" s="1"/>
      <c r="N161" s="1"/>
    </row>
    <row r="162" spans="1:14" ht="12.75" x14ac:dyDescent="0.2">
      <c r="A162" s="1" t="s">
        <v>213</v>
      </c>
      <c r="B162" s="96">
        <v>3337875797580</v>
      </c>
      <c r="C162" s="1">
        <v>10.29</v>
      </c>
      <c r="D162" s="1">
        <v>0.9</v>
      </c>
      <c r="E162" s="1">
        <f t="shared" si="13"/>
        <v>11.19</v>
      </c>
      <c r="F162" s="1">
        <v>1.24</v>
      </c>
      <c r="G162" s="1">
        <f t="shared" si="14"/>
        <v>13.875599999999999</v>
      </c>
      <c r="H162" s="1">
        <v>1.1214999999999999</v>
      </c>
      <c r="I162" s="1">
        <f t="shared" si="15"/>
        <v>15.561485399999997</v>
      </c>
      <c r="J162" s="1">
        <v>0.73999999999999899</v>
      </c>
      <c r="K162" s="1">
        <f t="shared" si="16"/>
        <v>16.301485399999997</v>
      </c>
      <c r="L162" s="1"/>
      <c r="M162" s="1"/>
      <c r="N162" s="1"/>
    </row>
    <row r="163" spans="1:14" ht="12.75" x14ac:dyDescent="0.2">
      <c r="A163" s="1" t="s">
        <v>214</v>
      </c>
      <c r="B163" s="96">
        <v>3337875797719</v>
      </c>
      <c r="C163" s="1">
        <v>10.29</v>
      </c>
      <c r="D163" s="1">
        <v>0.9</v>
      </c>
      <c r="E163" s="1">
        <f t="shared" si="13"/>
        <v>11.19</v>
      </c>
      <c r="F163" s="1">
        <v>1.24</v>
      </c>
      <c r="G163" s="1">
        <f t="shared" si="14"/>
        <v>13.875599999999999</v>
      </c>
      <c r="H163" s="1">
        <v>1.1214999999999999</v>
      </c>
      <c r="I163" s="1">
        <f t="shared" si="15"/>
        <v>15.561485399999997</v>
      </c>
      <c r="J163" s="1">
        <v>0.73999999999999899</v>
      </c>
      <c r="K163" s="1">
        <f t="shared" si="16"/>
        <v>16.301485399999997</v>
      </c>
      <c r="L163" s="1"/>
      <c r="M163" s="1"/>
      <c r="N163" s="1"/>
    </row>
    <row r="164" spans="1:14" ht="12.75" x14ac:dyDescent="0.2">
      <c r="A164" s="1" t="s">
        <v>215</v>
      </c>
      <c r="B164" s="96">
        <v>4013474117248</v>
      </c>
      <c r="C164" s="1">
        <v>6.79</v>
      </c>
      <c r="D164" s="1">
        <v>0.9</v>
      </c>
      <c r="E164" s="1">
        <f t="shared" si="13"/>
        <v>7.69</v>
      </c>
      <c r="F164" s="1">
        <v>1.24</v>
      </c>
      <c r="G164" s="1">
        <f t="shared" si="14"/>
        <v>9.5356000000000005</v>
      </c>
      <c r="H164" s="1">
        <v>1.1214999999999999</v>
      </c>
      <c r="I164" s="1">
        <f t="shared" si="15"/>
        <v>10.694175400000001</v>
      </c>
      <c r="J164" s="1">
        <v>0.73999999999999899</v>
      </c>
      <c r="K164" s="1">
        <f t="shared" si="16"/>
        <v>11.434175399999999</v>
      </c>
      <c r="L164" s="1"/>
      <c r="M164" s="1"/>
      <c r="N164" s="1"/>
    </row>
    <row r="165" spans="1:14" ht="12.75" x14ac:dyDescent="0.2">
      <c r="A165" s="1" t="s">
        <v>216</v>
      </c>
      <c r="B165" s="96">
        <v>3337875546409</v>
      </c>
      <c r="C165" s="1">
        <v>10.29</v>
      </c>
      <c r="D165" s="1">
        <v>0.9</v>
      </c>
      <c r="E165" s="1">
        <f t="shared" si="13"/>
        <v>11.19</v>
      </c>
      <c r="F165" s="1">
        <v>1.24</v>
      </c>
      <c r="G165" s="1">
        <f t="shared" si="14"/>
        <v>13.875599999999999</v>
      </c>
      <c r="H165" s="1">
        <v>1.1214999999999999</v>
      </c>
      <c r="I165" s="1">
        <f t="shared" si="15"/>
        <v>15.561485399999997</v>
      </c>
      <c r="J165" s="1">
        <v>0.73999999999999899</v>
      </c>
      <c r="K165" s="1">
        <f t="shared" si="16"/>
        <v>16.301485399999997</v>
      </c>
      <c r="L165" s="1"/>
      <c r="M165" s="1"/>
      <c r="N165" s="1"/>
    </row>
    <row r="166" spans="1:14" ht="12.75" x14ac:dyDescent="0.2">
      <c r="A166" s="1" t="s">
        <v>217</v>
      </c>
      <c r="B166" s="96">
        <v>3337875917810</v>
      </c>
      <c r="C166" s="1">
        <v>11.46</v>
      </c>
      <c r="D166" s="1">
        <v>0.9</v>
      </c>
      <c r="E166" s="1">
        <f t="shared" si="13"/>
        <v>12.360000000000001</v>
      </c>
      <c r="F166" s="1">
        <v>1.24</v>
      </c>
      <c r="G166" s="1">
        <f t="shared" si="14"/>
        <v>15.326400000000001</v>
      </c>
      <c r="H166" s="1">
        <v>1.1214999999999999</v>
      </c>
      <c r="I166" s="1">
        <f t="shared" si="15"/>
        <v>17.188557599999999</v>
      </c>
      <c r="J166" s="1">
        <v>0.73999999999999899</v>
      </c>
      <c r="K166" s="1">
        <f t="shared" si="16"/>
        <v>17.928557599999998</v>
      </c>
      <c r="L166" s="1"/>
      <c r="M166" s="1"/>
      <c r="N166" s="1"/>
    </row>
    <row r="167" spans="1:14" ht="12.75" x14ac:dyDescent="0.2">
      <c r="A167" s="1" t="s">
        <v>218</v>
      </c>
      <c r="B167" s="96" t="s">
        <v>219</v>
      </c>
      <c r="C167" s="1">
        <v>44.42</v>
      </c>
      <c r="D167" s="1">
        <v>0.9</v>
      </c>
      <c r="E167" s="1">
        <f t="shared" si="13"/>
        <v>45.32</v>
      </c>
      <c r="F167" s="1">
        <v>1.24</v>
      </c>
      <c r="G167" s="1">
        <f t="shared" si="14"/>
        <v>56.196800000000003</v>
      </c>
      <c r="H167" s="1">
        <v>1.1214999999999999</v>
      </c>
      <c r="I167" s="1">
        <f t="shared" si="15"/>
        <v>63.024711199999999</v>
      </c>
      <c r="J167" s="1">
        <v>1.42</v>
      </c>
      <c r="K167" s="1">
        <f t="shared" si="16"/>
        <v>64.4447112</v>
      </c>
      <c r="L167" s="1"/>
      <c r="M167" s="1"/>
      <c r="N167" s="1"/>
    </row>
    <row r="168" spans="1:14" ht="12.75" x14ac:dyDescent="0.2">
      <c r="A168" s="1" t="s">
        <v>220</v>
      </c>
      <c r="B168" s="96" t="s">
        <v>221</v>
      </c>
      <c r="C168" s="1">
        <v>66.459999999999994</v>
      </c>
      <c r="D168" s="1">
        <v>0.9</v>
      </c>
      <c r="E168" s="1">
        <f t="shared" si="13"/>
        <v>67.36</v>
      </c>
      <c r="F168" s="1">
        <v>1.24</v>
      </c>
      <c r="G168" s="1">
        <f t="shared" si="14"/>
        <v>83.526399999999995</v>
      </c>
      <c r="H168" s="1">
        <v>1.1214999999999999</v>
      </c>
      <c r="I168" s="1">
        <f t="shared" si="15"/>
        <v>93.674857599999996</v>
      </c>
      <c r="J168" s="1">
        <v>1.42</v>
      </c>
      <c r="K168" s="1">
        <f t="shared" si="16"/>
        <v>95.094857599999997</v>
      </c>
      <c r="L168" s="1"/>
      <c r="M168" s="1"/>
      <c r="N168" s="1"/>
    </row>
    <row r="169" spans="1:14" ht="12.75" x14ac:dyDescent="0.2">
      <c r="A169" s="1" t="s">
        <v>222</v>
      </c>
      <c r="B169" s="96" t="s">
        <v>223</v>
      </c>
      <c r="C169" s="1">
        <v>9.8000000000000007</v>
      </c>
      <c r="D169" s="1">
        <v>0.9</v>
      </c>
      <c r="E169" s="1">
        <f t="shared" si="13"/>
        <v>10.700000000000001</v>
      </c>
      <c r="F169" s="1">
        <v>1.24</v>
      </c>
      <c r="G169" s="1">
        <f t="shared" si="14"/>
        <v>13.268000000000001</v>
      </c>
      <c r="H169" s="1">
        <v>1.1214999999999999</v>
      </c>
      <c r="I169" s="1">
        <f t="shared" si="15"/>
        <v>14.880062000000001</v>
      </c>
      <c r="J169" s="1">
        <v>0.73999999999999899</v>
      </c>
      <c r="K169" s="1">
        <f t="shared" si="16"/>
        <v>15.620061999999999</v>
      </c>
      <c r="L169" s="1"/>
      <c r="M169" s="1"/>
      <c r="N169" s="1"/>
    </row>
    <row r="170" spans="1:14" ht="12.75" x14ac:dyDescent="0.2">
      <c r="A170" s="1" t="s">
        <v>224</v>
      </c>
      <c r="B170" s="96" t="s">
        <v>225</v>
      </c>
      <c r="C170" s="1">
        <v>8.68</v>
      </c>
      <c r="D170" s="1">
        <v>0.9</v>
      </c>
      <c r="E170" s="1">
        <f t="shared" si="13"/>
        <v>9.58</v>
      </c>
      <c r="F170" s="1">
        <v>1.24</v>
      </c>
      <c r="G170" s="1">
        <f t="shared" si="14"/>
        <v>11.879200000000001</v>
      </c>
      <c r="H170" s="1">
        <v>1.1214999999999999</v>
      </c>
      <c r="I170" s="1">
        <f t="shared" si="15"/>
        <v>13.3225228</v>
      </c>
      <c r="J170" s="1">
        <v>0.73999999999999899</v>
      </c>
      <c r="K170" s="1">
        <f t="shared" si="16"/>
        <v>14.062522799999998</v>
      </c>
      <c r="L170" s="1"/>
      <c r="M170" s="1"/>
      <c r="N170" s="1"/>
    </row>
    <row r="171" spans="1:14" ht="12.75" x14ac:dyDescent="0.2">
      <c r="A171" s="1" t="s">
        <v>226</v>
      </c>
      <c r="B171" s="96" t="s">
        <v>227</v>
      </c>
      <c r="C171" s="1">
        <v>12.53</v>
      </c>
      <c r="D171" s="1">
        <v>0.9</v>
      </c>
      <c r="E171" s="1">
        <f t="shared" si="13"/>
        <v>13.43</v>
      </c>
      <c r="F171" s="1">
        <v>1.24</v>
      </c>
      <c r="G171" s="1">
        <f t="shared" si="14"/>
        <v>16.653199999999998</v>
      </c>
      <c r="H171" s="1">
        <v>1.1214999999999999</v>
      </c>
      <c r="I171" s="1">
        <f t="shared" si="15"/>
        <v>18.676563799999997</v>
      </c>
      <c r="J171" s="1">
        <v>0.73999999999999899</v>
      </c>
      <c r="K171" s="1">
        <f t="shared" si="16"/>
        <v>19.416563799999995</v>
      </c>
      <c r="L171" s="1"/>
      <c r="M171" s="1"/>
      <c r="N171" s="1"/>
    </row>
    <row r="172" spans="1:14" ht="12.75" x14ac:dyDescent="0.2">
      <c r="A172" s="1" t="s">
        <v>228</v>
      </c>
      <c r="B172" s="96" t="s">
        <v>229</v>
      </c>
      <c r="C172" s="1">
        <v>8.8000000000000007</v>
      </c>
      <c r="D172" s="1">
        <v>0.9</v>
      </c>
      <c r="E172" s="1">
        <f t="shared" si="13"/>
        <v>9.7000000000000011</v>
      </c>
      <c r="F172" s="1">
        <v>1.24</v>
      </c>
      <c r="G172" s="1">
        <f t="shared" si="14"/>
        <v>12.028</v>
      </c>
      <c r="H172" s="1">
        <v>1.1214999999999999</v>
      </c>
      <c r="I172" s="1">
        <f t="shared" si="15"/>
        <v>13.489402</v>
      </c>
      <c r="J172" s="1">
        <v>0.73999999999999899</v>
      </c>
      <c r="K172" s="1">
        <f t="shared" si="16"/>
        <v>14.229401999999999</v>
      </c>
      <c r="L172" s="1"/>
      <c r="M172" s="1"/>
      <c r="N172" s="1"/>
    </row>
    <row r="173" spans="1:14" ht="12.75" x14ac:dyDescent="0.2">
      <c r="A173" s="1" t="s">
        <v>230</v>
      </c>
      <c r="B173" s="96">
        <v>8809532220823</v>
      </c>
      <c r="C173" s="1">
        <v>10.199999999999999</v>
      </c>
      <c r="D173" s="1">
        <v>0.9</v>
      </c>
      <c r="E173" s="1">
        <f t="shared" si="13"/>
        <v>11.1</v>
      </c>
      <c r="F173" s="1">
        <v>1.24</v>
      </c>
      <c r="G173" s="1">
        <f t="shared" si="14"/>
        <v>13.763999999999999</v>
      </c>
      <c r="H173" s="1">
        <v>1.1214999999999999</v>
      </c>
      <c r="I173" s="1">
        <f t="shared" si="15"/>
        <v>15.436325999999999</v>
      </c>
      <c r="J173" s="1">
        <v>0.73999999999999899</v>
      </c>
      <c r="K173" s="1">
        <f t="shared" si="16"/>
        <v>16.176326</v>
      </c>
      <c r="L173" s="1">
        <v>22.01</v>
      </c>
      <c r="M173" s="1"/>
      <c r="N173" s="1"/>
    </row>
    <row r="174" spans="1:14" ht="12.75" x14ac:dyDescent="0.2">
      <c r="A174" s="1" t="s">
        <v>231</v>
      </c>
      <c r="B174" s="96">
        <v>8809657115479</v>
      </c>
      <c r="C174" s="1">
        <v>0</v>
      </c>
      <c r="D174" s="1">
        <v>0.9</v>
      </c>
      <c r="E174" s="1">
        <f t="shared" si="13"/>
        <v>0.9</v>
      </c>
      <c r="F174" s="1">
        <v>1.24</v>
      </c>
      <c r="G174" s="1">
        <f t="shared" si="14"/>
        <v>1.1160000000000001</v>
      </c>
      <c r="H174" s="1">
        <v>1.1214999999999999</v>
      </c>
      <c r="I174" s="1">
        <f t="shared" si="15"/>
        <v>1.2515940000000001</v>
      </c>
      <c r="J174" s="1">
        <v>0.73999999999999899</v>
      </c>
      <c r="K174" s="1">
        <f t="shared" si="16"/>
        <v>1.9915939999999992</v>
      </c>
      <c r="L174" s="1">
        <v>24</v>
      </c>
      <c r="M174" s="1"/>
      <c r="N174" s="1"/>
    </row>
    <row r="175" spans="1:14" ht="12.75" x14ac:dyDescent="0.2">
      <c r="A175" s="1" t="s">
        <v>232</v>
      </c>
      <c r="B175" s="96">
        <v>8700216344722</v>
      </c>
      <c r="C175" s="1">
        <v>29.51</v>
      </c>
      <c r="D175" s="1">
        <v>0.9</v>
      </c>
      <c r="E175" s="1">
        <f t="shared" si="13"/>
        <v>30.41</v>
      </c>
      <c r="F175" s="1">
        <v>1.24</v>
      </c>
      <c r="G175" s="1">
        <f t="shared" si="14"/>
        <v>37.708399999999997</v>
      </c>
      <c r="H175" s="1">
        <v>1.1214999999999999</v>
      </c>
      <c r="I175" s="1">
        <f t="shared" si="15"/>
        <v>42.289970599999997</v>
      </c>
      <c r="J175" s="1">
        <v>1.42</v>
      </c>
      <c r="K175" s="1">
        <f t="shared" si="16"/>
        <v>43.709970599999998</v>
      </c>
      <c r="L175" s="1"/>
      <c r="M175" s="1"/>
      <c r="N175" s="1"/>
    </row>
    <row r="176" spans="1:14" ht="12.75" x14ac:dyDescent="0.2">
      <c r="A176" s="1" t="s">
        <v>233</v>
      </c>
      <c r="B176" s="96">
        <v>5200148860053</v>
      </c>
      <c r="C176" s="1">
        <v>7.05</v>
      </c>
      <c r="D176" s="1">
        <v>0.9</v>
      </c>
      <c r="E176" s="1">
        <f t="shared" si="13"/>
        <v>7.95</v>
      </c>
      <c r="F176" s="1">
        <v>1.24</v>
      </c>
      <c r="G176" s="1">
        <f t="shared" si="14"/>
        <v>9.8580000000000005</v>
      </c>
      <c r="H176" s="1">
        <v>1.1214999999999999</v>
      </c>
      <c r="I176" s="1">
        <f t="shared" si="15"/>
        <v>11.055747</v>
      </c>
      <c r="J176" s="1">
        <v>0.73999999999999899</v>
      </c>
      <c r="K176" s="1">
        <f t="shared" si="16"/>
        <v>11.795746999999999</v>
      </c>
      <c r="L176" s="1"/>
      <c r="M176" s="1"/>
      <c r="N176" s="1"/>
    </row>
    <row r="177" spans="1:14" ht="12.75" x14ac:dyDescent="0.2">
      <c r="A177" s="1" t="s">
        <v>234</v>
      </c>
      <c r="B177" s="96">
        <v>8809657115639</v>
      </c>
      <c r="C177" s="1">
        <v>0</v>
      </c>
      <c r="D177" s="1">
        <v>0.9</v>
      </c>
      <c r="E177" s="1">
        <f t="shared" si="13"/>
        <v>0.9</v>
      </c>
      <c r="F177" s="1">
        <v>1.24</v>
      </c>
      <c r="G177" s="1">
        <f t="shared" si="14"/>
        <v>1.1160000000000001</v>
      </c>
      <c r="H177" s="1">
        <v>1.1214999999999999</v>
      </c>
      <c r="I177" s="1">
        <f t="shared" si="15"/>
        <v>1.2515940000000001</v>
      </c>
      <c r="J177" s="1">
        <v>0.73999999999999899</v>
      </c>
      <c r="K177" s="1">
        <f t="shared" si="16"/>
        <v>1.9915939999999992</v>
      </c>
      <c r="L177" s="1">
        <v>21</v>
      </c>
      <c r="M177" s="1"/>
      <c r="N177" s="1"/>
    </row>
    <row r="178" spans="1:14" ht="12.75" x14ac:dyDescent="0.2">
      <c r="A178" s="1" t="s">
        <v>235</v>
      </c>
      <c r="B178" s="96">
        <v>8809738593103</v>
      </c>
      <c r="C178" s="1">
        <v>12</v>
      </c>
      <c r="D178" s="1">
        <v>0.9</v>
      </c>
      <c r="E178" s="1">
        <f t="shared" si="13"/>
        <v>12.9</v>
      </c>
      <c r="F178" s="1">
        <v>1.24</v>
      </c>
      <c r="G178" s="1">
        <f t="shared" si="14"/>
        <v>15.996</v>
      </c>
      <c r="H178" s="1">
        <v>1.1214999999999999</v>
      </c>
      <c r="I178" s="1">
        <f t="shared" si="15"/>
        <v>17.939513999999999</v>
      </c>
      <c r="J178" s="1">
        <v>0.73999999999999899</v>
      </c>
      <c r="K178" s="1">
        <f t="shared" si="16"/>
        <v>18.679513999999998</v>
      </c>
      <c r="L178" s="1">
        <v>19</v>
      </c>
      <c r="M178" s="1"/>
      <c r="N178" s="1"/>
    </row>
    <row r="179" spans="1:14" ht="12.75" x14ac:dyDescent="0.2">
      <c r="A179" s="1" t="s">
        <v>236</v>
      </c>
      <c r="B179" s="96">
        <v>5205152015505</v>
      </c>
      <c r="C179" s="1">
        <v>5.64</v>
      </c>
      <c r="D179" s="1">
        <v>0.3</v>
      </c>
      <c r="E179" s="1">
        <f t="shared" si="13"/>
        <v>5.9399999999999995</v>
      </c>
      <c r="F179" s="1">
        <v>1.24</v>
      </c>
      <c r="G179" s="1">
        <f t="shared" si="14"/>
        <v>7.3655999999999997</v>
      </c>
      <c r="H179" s="1">
        <v>1.1214999999999999</v>
      </c>
      <c r="I179" s="1">
        <f t="shared" si="15"/>
        <v>8.260520399999999</v>
      </c>
      <c r="J179" s="1">
        <v>1.42</v>
      </c>
      <c r="K179" s="1">
        <f t="shared" si="16"/>
        <v>9.6805203999999989</v>
      </c>
      <c r="L179" s="1"/>
      <c r="M179" s="1"/>
      <c r="N179" s="1"/>
    </row>
    <row r="180" spans="1:14" ht="12.75" x14ac:dyDescent="0.2">
      <c r="A180" s="1" t="s">
        <v>237</v>
      </c>
      <c r="B180" s="96">
        <v>5203069129186</v>
      </c>
      <c r="C180" s="1">
        <v>9.99</v>
      </c>
      <c r="D180" s="1">
        <v>0.9</v>
      </c>
      <c r="E180" s="1">
        <f t="shared" si="13"/>
        <v>10.89</v>
      </c>
      <c r="F180" s="1">
        <v>1.24</v>
      </c>
      <c r="G180" s="1">
        <f t="shared" si="14"/>
        <v>13.5036</v>
      </c>
      <c r="H180" s="1">
        <v>1.1214999999999999</v>
      </c>
      <c r="I180" s="1">
        <f t="shared" si="15"/>
        <v>15.1442874</v>
      </c>
      <c r="J180" s="1">
        <v>0.73999999999999899</v>
      </c>
      <c r="K180" s="1">
        <f t="shared" si="16"/>
        <v>15.884287399999998</v>
      </c>
      <c r="L180" s="1"/>
      <c r="M180" s="1"/>
      <c r="N180" s="1"/>
    </row>
    <row r="181" spans="1:14" ht="12.75" x14ac:dyDescent="0.2">
      <c r="A181" s="1" t="s">
        <v>238</v>
      </c>
      <c r="B181" s="96">
        <v>4260057880079</v>
      </c>
      <c r="C181" s="1">
        <v>28.5</v>
      </c>
      <c r="D181" s="1">
        <v>0.9</v>
      </c>
      <c r="E181" s="1">
        <f t="shared" si="13"/>
        <v>29.4</v>
      </c>
      <c r="F181" s="1">
        <v>1.24</v>
      </c>
      <c r="G181" s="1">
        <f t="shared" si="14"/>
        <v>36.455999999999996</v>
      </c>
      <c r="H181" s="1">
        <v>1.1214999999999999</v>
      </c>
      <c r="I181" s="1">
        <f t="shared" si="15"/>
        <v>40.885403999999994</v>
      </c>
      <c r="J181" s="1">
        <v>1.49</v>
      </c>
      <c r="K181" s="1">
        <f t="shared" si="16"/>
        <v>42.375403999999996</v>
      </c>
      <c r="L181" s="1"/>
      <c r="M181" s="1"/>
      <c r="N181" s="1"/>
    </row>
    <row r="182" spans="1:14" ht="12.75" x14ac:dyDescent="0.2">
      <c r="A182" s="1" t="s">
        <v>239</v>
      </c>
      <c r="B182" s="96">
        <v>8700216762472</v>
      </c>
      <c r="C182" s="1">
        <v>16.55</v>
      </c>
      <c r="D182" s="1">
        <v>0.9</v>
      </c>
      <c r="E182" s="1">
        <f t="shared" si="13"/>
        <v>17.45</v>
      </c>
      <c r="F182" s="1">
        <v>1.06</v>
      </c>
      <c r="G182" s="1">
        <f t="shared" si="14"/>
        <v>18.497</v>
      </c>
      <c r="H182" s="1">
        <v>1.1214999999999999</v>
      </c>
      <c r="I182" s="1">
        <f t="shared" si="15"/>
        <v>20.7443855</v>
      </c>
      <c r="J182" s="1">
        <v>1.49</v>
      </c>
      <c r="K182" s="1">
        <f t="shared" si="16"/>
        <v>22.234385499999998</v>
      </c>
      <c r="L182" s="1"/>
      <c r="M182" s="1"/>
      <c r="N182" s="1"/>
    </row>
    <row r="183" spans="1:14" ht="12.75" x14ac:dyDescent="0.2">
      <c r="A183" s="1" t="s">
        <v>240</v>
      </c>
      <c r="B183" s="96">
        <v>8700216528634</v>
      </c>
      <c r="C183" s="1">
        <v>7.34</v>
      </c>
      <c r="D183" s="1">
        <v>0.9</v>
      </c>
      <c r="E183" s="1">
        <f t="shared" si="13"/>
        <v>8.24</v>
      </c>
      <c r="F183" s="1">
        <v>1.06</v>
      </c>
      <c r="G183" s="1">
        <f t="shared" si="14"/>
        <v>8.7344000000000008</v>
      </c>
      <c r="H183" s="1">
        <v>1.1214999999999999</v>
      </c>
      <c r="I183" s="1">
        <f t="shared" si="15"/>
        <v>9.7956295999999998</v>
      </c>
      <c r="J183" s="1">
        <v>0.73999999999999899</v>
      </c>
      <c r="K183" s="1">
        <f t="shared" si="16"/>
        <v>10.535629599999998</v>
      </c>
      <c r="L183" s="1"/>
      <c r="M183" s="1"/>
      <c r="N183" s="1"/>
    </row>
    <row r="184" spans="1:14" ht="12.75" x14ac:dyDescent="0.2">
      <c r="A184" s="1" t="s">
        <v>241</v>
      </c>
      <c r="B184" s="96">
        <v>4015600816117</v>
      </c>
      <c r="C184" s="1">
        <v>6.2</v>
      </c>
      <c r="D184" s="1">
        <v>0.9</v>
      </c>
      <c r="E184" s="1">
        <f t="shared" si="13"/>
        <v>7.1000000000000005</v>
      </c>
      <c r="F184" s="1">
        <v>1.06</v>
      </c>
      <c r="G184" s="1">
        <f t="shared" si="14"/>
        <v>7.5260000000000007</v>
      </c>
      <c r="H184" s="1">
        <v>1.1214999999999999</v>
      </c>
      <c r="I184" s="1">
        <f t="shared" si="15"/>
        <v>8.4404090000000007</v>
      </c>
      <c r="J184" s="1">
        <v>0.73999999999999899</v>
      </c>
      <c r="K184" s="1">
        <f t="shared" si="16"/>
        <v>9.1804089999999992</v>
      </c>
      <c r="L184" s="1"/>
      <c r="M184" s="1"/>
      <c r="N184" s="1"/>
    </row>
    <row r="185" spans="1:14" ht="12.75" x14ac:dyDescent="0.2">
      <c r="A185" s="1" t="s">
        <v>242</v>
      </c>
      <c r="B185" s="96" t="s">
        <v>243</v>
      </c>
      <c r="C185" s="1">
        <v>13.68</v>
      </c>
      <c r="D185" s="1">
        <v>0.9</v>
      </c>
      <c r="E185" s="1">
        <f t="shared" si="13"/>
        <v>14.58</v>
      </c>
      <c r="F185" s="1">
        <v>1.24</v>
      </c>
      <c r="G185" s="1">
        <f t="shared" si="14"/>
        <v>18.0792</v>
      </c>
      <c r="H185" s="1">
        <v>1.1214999999999999</v>
      </c>
      <c r="I185" s="1">
        <f t="shared" si="15"/>
        <v>20.2758228</v>
      </c>
      <c r="J185" s="1">
        <v>0.73999999999999899</v>
      </c>
      <c r="K185" s="1">
        <f t="shared" si="16"/>
        <v>21.015822799999999</v>
      </c>
      <c r="L185" s="1"/>
      <c r="M185" s="1"/>
      <c r="N185" s="1"/>
    </row>
    <row r="186" spans="1:14" ht="12.75" x14ac:dyDescent="0.2">
      <c r="A186" s="1" t="s">
        <v>244</v>
      </c>
      <c r="B186" s="96" t="s">
        <v>245</v>
      </c>
      <c r="C186" s="1">
        <v>7.2</v>
      </c>
      <c r="D186" s="1">
        <v>0.35</v>
      </c>
      <c r="E186" s="1">
        <f t="shared" si="13"/>
        <v>7.55</v>
      </c>
      <c r="F186" s="1">
        <v>1.24</v>
      </c>
      <c r="G186" s="1">
        <f t="shared" si="14"/>
        <v>9.3620000000000001</v>
      </c>
      <c r="H186" s="1">
        <v>1.1214999999999999</v>
      </c>
      <c r="I186" s="1">
        <f t="shared" si="15"/>
        <v>10.499483</v>
      </c>
      <c r="J186" s="1">
        <v>0.73999999999999899</v>
      </c>
      <c r="K186" s="1">
        <f t="shared" si="16"/>
        <v>11.239482999999998</v>
      </c>
      <c r="L186" s="1"/>
      <c r="M186" s="1"/>
      <c r="N186" s="1"/>
    </row>
    <row r="187" spans="1:14" ht="12.75" x14ac:dyDescent="0.2">
      <c r="A187" s="1" t="s">
        <v>246</v>
      </c>
      <c r="B187" s="96" t="s">
        <v>247</v>
      </c>
      <c r="C187" s="1">
        <v>6.84</v>
      </c>
      <c r="D187" s="1">
        <v>0.5</v>
      </c>
      <c r="E187" s="1">
        <f t="shared" si="13"/>
        <v>7.34</v>
      </c>
      <c r="F187" s="1">
        <v>1.24</v>
      </c>
      <c r="G187" s="1">
        <f t="shared" si="14"/>
        <v>9.1015999999999995</v>
      </c>
      <c r="H187" s="1">
        <v>1.1214999999999999</v>
      </c>
      <c r="I187" s="1">
        <f t="shared" si="15"/>
        <v>10.207444399999998</v>
      </c>
      <c r="J187" s="1">
        <v>0.73999999999999899</v>
      </c>
      <c r="K187" s="1">
        <f t="shared" si="16"/>
        <v>10.947444399999997</v>
      </c>
      <c r="L187" s="1"/>
      <c r="M187" s="1"/>
      <c r="N187" s="1"/>
    </row>
    <row r="188" spans="1:14" ht="12.75" x14ac:dyDescent="0.2">
      <c r="A188" s="1" t="s">
        <v>248</v>
      </c>
      <c r="B188" s="96">
        <v>8700216528672</v>
      </c>
      <c r="C188" s="1">
        <v>6.2</v>
      </c>
      <c r="D188" s="1">
        <v>0.6</v>
      </c>
      <c r="E188" s="1">
        <f t="shared" si="13"/>
        <v>6.8</v>
      </c>
      <c r="F188" s="1">
        <v>1.06</v>
      </c>
      <c r="G188" s="1">
        <f t="shared" si="14"/>
        <v>7.2080000000000002</v>
      </c>
      <c r="H188" s="1">
        <v>1.1214999999999999</v>
      </c>
      <c r="I188" s="1">
        <f t="shared" si="15"/>
        <v>8.0837719999999997</v>
      </c>
      <c r="J188" s="1">
        <v>0.45</v>
      </c>
      <c r="K188" s="1">
        <f t="shared" si="16"/>
        <v>8.533771999999999</v>
      </c>
      <c r="L188" s="1"/>
      <c r="M188" s="1"/>
      <c r="N188" s="1"/>
    </row>
    <row r="189" spans="1:14" ht="12.75" x14ac:dyDescent="0.2">
      <c r="A189" s="1" t="s">
        <v>251</v>
      </c>
      <c r="B189" s="96" t="s">
        <v>252</v>
      </c>
      <c r="C189" s="1">
        <v>7.41</v>
      </c>
      <c r="D189" s="1">
        <v>0.9</v>
      </c>
      <c r="E189" s="1">
        <f t="shared" si="13"/>
        <v>8.31</v>
      </c>
      <c r="F189" s="1">
        <v>1.24</v>
      </c>
      <c r="G189" s="1">
        <f t="shared" si="14"/>
        <v>10.304400000000001</v>
      </c>
      <c r="H189" s="1">
        <v>1.1214999999999999</v>
      </c>
      <c r="I189" s="1">
        <f t="shared" si="15"/>
        <v>11.556384600000001</v>
      </c>
      <c r="J189" s="1">
        <v>1.49</v>
      </c>
      <c r="K189" s="1">
        <f t="shared" si="16"/>
        <v>13.046384600000001</v>
      </c>
      <c r="L189" s="1"/>
      <c r="M189" s="1"/>
      <c r="N189" s="1"/>
    </row>
    <row r="190" spans="1:14" ht="12.75" x14ac:dyDescent="0.2">
      <c r="A190" s="1" t="s">
        <v>253</v>
      </c>
      <c r="B190" s="96" t="s">
        <v>254</v>
      </c>
      <c r="C190" s="1">
        <v>6.67</v>
      </c>
      <c r="D190" s="1">
        <v>0.9</v>
      </c>
      <c r="E190" s="1">
        <f t="shared" si="13"/>
        <v>7.57</v>
      </c>
      <c r="F190" s="1">
        <v>1.24</v>
      </c>
      <c r="G190" s="1">
        <f t="shared" si="14"/>
        <v>9.3868000000000009</v>
      </c>
      <c r="H190" s="1">
        <v>1.1214999999999999</v>
      </c>
      <c r="I190" s="1">
        <f t="shared" si="15"/>
        <v>10.5272962</v>
      </c>
      <c r="J190" s="1">
        <v>1.49</v>
      </c>
      <c r="K190" s="1">
        <f t="shared" si="16"/>
        <v>12.017296200000001</v>
      </c>
      <c r="L190" s="1"/>
      <c r="M190" s="1"/>
      <c r="N190" s="1"/>
    </row>
    <row r="191" spans="1:14" ht="12.75" x14ac:dyDescent="0.2">
      <c r="A191" s="1" t="s">
        <v>255</v>
      </c>
      <c r="B191" s="96" t="s">
        <v>256</v>
      </c>
      <c r="C191" s="1">
        <v>6.96</v>
      </c>
      <c r="D191" s="1">
        <v>0.9</v>
      </c>
      <c r="E191" s="1">
        <f t="shared" si="13"/>
        <v>7.86</v>
      </c>
      <c r="F191" s="1">
        <v>1.24</v>
      </c>
      <c r="G191" s="1">
        <f t="shared" si="14"/>
        <v>9.7463999999999995</v>
      </c>
      <c r="H191" s="1">
        <v>1.1214999999999999</v>
      </c>
      <c r="I191" s="1">
        <f t="shared" si="15"/>
        <v>10.930587599999999</v>
      </c>
      <c r="J191" s="1">
        <v>0.73999999999999899</v>
      </c>
      <c r="K191" s="1">
        <f t="shared" si="16"/>
        <v>11.670587599999998</v>
      </c>
      <c r="L191" s="1"/>
      <c r="M191" s="1"/>
      <c r="N191" s="1"/>
    </row>
    <row r="192" spans="1:14" ht="12.75" x14ac:dyDescent="0.2">
      <c r="A192" s="1" t="s">
        <v>257</v>
      </c>
      <c r="B192" s="96" t="s">
        <v>258</v>
      </c>
      <c r="C192" s="1">
        <v>10.45</v>
      </c>
      <c r="D192" s="1">
        <v>0.9</v>
      </c>
      <c r="E192" s="1">
        <f t="shared" si="13"/>
        <v>11.35</v>
      </c>
      <c r="F192" s="1">
        <v>1.24</v>
      </c>
      <c r="G192" s="1">
        <f t="shared" si="14"/>
        <v>14.074</v>
      </c>
      <c r="H192" s="1">
        <v>1.1214999999999999</v>
      </c>
      <c r="I192" s="1">
        <f t="shared" si="15"/>
        <v>15.783990999999999</v>
      </c>
      <c r="J192" s="1">
        <v>0.73999999999999899</v>
      </c>
      <c r="K192" s="1">
        <f t="shared" si="16"/>
        <v>16.523990999999999</v>
      </c>
      <c r="L192" s="1"/>
      <c r="M192" s="1"/>
      <c r="N192" s="1"/>
    </row>
    <row r="193" spans="1:14" ht="12.75" x14ac:dyDescent="0.2">
      <c r="A193" s="1" t="s">
        <v>259</v>
      </c>
      <c r="B193" s="96" t="s">
        <v>260</v>
      </c>
      <c r="C193" s="1">
        <v>3.09</v>
      </c>
      <c r="D193" s="1">
        <v>0.9</v>
      </c>
      <c r="E193" s="1">
        <f t="shared" si="13"/>
        <v>3.9899999999999998</v>
      </c>
      <c r="F193" s="1">
        <v>1.24</v>
      </c>
      <c r="G193" s="1">
        <f t="shared" si="14"/>
        <v>4.9475999999999996</v>
      </c>
      <c r="H193" s="1">
        <v>1.1214999999999999</v>
      </c>
      <c r="I193" s="1">
        <f t="shared" si="15"/>
        <v>5.5487333999999988</v>
      </c>
      <c r="J193" s="1">
        <v>0.25</v>
      </c>
      <c r="K193" s="1">
        <f t="shared" si="16"/>
        <v>5.7987333999999988</v>
      </c>
      <c r="L193" s="1"/>
      <c r="M193" s="1"/>
      <c r="N193" s="1"/>
    </row>
    <row r="194" spans="1:14" ht="12.75" x14ac:dyDescent="0.2">
      <c r="A194" s="1" t="s">
        <v>261</v>
      </c>
      <c r="B194" s="96" t="s">
        <v>262</v>
      </c>
      <c r="C194" s="1">
        <v>4.72</v>
      </c>
      <c r="D194" s="1">
        <v>0.55000000000000004</v>
      </c>
      <c r="E194" s="1">
        <f t="shared" si="13"/>
        <v>5.27</v>
      </c>
      <c r="F194" s="1">
        <v>1.1299999999999999</v>
      </c>
      <c r="G194" s="1">
        <f t="shared" si="14"/>
        <v>5.9550999999999989</v>
      </c>
      <c r="H194" s="1">
        <v>1.1214999999999999</v>
      </c>
      <c r="I194" s="1">
        <f t="shared" si="15"/>
        <v>6.6786446499999981</v>
      </c>
      <c r="J194" s="1">
        <v>0.25</v>
      </c>
      <c r="K194" s="1">
        <f t="shared" si="16"/>
        <v>6.9286446499999981</v>
      </c>
      <c r="L194" s="1"/>
      <c r="M194" s="1"/>
      <c r="N194" s="1"/>
    </row>
    <row r="195" spans="1:14" ht="12.75" x14ac:dyDescent="0.2">
      <c r="A195" s="1" t="s">
        <v>263</v>
      </c>
      <c r="B195" s="96" t="s">
        <v>264</v>
      </c>
      <c r="C195" s="1">
        <v>6.78</v>
      </c>
      <c r="D195" s="1">
        <v>0.9</v>
      </c>
      <c r="E195" s="1">
        <f t="shared" si="13"/>
        <v>7.6800000000000006</v>
      </c>
      <c r="F195" s="1">
        <v>1.1299999999999999</v>
      </c>
      <c r="G195" s="1">
        <f t="shared" si="14"/>
        <v>8.6783999999999999</v>
      </c>
      <c r="H195" s="1">
        <v>1.1214999999999999</v>
      </c>
      <c r="I195" s="1">
        <f t="shared" si="15"/>
        <v>9.7328256</v>
      </c>
      <c r="J195" s="1">
        <v>0.73999999999999899</v>
      </c>
      <c r="K195" s="1">
        <f t="shared" si="16"/>
        <v>10.472825599999998</v>
      </c>
      <c r="L195" s="1"/>
      <c r="M195" s="1"/>
      <c r="N195" s="1"/>
    </row>
    <row r="196" spans="1:14" ht="12.75" x14ac:dyDescent="0.2">
      <c r="A196" s="1" t="s">
        <v>265</v>
      </c>
      <c r="B196" s="96" t="s">
        <v>266</v>
      </c>
      <c r="C196" s="1">
        <v>7.74</v>
      </c>
      <c r="D196" s="1">
        <v>0.45</v>
      </c>
      <c r="E196" s="1">
        <f t="shared" si="13"/>
        <v>8.19</v>
      </c>
      <c r="F196" s="1">
        <v>1.24</v>
      </c>
      <c r="G196" s="1">
        <f t="shared" si="14"/>
        <v>10.1556</v>
      </c>
      <c r="H196" s="1">
        <v>1.1214999999999999</v>
      </c>
      <c r="I196" s="1">
        <f t="shared" si="15"/>
        <v>11.389505399999999</v>
      </c>
      <c r="J196" s="1">
        <v>0.73999999999999899</v>
      </c>
      <c r="K196" s="1">
        <f t="shared" si="16"/>
        <v>12.129505399999998</v>
      </c>
      <c r="L196" s="1"/>
      <c r="M196" s="1"/>
      <c r="N196" s="1"/>
    </row>
    <row r="197" spans="1:14" ht="12.75" x14ac:dyDescent="0.2">
      <c r="A197" s="1" t="s">
        <v>267</v>
      </c>
      <c r="B197" s="96" t="s">
        <v>268</v>
      </c>
      <c r="C197" s="1">
        <v>3.78</v>
      </c>
      <c r="D197" s="1">
        <v>0.4</v>
      </c>
      <c r="E197" s="1">
        <f t="shared" si="13"/>
        <v>4.18</v>
      </c>
      <c r="F197" s="1">
        <v>1.24</v>
      </c>
      <c r="G197" s="1">
        <f t="shared" si="14"/>
        <v>5.1831999999999994</v>
      </c>
      <c r="H197" s="1">
        <v>1.1214999999999999</v>
      </c>
      <c r="I197" s="1">
        <f t="shared" si="15"/>
        <v>5.8129587999999988</v>
      </c>
      <c r="J197" s="1">
        <v>0.25</v>
      </c>
      <c r="K197" s="1">
        <f t="shared" si="16"/>
        <v>6.0629587999999988</v>
      </c>
      <c r="L197" s="1"/>
      <c r="M197" s="1"/>
      <c r="N197" s="1"/>
    </row>
    <row r="198" spans="1:14" ht="12.75" x14ac:dyDescent="0.2">
      <c r="A198" s="1" t="s">
        <v>269</v>
      </c>
      <c r="B198" s="96" t="s">
        <v>270</v>
      </c>
      <c r="C198" s="1">
        <v>4.79</v>
      </c>
      <c r="D198" s="1">
        <v>0.5</v>
      </c>
      <c r="E198" s="1">
        <f t="shared" si="13"/>
        <v>5.29</v>
      </c>
      <c r="F198" s="1">
        <v>1.24</v>
      </c>
      <c r="G198" s="1">
        <f t="shared" si="14"/>
        <v>6.5595999999999997</v>
      </c>
      <c r="H198" s="1">
        <v>1.1214999999999999</v>
      </c>
      <c r="I198" s="1">
        <f t="shared" si="15"/>
        <v>7.3565913999999992</v>
      </c>
      <c r="J198" s="1">
        <v>0.44</v>
      </c>
      <c r="K198" s="1">
        <f t="shared" si="16"/>
        <v>7.7965913999999996</v>
      </c>
      <c r="L198" s="1"/>
      <c r="M198" s="1"/>
      <c r="N198" s="1"/>
    </row>
    <row r="199" spans="1:14" ht="12.75" x14ac:dyDescent="0.2">
      <c r="A199" s="1" t="s">
        <v>271</v>
      </c>
      <c r="B199" s="96" t="s">
        <v>272</v>
      </c>
      <c r="C199" s="1">
        <v>10.75</v>
      </c>
      <c r="D199" s="1">
        <v>0.9</v>
      </c>
      <c r="E199" s="1">
        <f t="shared" si="13"/>
        <v>11.65</v>
      </c>
      <c r="F199" s="1">
        <v>1.24</v>
      </c>
      <c r="G199" s="1">
        <f t="shared" si="14"/>
        <v>14.446</v>
      </c>
      <c r="H199" s="1">
        <v>1.1214999999999999</v>
      </c>
      <c r="I199" s="1">
        <f t="shared" si="15"/>
        <v>16.201188999999999</v>
      </c>
      <c r="J199" s="1">
        <v>0.73999999999999899</v>
      </c>
      <c r="K199" s="1">
        <f t="shared" si="16"/>
        <v>16.941188999999998</v>
      </c>
      <c r="L199" s="1">
        <v>17.22</v>
      </c>
      <c r="M199" s="1"/>
      <c r="N199" s="1"/>
    </row>
    <row r="200" spans="1:14" ht="12.75" x14ac:dyDescent="0.2">
      <c r="A200" s="1" t="s">
        <v>273</v>
      </c>
      <c r="B200" s="96" t="s">
        <v>274</v>
      </c>
      <c r="C200" s="1">
        <v>7.35</v>
      </c>
      <c r="D200" s="1">
        <v>0.9</v>
      </c>
      <c r="E200" s="1">
        <f t="shared" si="13"/>
        <v>8.25</v>
      </c>
      <c r="F200" s="1">
        <v>1.24</v>
      </c>
      <c r="G200" s="1">
        <f t="shared" si="14"/>
        <v>10.23</v>
      </c>
      <c r="H200" s="1">
        <v>1.1214999999999999</v>
      </c>
      <c r="I200" s="1">
        <f t="shared" si="15"/>
        <v>11.472944999999999</v>
      </c>
      <c r="J200" s="1">
        <v>0.73999999999999899</v>
      </c>
      <c r="K200" s="1">
        <f t="shared" si="16"/>
        <v>12.212944999999998</v>
      </c>
      <c r="L200" s="1"/>
      <c r="M200" s="1"/>
      <c r="N200" s="1"/>
    </row>
    <row r="201" spans="1:14" ht="12.75" x14ac:dyDescent="0.2">
      <c r="A201" s="1" t="s">
        <v>275</v>
      </c>
      <c r="B201" s="96" t="s">
        <v>276</v>
      </c>
      <c r="C201" s="1">
        <v>0</v>
      </c>
      <c r="D201" s="1">
        <v>0.9</v>
      </c>
      <c r="E201" s="1">
        <f t="shared" si="13"/>
        <v>0.9</v>
      </c>
      <c r="F201" s="1">
        <v>1.24</v>
      </c>
      <c r="G201" s="1">
        <f t="shared" si="14"/>
        <v>1.1160000000000001</v>
      </c>
      <c r="H201" s="1">
        <v>1.1214999999999999</v>
      </c>
      <c r="I201" s="1">
        <f t="shared" si="15"/>
        <v>1.2515940000000001</v>
      </c>
      <c r="J201" s="1">
        <v>0.73999999999999899</v>
      </c>
      <c r="K201" s="1">
        <f t="shared" si="16"/>
        <v>1.9915939999999992</v>
      </c>
      <c r="L201" s="1">
        <v>7.65</v>
      </c>
      <c r="M201" s="1"/>
      <c r="N201" s="1"/>
    </row>
    <row r="202" spans="1:14" ht="12.75" x14ac:dyDescent="0.2">
      <c r="A202" s="1" t="s">
        <v>277</v>
      </c>
      <c r="B202" s="96" t="s">
        <v>278</v>
      </c>
      <c r="C202" s="1">
        <v>0</v>
      </c>
      <c r="D202" s="1">
        <v>0.9</v>
      </c>
      <c r="E202" s="1">
        <f t="shared" si="13"/>
        <v>0.9</v>
      </c>
      <c r="F202" s="1">
        <v>1.24</v>
      </c>
      <c r="G202" s="1">
        <f t="shared" si="14"/>
        <v>1.1160000000000001</v>
      </c>
      <c r="H202" s="1">
        <v>1.1214999999999999</v>
      </c>
      <c r="I202" s="1">
        <f t="shared" si="15"/>
        <v>1.2515940000000001</v>
      </c>
      <c r="J202" s="1">
        <v>0.73999999999999899</v>
      </c>
      <c r="K202" s="1">
        <f t="shared" si="16"/>
        <v>1.9915939999999992</v>
      </c>
      <c r="L202" s="1">
        <v>15.8</v>
      </c>
      <c r="M202" s="1"/>
      <c r="N202" s="1"/>
    </row>
    <row r="203" spans="1:14" ht="12.75" x14ac:dyDescent="0.2">
      <c r="A203" s="1" t="s">
        <v>279</v>
      </c>
      <c r="B203" s="96">
        <v>5201100690695</v>
      </c>
      <c r="C203" s="1">
        <v>0</v>
      </c>
      <c r="D203" s="1">
        <v>0.9</v>
      </c>
      <c r="E203" s="1">
        <f t="shared" si="13"/>
        <v>0.9</v>
      </c>
      <c r="F203" s="1">
        <v>1.24</v>
      </c>
      <c r="G203" s="1">
        <f t="shared" si="14"/>
        <v>1.1160000000000001</v>
      </c>
      <c r="H203" s="1">
        <v>1.1214999999999999</v>
      </c>
      <c r="I203" s="1">
        <f t="shared" si="15"/>
        <v>1.2515940000000001</v>
      </c>
      <c r="J203" s="1">
        <v>0.25</v>
      </c>
      <c r="K203" s="1">
        <f t="shared" si="16"/>
        <v>1.5015940000000001</v>
      </c>
      <c r="L203" s="1">
        <v>14.98</v>
      </c>
      <c r="M203" s="1"/>
      <c r="N203" s="1"/>
    </row>
    <row r="204" spans="1:14" ht="12.75" x14ac:dyDescent="0.2">
      <c r="A204" s="1" t="s">
        <v>280</v>
      </c>
      <c r="B204" s="96" t="s">
        <v>281</v>
      </c>
      <c r="C204" s="1">
        <v>11.93</v>
      </c>
      <c r="D204" s="1">
        <v>0.9</v>
      </c>
      <c r="E204" s="1">
        <f t="shared" si="13"/>
        <v>12.83</v>
      </c>
      <c r="F204" s="1">
        <v>1.24</v>
      </c>
      <c r="G204" s="1">
        <f t="shared" si="14"/>
        <v>15.9092</v>
      </c>
      <c r="H204" s="1">
        <v>1.1214999999999999</v>
      </c>
      <c r="I204" s="1">
        <f t="shared" si="15"/>
        <v>17.842167799999999</v>
      </c>
      <c r="J204" s="1">
        <v>0.73999999999999899</v>
      </c>
      <c r="K204" s="1">
        <f t="shared" si="16"/>
        <v>18.582167799999997</v>
      </c>
      <c r="L204" s="1">
        <v>18.55</v>
      </c>
      <c r="M204" s="1"/>
      <c r="N204" s="1"/>
    </row>
    <row r="205" spans="1:14" ht="12.75" x14ac:dyDescent="0.2">
      <c r="A205" s="1" t="s">
        <v>282</v>
      </c>
      <c r="B205" s="96" t="s">
        <v>283</v>
      </c>
      <c r="C205" s="1">
        <v>14.11</v>
      </c>
      <c r="D205" s="1">
        <v>0.9</v>
      </c>
      <c r="E205" s="1">
        <f t="shared" si="13"/>
        <v>15.01</v>
      </c>
      <c r="F205" s="1">
        <v>1.24</v>
      </c>
      <c r="G205" s="1">
        <f t="shared" si="14"/>
        <v>18.612400000000001</v>
      </c>
      <c r="H205" s="1">
        <v>1.1214999999999999</v>
      </c>
      <c r="I205" s="1">
        <f t="shared" si="15"/>
        <v>20.873806599999998</v>
      </c>
      <c r="J205" s="1">
        <v>0.73999999999999899</v>
      </c>
      <c r="K205" s="1">
        <f t="shared" si="16"/>
        <v>21.613806599999997</v>
      </c>
      <c r="L205" s="1">
        <v>23.97</v>
      </c>
      <c r="M205" s="1"/>
      <c r="N205" s="1"/>
    </row>
    <row r="206" spans="1:14" ht="12.75" x14ac:dyDescent="0.2">
      <c r="A206" s="1" t="s">
        <v>285</v>
      </c>
      <c r="B206" s="96">
        <v>8032472011613</v>
      </c>
      <c r="C206" s="1">
        <v>6.28</v>
      </c>
      <c r="D206" s="1">
        <v>0.6</v>
      </c>
      <c r="E206" s="1">
        <f t="shared" si="13"/>
        <v>6.88</v>
      </c>
      <c r="F206" s="1">
        <v>1.24</v>
      </c>
      <c r="G206" s="1">
        <f t="shared" si="14"/>
        <v>8.5312000000000001</v>
      </c>
      <c r="H206" s="1">
        <v>1.1214999999999999</v>
      </c>
      <c r="I206" s="1">
        <f t="shared" si="15"/>
        <v>9.5677407999999993</v>
      </c>
      <c r="J206" s="1">
        <v>0.42</v>
      </c>
      <c r="K206" s="1">
        <f t="shared" si="16"/>
        <v>9.9877407999999992</v>
      </c>
      <c r="L206" s="1"/>
      <c r="M206" s="1"/>
      <c r="N206" s="1"/>
    </row>
    <row r="207" spans="1:14" ht="14.25" x14ac:dyDescent="0.2">
      <c r="A207" s="5" t="s">
        <v>286</v>
      </c>
      <c r="B207" s="103">
        <v>8032472016212</v>
      </c>
      <c r="C207" s="5">
        <v>5.87</v>
      </c>
      <c r="D207" s="5">
        <v>0.9</v>
      </c>
      <c r="E207" s="5">
        <f t="shared" si="13"/>
        <v>6.7700000000000005</v>
      </c>
      <c r="F207" s="5">
        <v>1.24</v>
      </c>
      <c r="G207" s="5">
        <f t="shared" si="14"/>
        <v>8.3948</v>
      </c>
      <c r="H207" s="5">
        <v>1.1214999999999999</v>
      </c>
      <c r="I207" s="5">
        <f t="shared" si="15"/>
        <v>9.4147681999999993</v>
      </c>
      <c r="J207" s="5">
        <v>0.42</v>
      </c>
      <c r="K207" s="5">
        <f t="shared" si="16"/>
        <v>9.8347681999999992</v>
      </c>
      <c r="L207" s="5"/>
      <c r="M207" s="5"/>
      <c r="N207" s="5"/>
    </row>
    <row r="208" spans="1:14" ht="12.75" x14ac:dyDescent="0.2">
      <c r="A208" s="6" t="s">
        <v>287</v>
      </c>
      <c r="B208" s="71" t="s">
        <v>288</v>
      </c>
      <c r="C208" s="5">
        <v>7.02</v>
      </c>
      <c r="D208" s="5">
        <v>0.9</v>
      </c>
      <c r="E208" s="5">
        <f t="shared" si="13"/>
        <v>7.92</v>
      </c>
      <c r="F208" s="5">
        <v>1.24</v>
      </c>
      <c r="G208" s="5">
        <f t="shared" si="14"/>
        <v>9.8208000000000002</v>
      </c>
      <c r="H208" s="5">
        <v>1.1214999999999999</v>
      </c>
      <c r="I208" s="5">
        <f t="shared" si="15"/>
        <v>11.014027199999999</v>
      </c>
      <c r="J208" s="5">
        <v>0.73999999999999899</v>
      </c>
      <c r="K208" s="5">
        <f t="shared" si="16"/>
        <v>11.754027199999998</v>
      </c>
      <c r="L208" s="5"/>
      <c r="M208" s="5"/>
      <c r="N208" s="5"/>
    </row>
    <row r="209" spans="1:14" ht="12.75" x14ac:dyDescent="0.2">
      <c r="A209" s="6" t="s">
        <v>289</v>
      </c>
      <c r="B209" s="71" t="s">
        <v>290</v>
      </c>
      <c r="C209" s="5">
        <v>4.45</v>
      </c>
      <c r="D209" s="5">
        <v>0.6</v>
      </c>
      <c r="E209" s="5">
        <f t="shared" si="13"/>
        <v>5.05</v>
      </c>
      <c r="F209" s="5">
        <v>1.24</v>
      </c>
      <c r="G209" s="5">
        <f t="shared" si="14"/>
        <v>6.2619999999999996</v>
      </c>
      <c r="H209" s="5">
        <v>1.1214999999999999</v>
      </c>
      <c r="I209" s="5">
        <f t="shared" si="15"/>
        <v>7.0228329999999994</v>
      </c>
      <c r="J209" s="5">
        <v>0.42</v>
      </c>
      <c r="K209" s="5">
        <f t="shared" si="16"/>
        <v>7.4428329999999994</v>
      </c>
      <c r="L209" s="5"/>
      <c r="M209" s="5"/>
      <c r="N209" s="5"/>
    </row>
    <row r="210" spans="1:14" ht="12.75" x14ac:dyDescent="0.2">
      <c r="A210" s="6" t="s">
        <v>291</v>
      </c>
      <c r="B210" s="71" t="s">
        <v>292</v>
      </c>
      <c r="C210" s="5">
        <v>6.91</v>
      </c>
      <c r="D210" s="5">
        <v>0.6</v>
      </c>
      <c r="E210" s="5">
        <f t="shared" si="13"/>
        <v>7.51</v>
      </c>
      <c r="F210" s="5">
        <v>1.24</v>
      </c>
      <c r="G210" s="5">
        <f t="shared" si="14"/>
        <v>9.3124000000000002</v>
      </c>
      <c r="H210" s="5">
        <v>1.1214999999999999</v>
      </c>
      <c r="I210" s="5">
        <f t="shared" si="15"/>
        <v>10.4438566</v>
      </c>
      <c r="J210" s="5">
        <v>0.73999999999999899</v>
      </c>
      <c r="K210" s="5">
        <f t="shared" si="16"/>
        <v>11.183856599999999</v>
      </c>
      <c r="L210" s="5"/>
      <c r="M210" s="5"/>
      <c r="N210" s="5"/>
    </row>
    <row r="211" spans="1:14" ht="12.75" x14ac:dyDescent="0.2">
      <c r="A211" s="6" t="s">
        <v>293</v>
      </c>
      <c r="B211" s="71" t="s">
        <v>294</v>
      </c>
      <c r="C211" s="5">
        <v>6.54</v>
      </c>
      <c r="D211" s="5">
        <v>0.3</v>
      </c>
      <c r="E211" s="5">
        <f t="shared" si="13"/>
        <v>6.84</v>
      </c>
      <c r="F211" s="5">
        <v>1.24</v>
      </c>
      <c r="G211" s="5">
        <f t="shared" si="14"/>
        <v>8.4816000000000003</v>
      </c>
      <c r="H211" s="5">
        <v>1.1214999999999999</v>
      </c>
      <c r="I211" s="5">
        <f t="shared" si="15"/>
        <v>9.5121143999999997</v>
      </c>
      <c r="J211" s="5">
        <v>0.42</v>
      </c>
      <c r="K211" s="5">
        <f t="shared" si="16"/>
        <v>9.9321143999999997</v>
      </c>
      <c r="L211" s="5"/>
      <c r="M211" s="5"/>
      <c r="N211" s="5"/>
    </row>
    <row r="212" spans="1:14" ht="12.75" x14ac:dyDescent="0.2">
      <c r="A212" s="6" t="s">
        <v>295</v>
      </c>
      <c r="B212" s="71" t="s">
        <v>296</v>
      </c>
      <c r="C212" s="5">
        <v>6</v>
      </c>
      <c r="D212" s="5">
        <v>0.6</v>
      </c>
      <c r="E212" s="5">
        <f t="shared" si="13"/>
        <v>6.6</v>
      </c>
      <c r="F212" s="5">
        <v>1.24</v>
      </c>
      <c r="G212" s="5">
        <f t="shared" si="14"/>
        <v>8.1839999999999993</v>
      </c>
      <c r="H212" s="5">
        <v>1.1214999999999999</v>
      </c>
      <c r="I212" s="5">
        <f t="shared" si="15"/>
        <v>9.1783559999999991</v>
      </c>
      <c r="J212" s="5">
        <v>0.42</v>
      </c>
      <c r="K212" s="5">
        <f t="shared" si="16"/>
        <v>9.598355999999999</v>
      </c>
      <c r="L212" s="5"/>
      <c r="M212" s="5"/>
      <c r="N212" s="5"/>
    </row>
    <row r="213" spans="1:14" ht="12.75" x14ac:dyDescent="0.2">
      <c r="A213" s="6" t="s">
        <v>297</v>
      </c>
      <c r="B213" s="71" t="s">
        <v>298</v>
      </c>
      <c r="C213" s="5">
        <v>23.78</v>
      </c>
      <c r="D213" s="5">
        <v>0.9</v>
      </c>
      <c r="E213" s="5">
        <f t="shared" si="13"/>
        <v>24.68</v>
      </c>
      <c r="F213" s="5">
        <v>1.24</v>
      </c>
      <c r="G213" s="5">
        <f t="shared" si="14"/>
        <v>30.603200000000001</v>
      </c>
      <c r="H213" s="5">
        <v>1.1214999999999999</v>
      </c>
      <c r="I213" s="5">
        <f t="shared" si="15"/>
        <v>34.321488799999997</v>
      </c>
      <c r="J213" s="5">
        <v>2.4</v>
      </c>
      <c r="K213" s="5">
        <f t="shared" si="16"/>
        <v>36.721488799999996</v>
      </c>
      <c r="L213" s="5"/>
      <c r="M213" s="5"/>
      <c r="N213" s="5"/>
    </row>
    <row r="214" spans="1:14" ht="12.75" x14ac:dyDescent="0.2">
      <c r="A214" s="6" t="s">
        <v>299</v>
      </c>
      <c r="B214" s="71" t="s">
        <v>300</v>
      </c>
      <c r="C214" s="5">
        <v>38.68</v>
      </c>
      <c r="D214" s="5">
        <v>0.9</v>
      </c>
      <c r="E214" s="5">
        <f t="shared" si="13"/>
        <v>39.58</v>
      </c>
      <c r="F214" s="5">
        <v>1.24</v>
      </c>
      <c r="G214" s="5">
        <f t="shared" si="14"/>
        <v>49.0792</v>
      </c>
      <c r="H214" s="5">
        <v>1.1214999999999999</v>
      </c>
      <c r="I214" s="5">
        <f t="shared" si="15"/>
        <v>55.042322799999994</v>
      </c>
      <c r="J214" s="5">
        <v>2.4</v>
      </c>
      <c r="K214" s="5">
        <f t="shared" si="16"/>
        <v>57.442322799999992</v>
      </c>
      <c r="L214" s="5"/>
      <c r="M214" s="5"/>
      <c r="N214" s="5"/>
    </row>
    <row r="215" spans="1:14" ht="12.75" x14ac:dyDescent="0.2">
      <c r="A215" s="6" t="s">
        <v>301</v>
      </c>
      <c r="B215" s="71" t="s">
        <v>302</v>
      </c>
      <c r="C215" s="5">
        <v>8.1</v>
      </c>
      <c r="D215" s="5">
        <v>0.4</v>
      </c>
      <c r="E215" s="5">
        <f t="shared" si="13"/>
        <v>8.5</v>
      </c>
      <c r="F215" s="5">
        <v>1.24</v>
      </c>
      <c r="G215" s="5">
        <f t="shared" si="14"/>
        <v>10.54</v>
      </c>
      <c r="H215" s="5">
        <v>1.1214999999999999</v>
      </c>
      <c r="I215" s="5">
        <f t="shared" si="15"/>
        <v>11.820609999999999</v>
      </c>
      <c r="J215" s="5">
        <v>0.7</v>
      </c>
      <c r="K215" s="5">
        <f t="shared" si="16"/>
        <v>12.520609999999998</v>
      </c>
      <c r="L215" s="5"/>
      <c r="M215" s="5"/>
      <c r="N215" s="5"/>
    </row>
    <row r="216" spans="1:14" ht="12.75" x14ac:dyDescent="0.2">
      <c r="A216" s="6" t="s">
        <v>303</v>
      </c>
      <c r="B216" s="71" t="s">
        <v>304</v>
      </c>
      <c r="C216" s="5">
        <v>4.1500000000000004</v>
      </c>
      <c r="D216" s="5">
        <v>0.3</v>
      </c>
      <c r="E216" s="5">
        <f t="shared" si="13"/>
        <v>4.45</v>
      </c>
      <c r="F216" s="5">
        <v>1.24</v>
      </c>
      <c r="G216" s="5">
        <f t="shared" si="14"/>
        <v>5.5179999999999998</v>
      </c>
      <c r="H216" s="5">
        <v>1.1214999999999999</v>
      </c>
      <c r="I216" s="5">
        <f t="shared" si="15"/>
        <v>6.1884369999999995</v>
      </c>
      <c r="J216" s="5">
        <v>0.25</v>
      </c>
      <c r="K216" s="5">
        <f t="shared" si="16"/>
        <v>6.4384369999999995</v>
      </c>
      <c r="L216" s="5"/>
      <c r="M216" s="5"/>
      <c r="N216" s="5"/>
    </row>
    <row r="217" spans="1:14" ht="14.25" x14ac:dyDescent="0.2">
      <c r="A217" s="5" t="s">
        <v>305</v>
      </c>
      <c r="B217" s="103">
        <v>8429603002969</v>
      </c>
      <c r="C217" s="5">
        <v>6.04</v>
      </c>
      <c r="D217" s="5">
        <v>0.84</v>
      </c>
      <c r="E217" s="5">
        <f t="shared" si="13"/>
        <v>6.88</v>
      </c>
      <c r="F217" s="5">
        <v>1.24</v>
      </c>
      <c r="G217" s="5">
        <f t="shared" si="14"/>
        <v>8.5312000000000001</v>
      </c>
      <c r="H217" s="5">
        <v>1.1214999999999999</v>
      </c>
      <c r="I217" s="5">
        <f t="shared" si="15"/>
        <v>9.5677407999999993</v>
      </c>
      <c r="J217" s="5">
        <v>0.42</v>
      </c>
      <c r="K217" s="5">
        <f t="shared" si="16"/>
        <v>9.9877407999999992</v>
      </c>
      <c r="L217" s="5"/>
      <c r="M217" s="5"/>
      <c r="N217" s="5"/>
    </row>
    <row r="218" spans="1:14" ht="12.75" x14ac:dyDescent="0.2">
      <c r="A218" s="6" t="s">
        <v>306</v>
      </c>
      <c r="B218" s="71" t="s">
        <v>307</v>
      </c>
      <c r="C218" s="5">
        <v>43.12</v>
      </c>
      <c r="D218" s="5">
        <v>0.9</v>
      </c>
      <c r="E218" s="5">
        <f t="shared" si="13"/>
        <v>44.019999999999996</v>
      </c>
      <c r="F218" s="5">
        <v>1.24</v>
      </c>
      <c r="G218" s="5">
        <f t="shared" si="14"/>
        <v>54.584799999999994</v>
      </c>
      <c r="H218" s="5">
        <v>1.1214999999999999</v>
      </c>
      <c r="I218" s="5">
        <f t="shared" si="15"/>
        <v>61.216853199999989</v>
      </c>
      <c r="J218" s="5">
        <v>0.73999999999999899</v>
      </c>
      <c r="K218" s="5">
        <f t="shared" si="16"/>
        <v>61.956853199999991</v>
      </c>
      <c r="L218" s="5">
        <v>71.33</v>
      </c>
      <c r="M218" s="5"/>
      <c r="N218" s="5"/>
    </row>
    <row r="219" spans="1:14" ht="12.75" x14ac:dyDescent="0.2">
      <c r="A219" s="6" t="s">
        <v>308</v>
      </c>
      <c r="B219" s="71" t="s">
        <v>309</v>
      </c>
      <c r="C219" s="5">
        <v>50.16</v>
      </c>
      <c r="D219" s="5">
        <v>0.9</v>
      </c>
      <c r="E219" s="5">
        <f t="shared" si="13"/>
        <v>51.059999999999995</v>
      </c>
      <c r="F219" s="5">
        <v>1.24</v>
      </c>
      <c r="G219" s="5">
        <f t="shared" si="14"/>
        <v>63.314399999999992</v>
      </c>
      <c r="H219" s="5">
        <v>1.1214999999999999</v>
      </c>
      <c r="I219" s="5">
        <f t="shared" si="15"/>
        <v>71.007099599999989</v>
      </c>
      <c r="J219" s="5">
        <v>1.19</v>
      </c>
      <c r="K219" s="5">
        <f t="shared" si="16"/>
        <v>72.197099599999987</v>
      </c>
      <c r="L219" s="5">
        <v>82.19</v>
      </c>
      <c r="M219" s="5"/>
      <c r="N219" s="5"/>
    </row>
    <row r="220" spans="1:14" ht="12.75" x14ac:dyDescent="0.2">
      <c r="A220" s="6" t="s">
        <v>310</v>
      </c>
      <c r="B220" s="71" t="s">
        <v>311</v>
      </c>
      <c r="C220" s="5">
        <v>23.06</v>
      </c>
      <c r="D220" s="5">
        <v>0.9</v>
      </c>
      <c r="E220" s="5">
        <f t="shared" si="13"/>
        <v>23.959999999999997</v>
      </c>
      <c r="F220" s="5">
        <v>1.24</v>
      </c>
      <c r="G220" s="5">
        <f t="shared" si="14"/>
        <v>29.710399999999996</v>
      </c>
      <c r="H220" s="5">
        <v>1.1214999999999999</v>
      </c>
      <c r="I220" s="5">
        <f t="shared" si="15"/>
        <v>33.320213599999995</v>
      </c>
      <c r="J220" s="5">
        <v>0.73999999999999899</v>
      </c>
      <c r="K220" s="5">
        <f t="shared" si="16"/>
        <v>34.060213599999997</v>
      </c>
      <c r="L220" s="5">
        <v>37.700000000000003</v>
      </c>
      <c r="M220" s="5"/>
      <c r="N220" s="5"/>
    </row>
    <row r="221" spans="1:14" ht="12.75" x14ac:dyDescent="0.2">
      <c r="A221" s="6" t="s">
        <v>312</v>
      </c>
      <c r="B221" s="71" t="s">
        <v>313</v>
      </c>
      <c r="C221" s="5">
        <v>22.79</v>
      </c>
      <c r="D221" s="5">
        <v>0.9</v>
      </c>
      <c r="E221" s="5">
        <f t="shared" si="13"/>
        <v>23.689999999999998</v>
      </c>
      <c r="F221" s="5">
        <v>1.24</v>
      </c>
      <c r="G221" s="5">
        <f t="shared" si="14"/>
        <v>29.375599999999999</v>
      </c>
      <c r="H221" s="5">
        <v>1.1214999999999999</v>
      </c>
      <c r="I221" s="5">
        <f t="shared" si="15"/>
        <v>32.944735399999999</v>
      </c>
      <c r="J221" s="5">
        <v>1.19</v>
      </c>
      <c r="K221" s="5">
        <f t="shared" si="16"/>
        <v>34.134735399999997</v>
      </c>
      <c r="L221" s="5">
        <v>37</v>
      </c>
      <c r="M221" s="5"/>
      <c r="N221" s="5"/>
    </row>
    <row r="222" spans="1:14" ht="12.75" x14ac:dyDescent="0.2">
      <c r="A222" t="s">
        <v>2089</v>
      </c>
      <c r="B222" s="73">
        <v>5200403400864</v>
      </c>
      <c r="C222" s="5">
        <v>7.75</v>
      </c>
      <c r="D222" s="5">
        <v>0.9</v>
      </c>
      <c r="E222" s="5">
        <f t="shared" si="13"/>
        <v>8.65</v>
      </c>
      <c r="F222" s="5">
        <v>1.24</v>
      </c>
      <c r="G222" s="5">
        <f t="shared" si="14"/>
        <v>10.726000000000001</v>
      </c>
      <c r="H222" s="5">
        <v>1.1214999999999999</v>
      </c>
      <c r="I222" s="5">
        <f t="shared" si="15"/>
        <v>12.029209</v>
      </c>
      <c r="J222">
        <v>0.59</v>
      </c>
      <c r="K222" s="5">
        <f t="shared" si="16"/>
        <v>12.619209</v>
      </c>
      <c r="L222" s="5"/>
      <c r="M222" s="5"/>
      <c r="N222" s="5"/>
    </row>
    <row r="223" spans="1:14" ht="12.75" x14ac:dyDescent="0.2">
      <c r="A223" t="s">
        <v>2090</v>
      </c>
      <c r="B223" s="73" t="s">
        <v>2099</v>
      </c>
      <c r="C223" s="5">
        <v>11.84</v>
      </c>
      <c r="D223" s="5">
        <v>0.9</v>
      </c>
      <c r="E223" s="5">
        <f t="shared" si="13"/>
        <v>12.74</v>
      </c>
      <c r="F223" s="5">
        <v>1.24</v>
      </c>
      <c r="G223" s="5">
        <f t="shared" si="14"/>
        <v>15.797600000000001</v>
      </c>
      <c r="H223" s="5">
        <v>1.1214999999999999</v>
      </c>
      <c r="I223" s="5">
        <f t="shared" si="15"/>
        <v>17.717008400000001</v>
      </c>
      <c r="J223">
        <v>0.59</v>
      </c>
      <c r="K223" s="5">
        <f t="shared" si="16"/>
        <v>18.307008400000001</v>
      </c>
      <c r="L223" s="5"/>
      <c r="M223" s="5"/>
      <c r="N223" s="5"/>
    </row>
    <row r="224" spans="1:14" ht="12.75" x14ac:dyDescent="0.2">
      <c r="A224" t="s">
        <v>2091</v>
      </c>
      <c r="B224" s="73" t="s">
        <v>2100</v>
      </c>
      <c r="C224" s="5">
        <v>6.97</v>
      </c>
      <c r="D224" s="5">
        <v>0.9</v>
      </c>
      <c r="E224" s="5">
        <f t="shared" si="13"/>
        <v>7.87</v>
      </c>
      <c r="F224" s="5">
        <v>1.24</v>
      </c>
      <c r="G224" s="5">
        <f t="shared" si="14"/>
        <v>9.7588000000000008</v>
      </c>
      <c r="H224" s="5">
        <v>1.1214999999999999</v>
      </c>
      <c r="I224" s="5">
        <f t="shared" si="15"/>
        <v>10.944494200000001</v>
      </c>
      <c r="J224">
        <v>0.59</v>
      </c>
      <c r="K224" s="5">
        <f t="shared" si="16"/>
        <v>11.534494200000001</v>
      </c>
      <c r="L224" s="5"/>
      <c r="M224" s="5"/>
      <c r="N224" s="5"/>
    </row>
    <row r="225" spans="1:14" ht="12.75" x14ac:dyDescent="0.2">
      <c r="A225" t="s">
        <v>2092</v>
      </c>
      <c r="B225" s="73" t="s">
        <v>2101</v>
      </c>
      <c r="C225" s="5">
        <v>11.84</v>
      </c>
      <c r="D225" s="5">
        <v>0.9</v>
      </c>
      <c r="E225" s="5">
        <f t="shared" si="13"/>
        <v>12.74</v>
      </c>
      <c r="F225" s="5">
        <v>1.1299999999999999</v>
      </c>
      <c r="G225" s="5">
        <f t="shared" si="14"/>
        <v>14.396199999999999</v>
      </c>
      <c r="H225" s="5">
        <v>1.1214999999999999</v>
      </c>
      <c r="I225" s="5">
        <f t="shared" si="15"/>
        <v>16.145338299999999</v>
      </c>
      <c r="J225">
        <v>0.59</v>
      </c>
      <c r="K225" s="5">
        <f t="shared" si="16"/>
        <v>16.735338299999999</v>
      </c>
      <c r="L225" s="5"/>
      <c r="M225" s="5"/>
      <c r="N225" s="5"/>
    </row>
    <row r="226" spans="1:14" ht="12.75" x14ac:dyDescent="0.2">
      <c r="A226" t="s">
        <v>2093</v>
      </c>
      <c r="B226" s="73" t="s">
        <v>2102</v>
      </c>
      <c r="C226" s="5">
        <v>9.3000000000000007</v>
      </c>
      <c r="D226" s="5">
        <v>0.9</v>
      </c>
      <c r="E226" s="5">
        <f t="shared" si="13"/>
        <v>10.200000000000001</v>
      </c>
      <c r="F226" s="5">
        <v>1.24</v>
      </c>
      <c r="G226" s="5">
        <f t="shared" si="14"/>
        <v>12.648000000000001</v>
      </c>
      <c r="H226" s="5">
        <v>1.1214999999999999</v>
      </c>
      <c r="I226" s="5">
        <f t="shared" si="15"/>
        <v>14.184732</v>
      </c>
      <c r="J226">
        <v>0.59</v>
      </c>
      <c r="K226" s="5">
        <f t="shared" si="16"/>
        <v>14.774732</v>
      </c>
      <c r="L226" s="5"/>
      <c r="M226" s="5"/>
      <c r="N226" s="5"/>
    </row>
    <row r="227" spans="1:14" ht="12.75" x14ac:dyDescent="0.2">
      <c r="A227" t="s">
        <v>2094</v>
      </c>
      <c r="B227" s="73" t="s">
        <v>2103</v>
      </c>
      <c r="C227" s="5">
        <v>4.6500000000000004</v>
      </c>
      <c r="D227" s="5">
        <v>0.4</v>
      </c>
      <c r="E227" s="5">
        <f t="shared" si="13"/>
        <v>5.0500000000000007</v>
      </c>
      <c r="F227" s="5">
        <v>1.24</v>
      </c>
      <c r="G227" s="5">
        <f t="shared" si="14"/>
        <v>6.2620000000000005</v>
      </c>
      <c r="H227" s="5">
        <v>1.1214999999999999</v>
      </c>
      <c r="I227" s="5">
        <f t="shared" si="15"/>
        <v>7.0228330000000003</v>
      </c>
      <c r="J227">
        <v>0.4</v>
      </c>
      <c r="K227" s="5">
        <f t="shared" si="16"/>
        <v>7.4228330000000007</v>
      </c>
      <c r="L227" s="5"/>
      <c r="M227" s="5"/>
      <c r="N227" s="5"/>
    </row>
    <row r="228" spans="1:14" ht="12.75" x14ac:dyDescent="0.2">
      <c r="A228" t="s">
        <v>2095</v>
      </c>
      <c r="B228" s="73" t="s">
        <v>2104</v>
      </c>
      <c r="C228" s="5">
        <v>12.97</v>
      </c>
      <c r="D228" s="5">
        <v>0.9</v>
      </c>
      <c r="E228" s="5">
        <f t="shared" si="13"/>
        <v>13.870000000000001</v>
      </c>
      <c r="F228" s="5">
        <v>1.24</v>
      </c>
      <c r="G228" s="5">
        <f t="shared" si="14"/>
        <v>17.198800000000002</v>
      </c>
      <c r="H228" s="5">
        <v>1.1214999999999999</v>
      </c>
      <c r="I228" s="5">
        <f t="shared" si="15"/>
        <v>19.2884542</v>
      </c>
      <c r="J228">
        <v>0.59</v>
      </c>
      <c r="K228" s="5">
        <f t="shared" si="16"/>
        <v>19.8784542</v>
      </c>
      <c r="L228" s="5"/>
      <c r="M228" s="5"/>
      <c r="N228" s="5"/>
    </row>
    <row r="229" spans="1:14" ht="12.75" x14ac:dyDescent="0.2">
      <c r="A229" t="s">
        <v>2096</v>
      </c>
      <c r="B229" s="73" t="s">
        <v>2105</v>
      </c>
      <c r="C229" s="5">
        <v>4.6500000000000004</v>
      </c>
      <c r="D229" s="5">
        <v>0.4</v>
      </c>
      <c r="E229" s="5">
        <f t="shared" si="13"/>
        <v>5.0500000000000007</v>
      </c>
      <c r="F229" s="5">
        <v>1.24</v>
      </c>
      <c r="G229" s="5">
        <f t="shared" si="14"/>
        <v>6.2620000000000005</v>
      </c>
      <c r="H229" s="5">
        <v>1.1214999999999999</v>
      </c>
      <c r="I229" s="5">
        <f t="shared" si="15"/>
        <v>7.0228330000000003</v>
      </c>
      <c r="J229">
        <v>0.43</v>
      </c>
      <c r="K229" s="5">
        <f t="shared" si="16"/>
        <v>7.452833</v>
      </c>
      <c r="L229" s="5"/>
      <c r="M229" s="5"/>
      <c r="N229" s="5"/>
    </row>
    <row r="230" spans="1:14" ht="12.75" x14ac:dyDescent="0.2">
      <c r="A230" t="s">
        <v>2097</v>
      </c>
      <c r="B230" s="73" t="s">
        <v>2106</v>
      </c>
      <c r="C230" s="5">
        <v>9.3000000000000007</v>
      </c>
      <c r="D230" s="5">
        <v>0.9</v>
      </c>
      <c r="E230" s="5">
        <f t="shared" si="13"/>
        <v>10.200000000000001</v>
      </c>
      <c r="F230" s="5">
        <v>1.24</v>
      </c>
      <c r="G230" s="5">
        <f t="shared" si="14"/>
        <v>12.648000000000001</v>
      </c>
      <c r="H230" s="5">
        <v>1.1214999999999999</v>
      </c>
      <c r="I230" s="5">
        <f t="shared" si="15"/>
        <v>14.184732</v>
      </c>
      <c r="J230">
        <v>0.59</v>
      </c>
      <c r="K230" s="5">
        <f t="shared" si="16"/>
        <v>14.774732</v>
      </c>
      <c r="L230" s="5"/>
      <c r="M230" s="5"/>
      <c r="N230" s="5"/>
    </row>
    <row r="231" spans="1:14" ht="12.75" x14ac:dyDescent="0.2">
      <c r="A231" t="s">
        <v>2107</v>
      </c>
      <c r="B231" s="73">
        <v>8012992009123</v>
      </c>
      <c r="C231" s="5">
        <v>8.76</v>
      </c>
      <c r="D231" s="5">
        <v>0.9</v>
      </c>
      <c r="E231" s="5">
        <f t="shared" si="13"/>
        <v>9.66</v>
      </c>
      <c r="F231" s="5">
        <v>1.24</v>
      </c>
      <c r="G231" s="5">
        <f t="shared" si="14"/>
        <v>11.978400000000001</v>
      </c>
      <c r="H231" s="5">
        <v>1.1214999999999999</v>
      </c>
      <c r="I231" s="5">
        <f t="shared" si="15"/>
        <v>13.433775600000001</v>
      </c>
      <c r="J231" s="5">
        <v>0.73999999999999899</v>
      </c>
      <c r="K231" s="5">
        <f t="shared" si="16"/>
        <v>14.173775599999999</v>
      </c>
      <c r="L231" s="5"/>
      <c r="M231" s="5"/>
      <c r="N231" s="5"/>
    </row>
    <row r="232" spans="1:14" ht="12.75" x14ac:dyDescent="0.2">
      <c r="A232" t="s">
        <v>2108</v>
      </c>
      <c r="B232" s="73" t="s">
        <v>2109</v>
      </c>
      <c r="C232" s="5">
        <v>15.89</v>
      </c>
      <c r="D232" s="5">
        <v>0.9</v>
      </c>
      <c r="E232" s="5">
        <f t="shared" si="13"/>
        <v>16.79</v>
      </c>
      <c r="F232" s="5">
        <v>1.24</v>
      </c>
      <c r="G232" s="5">
        <f t="shared" si="14"/>
        <v>20.819599999999998</v>
      </c>
      <c r="H232" s="5">
        <v>1.1214999999999999</v>
      </c>
      <c r="I232" s="5">
        <f t="shared" si="15"/>
        <v>23.349181399999996</v>
      </c>
      <c r="J232" s="5">
        <v>0.73999999999999899</v>
      </c>
      <c r="K232" s="5">
        <f t="shared" si="16"/>
        <v>24.089181399999994</v>
      </c>
      <c r="L232" s="5"/>
      <c r="M232" s="5"/>
      <c r="N232" s="5"/>
    </row>
    <row r="233" spans="1:14" ht="12.75" x14ac:dyDescent="0.2">
      <c r="A233" s="5"/>
      <c r="B233" s="73" t="s">
        <v>2110</v>
      </c>
      <c r="C233" s="5">
        <v>13.46</v>
      </c>
      <c r="D233" s="5">
        <v>0.9</v>
      </c>
      <c r="E233" s="5">
        <f t="shared" si="13"/>
        <v>14.360000000000001</v>
      </c>
      <c r="F233" s="5">
        <v>1.24</v>
      </c>
      <c r="G233" s="5">
        <f t="shared" si="14"/>
        <v>17.8064</v>
      </c>
      <c r="H233" s="5">
        <v>1.1214999999999999</v>
      </c>
      <c r="I233" s="5">
        <f t="shared" si="15"/>
        <v>19.9698776</v>
      </c>
      <c r="J233" s="5">
        <v>0.73999999999999899</v>
      </c>
      <c r="K233" s="5">
        <f t="shared" si="16"/>
        <v>20.709877599999999</v>
      </c>
      <c r="L233" s="5"/>
      <c r="M233" s="5"/>
      <c r="N233" s="5"/>
    </row>
    <row r="234" spans="1:14" ht="12.75" x14ac:dyDescent="0.2">
      <c r="A234" s="5"/>
      <c r="B234" s="73" t="s">
        <v>2111</v>
      </c>
      <c r="C234" s="5">
        <v>24.73</v>
      </c>
      <c r="D234" s="5">
        <v>0.9</v>
      </c>
      <c r="E234" s="5">
        <f t="shared" si="13"/>
        <v>25.63</v>
      </c>
      <c r="F234" s="5">
        <v>1.24</v>
      </c>
      <c r="G234" s="5">
        <f t="shared" si="14"/>
        <v>31.781199999999998</v>
      </c>
      <c r="H234" s="5">
        <v>1.1214999999999999</v>
      </c>
      <c r="I234" s="5">
        <f t="shared" si="15"/>
        <v>35.642615799999994</v>
      </c>
      <c r="J234" s="5">
        <v>0.73999999999999899</v>
      </c>
      <c r="K234" s="5">
        <f t="shared" si="16"/>
        <v>36.382615799999996</v>
      </c>
      <c r="L234" s="5"/>
      <c r="M234" s="5"/>
      <c r="N234" s="5"/>
    </row>
    <row r="235" spans="1:14" ht="12.75" x14ac:dyDescent="0.2">
      <c r="A235" s="5"/>
      <c r="B235" s="73" t="s">
        <v>2112</v>
      </c>
      <c r="C235" s="5">
        <v>10.14</v>
      </c>
      <c r="D235" s="5">
        <v>0.9</v>
      </c>
      <c r="E235" s="5">
        <f t="shared" si="13"/>
        <v>11.040000000000001</v>
      </c>
      <c r="F235" s="5">
        <v>1.24</v>
      </c>
      <c r="G235" s="5">
        <f t="shared" si="14"/>
        <v>13.6896</v>
      </c>
      <c r="H235" s="5">
        <v>1.1214999999999999</v>
      </c>
      <c r="I235" s="5">
        <f t="shared" si="15"/>
        <v>15.352886399999999</v>
      </c>
      <c r="J235" s="5">
        <v>0.73999999999999899</v>
      </c>
      <c r="K235" s="5">
        <f t="shared" si="16"/>
        <v>16.092886399999998</v>
      </c>
      <c r="L235" s="5"/>
      <c r="M235" s="5"/>
      <c r="N235" s="5"/>
    </row>
    <row r="236" spans="1:14" ht="12.75" x14ac:dyDescent="0.2">
      <c r="A236" s="5"/>
      <c r="B236" s="73" t="s">
        <v>2113</v>
      </c>
      <c r="C236" s="5">
        <v>8.98</v>
      </c>
      <c r="D236" s="5">
        <v>0.9</v>
      </c>
      <c r="E236" s="5">
        <f t="shared" si="13"/>
        <v>9.8800000000000008</v>
      </c>
      <c r="F236" s="5">
        <v>1.24</v>
      </c>
      <c r="G236" s="5">
        <f t="shared" si="14"/>
        <v>12.251200000000001</v>
      </c>
      <c r="H236" s="5">
        <v>1.1214999999999999</v>
      </c>
      <c r="I236" s="5">
        <f t="shared" si="15"/>
        <v>13.739720800000001</v>
      </c>
      <c r="J236" s="5">
        <v>0.73999999999999899</v>
      </c>
      <c r="K236" s="5">
        <f t="shared" si="16"/>
        <v>14.479720799999999</v>
      </c>
      <c r="L236" s="5"/>
      <c r="M236" s="5"/>
      <c r="N236" s="5"/>
    </row>
    <row r="237" spans="1:14" ht="12.75" x14ac:dyDescent="0.2">
      <c r="A237" t="s">
        <v>2114</v>
      </c>
      <c r="B237" s="73" t="s">
        <v>2118</v>
      </c>
      <c r="C237" s="5">
        <v>1.1200000000000001</v>
      </c>
      <c r="D237" s="5">
        <v>0.9</v>
      </c>
      <c r="E237" s="5">
        <f t="shared" si="13"/>
        <v>2.02</v>
      </c>
      <c r="F237" s="5">
        <v>1.24</v>
      </c>
      <c r="G237" s="5">
        <f t="shared" si="14"/>
        <v>2.5047999999999999</v>
      </c>
      <c r="H237" s="5">
        <v>1.1214999999999999</v>
      </c>
      <c r="I237" s="5">
        <f t="shared" si="15"/>
        <v>2.8091331999999998</v>
      </c>
      <c r="J237" s="5">
        <v>0.25</v>
      </c>
      <c r="K237" s="5">
        <f t="shared" si="16"/>
        <v>3.0591331999999998</v>
      </c>
      <c r="L237" s="5"/>
      <c r="M237" s="5"/>
      <c r="N237" s="5"/>
    </row>
    <row r="238" spans="1:14" ht="12.75" x14ac:dyDescent="0.2">
      <c r="A238" t="s">
        <v>2115</v>
      </c>
      <c r="B238" s="73" t="s">
        <v>2119</v>
      </c>
      <c r="C238" s="5">
        <v>1.1200000000000001</v>
      </c>
      <c r="D238" s="5">
        <v>0.9</v>
      </c>
      <c r="E238" s="5">
        <f t="shared" si="13"/>
        <v>2.02</v>
      </c>
      <c r="F238" s="5">
        <v>1.24</v>
      </c>
      <c r="G238" s="5">
        <f t="shared" si="14"/>
        <v>2.5047999999999999</v>
      </c>
      <c r="H238" s="5">
        <v>1.1214999999999999</v>
      </c>
      <c r="I238" s="5">
        <f t="shared" si="15"/>
        <v>2.8091331999999998</v>
      </c>
      <c r="J238" s="5">
        <v>0.25</v>
      </c>
      <c r="K238" s="5">
        <f t="shared" si="16"/>
        <v>3.0591331999999998</v>
      </c>
      <c r="L238" s="5"/>
      <c r="M238" s="5"/>
      <c r="N238" s="5"/>
    </row>
    <row r="239" spans="1:14" ht="12.75" x14ac:dyDescent="0.2">
      <c r="A239" t="s">
        <v>2116</v>
      </c>
      <c r="B239" s="73" t="s">
        <v>2120</v>
      </c>
      <c r="C239" s="5">
        <v>1.1200000000000001</v>
      </c>
      <c r="D239" s="5">
        <v>0.7</v>
      </c>
      <c r="E239" s="5">
        <f t="shared" si="13"/>
        <v>1.82</v>
      </c>
      <c r="F239" s="5">
        <v>1.24</v>
      </c>
      <c r="G239" s="5">
        <f t="shared" si="14"/>
        <v>2.2568000000000001</v>
      </c>
      <c r="H239" s="5">
        <v>1.1214999999999999</v>
      </c>
      <c r="I239" s="5">
        <f t="shared" si="15"/>
        <v>2.5310012</v>
      </c>
      <c r="J239" s="5">
        <v>0.25</v>
      </c>
      <c r="K239" s="5">
        <f t="shared" si="16"/>
        <v>2.7810012</v>
      </c>
      <c r="L239" s="5"/>
      <c r="M239" s="5"/>
      <c r="N239" s="5"/>
    </row>
    <row r="240" spans="1:14" ht="12.75" x14ac:dyDescent="0.2">
      <c r="A240" t="s">
        <v>2117</v>
      </c>
      <c r="B240" s="73" t="s">
        <v>2121</v>
      </c>
      <c r="C240" s="5">
        <v>1.1200000000000001</v>
      </c>
      <c r="D240" s="5">
        <v>0.7</v>
      </c>
      <c r="E240" s="5">
        <f t="shared" si="13"/>
        <v>1.82</v>
      </c>
      <c r="F240" s="5">
        <v>1.24</v>
      </c>
      <c r="G240" s="5">
        <f t="shared" si="14"/>
        <v>2.2568000000000001</v>
      </c>
      <c r="H240" s="5">
        <v>1.1214999999999999</v>
      </c>
      <c r="I240" s="5">
        <f t="shared" si="15"/>
        <v>2.5310012</v>
      </c>
      <c r="J240" s="5">
        <v>0.25</v>
      </c>
      <c r="K240" s="5">
        <f t="shared" si="16"/>
        <v>2.7810012</v>
      </c>
      <c r="L240" s="5"/>
      <c r="M240" s="5"/>
      <c r="N240" s="5"/>
    </row>
    <row r="241" spans="1:14" ht="14.25" x14ac:dyDescent="0.2">
      <c r="A241" s="5"/>
      <c r="B241" s="103"/>
      <c r="C241" s="5">
        <v>6.95</v>
      </c>
      <c r="D241" s="5">
        <v>0.9</v>
      </c>
      <c r="E241" s="5">
        <f t="shared" si="13"/>
        <v>7.8500000000000005</v>
      </c>
      <c r="F241" s="5">
        <v>1.24</v>
      </c>
      <c r="G241" s="5">
        <f t="shared" si="14"/>
        <v>9.734</v>
      </c>
      <c r="H241" s="5">
        <v>1.1214999999999999</v>
      </c>
      <c r="I241" s="5">
        <f t="shared" si="15"/>
        <v>10.916680999999999</v>
      </c>
      <c r="J241" s="5">
        <v>0.73999999999999899</v>
      </c>
      <c r="K241" s="5">
        <f t="shared" si="16"/>
        <v>11.656680999999997</v>
      </c>
      <c r="L241" s="5"/>
      <c r="M241" s="5"/>
      <c r="N241" s="5"/>
    </row>
    <row r="242" spans="1:14" ht="14.25" x14ac:dyDescent="0.2">
      <c r="A242" s="5"/>
      <c r="B242" s="103"/>
      <c r="C242" s="5">
        <v>0</v>
      </c>
      <c r="D242" s="5">
        <v>0.9</v>
      </c>
      <c r="E242" s="5">
        <f t="shared" si="13"/>
        <v>0.9</v>
      </c>
      <c r="F242" s="5">
        <v>1.24</v>
      </c>
      <c r="G242" s="5">
        <f t="shared" si="14"/>
        <v>1.1160000000000001</v>
      </c>
      <c r="H242" s="5">
        <v>1.1214999999999999</v>
      </c>
      <c r="I242" s="5">
        <f t="shared" si="15"/>
        <v>1.2515940000000001</v>
      </c>
      <c r="J242" s="5">
        <v>0.73999999999999899</v>
      </c>
      <c r="K242" s="5">
        <f t="shared" si="16"/>
        <v>1.9915939999999992</v>
      </c>
      <c r="L242" s="5"/>
      <c r="M242" s="5"/>
      <c r="N242" s="5"/>
    </row>
    <row r="243" spans="1:14" ht="14.25" x14ac:dyDescent="0.2">
      <c r="A243" s="5"/>
      <c r="B243" s="103"/>
      <c r="C243" s="5">
        <v>0</v>
      </c>
      <c r="D243" s="5">
        <v>0.9</v>
      </c>
      <c r="E243" s="5">
        <f t="shared" si="13"/>
        <v>0.9</v>
      </c>
      <c r="F243" s="5">
        <v>1.24</v>
      </c>
      <c r="G243" s="5">
        <f t="shared" si="14"/>
        <v>1.1160000000000001</v>
      </c>
      <c r="H243" s="5">
        <v>1.1214999999999999</v>
      </c>
      <c r="I243" s="5">
        <f t="shared" si="15"/>
        <v>1.2515940000000001</v>
      </c>
      <c r="J243" s="5">
        <v>0.73999999999999899</v>
      </c>
      <c r="K243" s="5">
        <f t="shared" si="16"/>
        <v>1.9915939999999992</v>
      </c>
      <c r="L243" s="5"/>
      <c r="M243" s="5"/>
      <c r="N243" s="5"/>
    </row>
    <row r="244" spans="1:14" ht="14.25" x14ac:dyDescent="0.2">
      <c r="A244" s="5"/>
      <c r="B244" s="103"/>
      <c r="C244" s="5">
        <v>0</v>
      </c>
      <c r="D244" s="5">
        <v>0.9</v>
      </c>
      <c r="E244" s="5">
        <f t="shared" si="13"/>
        <v>0.9</v>
      </c>
      <c r="F244" s="5">
        <v>1.24</v>
      </c>
      <c r="G244" s="5">
        <f t="shared" si="14"/>
        <v>1.1160000000000001</v>
      </c>
      <c r="H244" s="5">
        <v>1.1214999999999999</v>
      </c>
      <c r="I244" s="5">
        <f t="shared" si="15"/>
        <v>1.2515940000000001</v>
      </c>
      <c r="J244" s="5">
        <v>0.73999999999999899</v>
      </c>
      <c r="K244" s="5">
        <f t="shared" si="16"/>
        <v>1.9915939999999992</v>
      </c>
      <c r="L244" s="5"/>
      <c r="M244" s="5"/>
      <c r="N244" s="5"/>
    </row>
    <row r="245" spans="1:14" ht="14.25" x14ac:dyDescent="0.2">
      <c r="A245" s="5"/>
      <c r="B245" s="103"/>
      <c r="C245" s="5">
        <v>7.73</v>
      </c>
      <c r="D245" s="5">
        <v>0.9</v>
      </c>
      <c r="E245" s="5">
        <f t="shared" si="13"/>
        <v>8.6300000000000008</v>
      </c>
      <c r="F245" s="5">
        <v>1.1299999999999999</v>
      </c>
      <c r="G245" s="5">
        <f t="shared" si="14"/>
        <v>9.7518999999999991</v>
      </c>
      <c r="H245" s="5">
        <v>1.1214999999999999</v>
      </c>
      <c r="I245" s="5">
        <f t="shared" si="15"/>
        <v>10.936755849999999</v>
      </c>
      <c r="J245" s="5">
        <v>0.73999999999999899</v>
      </c>
      <c r="K245" s="5">
        <f t="shared" si="16"/>
        <v>11.676755849999997</v>
      </c>
      <c r="L245" s="5"/>
      <c r="M245" s="5"/>
      <c r="N245" s="5"/>
    </row>
    <row r="246" spans="1:14" ht="14.25" x14ac:dyDescent="0.2">
      <c r="A246" s="5"/>
      <c r="B246" s="103"/>
      <c r="C246" s="5">
        <v>0</v>
      </c>
      <c r="D246" s="5">
        <v>0.9</v>
      </c>
      <c r="E246" s="5">
        <f t="shared" si="13"/>
        <v>0.9</v>
      </c>
      <c r="F246" s="5">
        <v>1.24</v>
      </c>
      <c r="G246" s="5">
        <f t="shared" si="14"/>
        <v>1.1160000000000001</v>
      </c>
      <c r="H246" s="5">
        <v>1.1214999999999999</v>
      </c>
      <c r="I246" s="5">
        <f t="shared" si="15"/>
        <v>1.2515940000000001</v>
      </c>
      <c r="J246" s="5">
        <v>0.73999999999999899</v>
      </c>
      <c r="K246" s="5">
        <f t="shared" si="16"/>
        <v>1.9915939999999992</v>
      </c>
      <c r="L246" s="5"/>
      <c r="M246" s="5"/>
      <c r="N246" s="5"/>
    </row>
    <row r="247" spans="1:14" ht="14.25" x14ac:dyDescent="0.2">
      <c r="A247" s="5"/>
      <c r="B247" s="103"/>
      <c r="C247" s="5">
        <v>0</v>
      </c>
      <c r="D247" s="5">
        <v>0.9</v>
      </c>
      <c r="E247" s="5">
        <f t="shared" si="13"/>
        <v>0.9</v>
      </c>
      <c r="F247" s="5">
        <v>1.24</v>
      </c>
      <c r="G247" s="5">
        <f t="shared" si="14"/>
        <v>1.1160000000000001</v>
      </c>
      <c r="H247" s="5">
        <v>1.1214999999999999</v>
      </c>
      <c r="I247" s="5">
        <f t="shared" si="15"/>
        <v>1.2515940000000001</v>
      </c>
      <c r="J247" s="5">
        <v>0.73999999999999899</v>
      </c>
      <c r="K247" s="5">
        <f t="shared" si="16"/>
        <v>1.9915939999999992</v>
      </c>
      <c r="L247" s="5"/>
      <c r="M247" s="5"/>
      <c r="N247" s="5"/>
    </row>
    <row r="248" spans="1:14" ht="14.25" x14ac:dyDescent="0.2">
      <c r="A248" s="5"/>
      <c r="B248" s="103"/>
      <c r="C248" s="5">
        <v>0</v>
      </c>
      <c r="D248" s="5">
        <v>0.9</v>
      </c>
      <c r="E248" s="5">
        <f t="shared" si="13"/>
        <v>0.9</v>
      </c>
      <c r="F248" s="5">
        <v>1.24</v>
      </c>
      <c r="G248" s="5">
        <f t="shared" si="14"/>
        <v>1.1160000000000001</v>
      </c>
      <c r="H248" s="5">
        <v>1.1214999999999999</v>
      </c>
      <c r="I248" s="5">
        <f t="shared" si="15"/>
        <v>1.2515940000000001</v>
      </c>
      <c r="J248" s="5">
        <v>0.73999999999999899</v>
      </c>
      <c r="K248" s="5">
        <f t="shared" si="16"/>
        <v>1.9915939999999992</v>
      </c>
      <c r="L248" s="5"/>
      <c r="M248" s="5"/>
      <c r="N248" s="5"/>
    </row>
    <row r="249" spans="1:14" ht="14.25" x14ac:dyDescent="0.2">
      <c r="A249" s="5"/>
      <c r="B249" s="103"/>
      <c r="C249" s="5">
        <v>0</v>
      </c>
      <c r="D249" s="5">
        <v>0.9</v>
      </c>
      <c r="E249" s="5">
        <f t="shared" si="13"/>
        <v>0.9</v>
      </c>
      <c r="F249" s="5">
        <v>1.24</v>
      </c>
      <c r="G249" s="5">
        <f t="shared" si="14"/>
        <v>1.1160000000000001</v>
      </c>
      <c r="H249" s="5">
        <v>1.1214999999999999</v>
      </c>
      <c r="I249" s="5">
        <f t="shared" si="15"/>
        <v>1.2515940000000001</v>
      </c>
      <c r="J249" s="5">
        <v>0.73999999999999899</v>
      </c>
      <c r="K249" s="5">
        <f t="shared" si="16"/>
        <v>1.9915939999999992</v>
      </c>
      <c r="L249" s="5"/>
      <c r="M249" s="5"/>
      <c r="N249" s="5"/>
    </row>
    <row r="250" spans="1:14" ht="14.25" x14ac:dyDescent="0.2">
      <c r="A250" s="5"/>
      <c r="B250" s="103"/>
      <c r="C250" s="5">
        <v>0</v>
      </c>
      <c r="D250" s="5">
        <v>0.9</v>
      </c>
      <c r="E250" s="5">
        <f t="shared" si="13"/>
        <v>0.9</v>
      </c>
      <c r="F250" s="5">
        <v>1.24</v>
      </c>
      <c r="G250" s="5">
        <f t="shared" si="14"/>
        <v>1.1160000000000001</v>
      </c>
      <c r="H250" s="5">
        <v>1.1214999999999999</v>
      </c>
      <c r="I250" s="5">
        <f t="shared" si="15"/>
        <v>1.2515940000000001</v>
      </c>
      <c r="J250" s="5">
        <v>0.73999999999999899</v>
      </c>
      <c r="K250" s="5">
        <f t="shared" si="16"/>
        <v>1.9915939999999992</v>
      </c>
      <c r="L250" s="5"/>
      <c r="M250" s="5"/>
      <c r="N250" s="5"/>
    </row>
    <row r="251" spans="1:14" ht="14.25" x14ac:dyDescent="0.2">
      <c r="A251" s="5"/>
      <c r="B251" s="103"/>
      <c r="C251" s="5">
        <v>0</v>
      </c>
      <c r="D251" s="5">
        <v>0.9</v>
      </c>
      <c r="E251" s="5">
        <f t="shared" si="13"/>
        <v>0.9</v>
      </c>
      <c r="F251" s="5">
        <v>1.24</v>
      </c>
      <c r="G251" s="5">
        <f t="shared" si="14"/>
        <v>1.1160000000000001</v>
      </c>
      <c r="H251" s="5">
        <v>1.1214999999999999</v>
      </c>
      <c r="I251" s="5">
        <f t="shared" si="15"/>
        <v>1.2515940000000001</v>
      </c>
      <c r="J251" s="5">
        <v>0.73999999999999899</v>
      </c>
      <c r="K251" s="5">
        <f t="shared" si="16"/>
        <v>1.9915939999999992</v>
      </c>
      <c r="L251" s="5"/>
      <c r="M251" s="5"/>
      <c r="N251" s="5"/>
    </row>
    <row r="252" spans="1:14" ht="14.25" x14ac:dyDescent="0.2">
      <c r="A252" s="5"/>
      <c r="B252" s="103"/>
      <c r="C252" s="5">
        <v>0</v>
      </c>
      <c r="D252" s="5">
        <v>0.9</v>
      </c>
      <c r="E252" s="5">
        <f t="shared" si="13"/>
        <v>0.9</v>
      </c>
      <c r="F252" s="5">
        <v>1.24</v>
      </c>
      <c r="G252" s="5">
        <f t="shared" si="14"/>
        <v>1.1160000000000001</v>
      </c>
      <c r="H252" s="5">
        <v>1.1214999999999999</v>
      </c>
      <c r="I252" s="5">
        <f t="shared" si="15"/>
        <v>1.2515940000000001</v>
      </c>
      <c r="J252" s="5">
        <v>0.73999999999999899</v>
      </c>
      <c r="K252" s="5">
        <f t="shared" si="16"/>
        <v>1.9915939999999992</v>
      </c>
      <c r="L252" s="5"/>
      <c r="M252" s="5"/>
      <c r="N252" s="5"/>
    </row>
    <row r="253" spans="1:14" ht="14.25" x14ac:dyDescent="0.2">
      <c r="A253" s="5"/>
      <c r="B253" s="103"/>
      <c r="C253" s="5">
        <v>0</v>
      </c>
      <c r="D253" s="5">
        <v>0.9</v>
      </c>
      <c r="E253" s="5">
        <f t="shared" si="13"/>
        <v>0.9</v>
      </c>
      <c r="F253" s="5">
        <v>1.24</v>
      </c>
      <c r="G253" s="5">
        <f t="shared" si="14"/>
        <v>1.1160000000000001</v>
      </c>
      <c r="H253" s="5">
        <v>1.1214999999999999</v>
      </c>
      <c r="I253" s="5">
        <f t="shared" si="15"/>
        <v>1.2515940000000001</v>
      </c>
      <c r="J253" s="5">
        <v>0.73999999999999899</v>
      </c>
      <c r="K253" s="5">
        <f t="shared" si="16"/>
        <v>1.9915939999999992</v>
      </c>
      <c r="L253" s="5"/>
      <c r="M253" s="5"/>
      <c r="N253" s="5"/>
    </row>
    <row r="254" spans="1:14" ht="14.25" x14ac:dyDescent="0.2">
      <c r="A254" s="5"/>
      <c r="B254" s="103"/>
      <c r="C254" s="5">
        <v>0</v>
      </c>
      <c r="D254" s="5">
        <v>0.9</v>
      </c>
      <c r="E254" s="5">
        <f t="shared" si="13"/>
        <v>0.9</v>
      </c>
      <c r="F254" s="5">
        <v>1.24</v>
      </c>
      <c r="G254" s="5">
        <f t="shared" si="14"/>
        <v>1.1160000000000001</v>
      </c>
      <c r="H254" s="5">
        <v>1.1214999999999999</v>
      </c>
      <c r="I254" s="5">
        <f t="shared" si="15"/>
        <v>1.2515940000000001</v>
      </c>
      <c r="J254" s="5">
        <v>0.73999999999999899</v>
      </c>
      <c r="K254" s="5">
        <f t="shared" si="16"/>
        <v>1.9915939999999992</v>
      </c>
      <c r="L254" s="5"/>
      <c r="M254" s="5"/>
      <c r="N254" s="5"/>
    </row>
    <row r="255" spans="1:14" ht="14.25" x14ac:dyDescent="0.2">
      <c r="A255" s="5"/>
      <c r="B255" s="103"/>
      <c r="C255" s="5">
        <v>0</v>
      </c>
      <c r="D255" s="5">
        <v>0.9</v>
      </c>
      <c r="E255" s="5">
        <f t="shared" si="13"/>
        <v>0.9</v>
      </c>
      <c r="F255" s="5">
        <v>1.24</v>
      </c>
      <c r="G255" s="5">
        <f t="shared" si="14"/>
        <v>1.1160000000000001</v>
      </c>
      <c r="H255" s="5">
        <v>1.1214999999999999</v>
      </c>
      <c r="I255" s="5">
        <f t="shared" si="15"/>
        <v>1.2515940000000001</v>
      </c>
      <c r="J255" s="5">
        <v>0.73999999999999899</v>
      </c>
      <c r="K255" s="5">
        <f t="shared" si="16"/>
        <v>1.9915939999999992</v>
      </c>
      <c r="L255" s="5"/>
      <c r="M255" s="5"/>
      <c r="N255" s="5"/>
    </row>
    <row r="256" spans="1:14" ht="14.25" x14ac:dyDescent="0.2">
      <c r="A256" s="5"/>
      <c r="B256" s="103"/>
      <c r="C256" s="5">
        <v>0</v>
      </c>
      <c r="D256" s="5">
        <v>0.9</v>
      </c>
      <c r="E256" s="5">
        <f t="shared" si="13"/>
        <v>0.9</v>
      </c>
      <c r="F256" s="5">
        <v>1.24</v>
      </c>
      <c r="G256" s="5">
        <f t="shared" si="14"/>
        <v>1.1160000000000001</v>
      </c>
      <c r="H256" s="5">
        <v>1.1214999999999999</v>
      </c>
      <c r="I256" s="5">
        <f t="shared" si="15"/>
        <v>1.2515940000000001</v>
      </c>
      <c r="J256" s="5">
        <v>0.73999999999999899</v>
      </c>
      <c r="K256" s="5">
        <f t="shared" si="16"/>
        <v>1.9915939999999992</v>
      </c>
      <c r="L256" s="5"/>
      <c r="M256" s="5"/>
      <c r="N256" s="5"/>
    </row>
    <row r="257" spans="1:14" ht="14.25" x14ac:dyDescent="0.2">
      <c r="A257" s="5"/>
      <c r="B257" s="103"/>
      <c r="C257" s="5">
        <v>0</v>
      </c>
      <c r="D257" s="5">
        <v>0.9</v>
      </c>
      <c r="E257" s="5">
        <f t="shared" si="13"/>
        <v>0.9</v>
      </c>
      <c r="F257" s="5">
        <v>1.24</v>
      </c>
      <c r="G257" s="5">
        <f t="shared" si="14"/>
        <v>1.1160000000000001</v>
      </c>
      <c r="H257" s="5">
        <v>1.1214999999999999</v>
      </c>
      <c r="I257" s="5">
        <f t="shared" si="15"/>
        <v>1.2515940000000001</v>
      </c>
      <c r="J257" s="5">
        <v>0.73999999999999899</v>
      </c>
      <c r="K257" s="5">
        <f t="shared" si="16"/>
        <v>1.9915939999999992</v>
      </c>
      <c r="L257" s="5"/>
      <c r="M257" s="5"/>
      <c r="N257" s="5"/>
    </row>
    <row r="258" spans="1:14" ht="14.25" x14ac:dyDescent="0.2">
      <c r="A258" s="5"/>
      <c r="B258" s="103"/>
      <c r="C258" s="5">
        <v>0</v>
      </c>
      <c r="D258" s="5">
        <v>0.9</v>
      </c>
      <c r="E258" s="5">
        <f t="shared" si="13"/>
        <v>0.9</v>
      </c>
      <c r="F258" s="5">
        <v>1.24</v>
      </c>
      <c r="G258" s="5">
        <f t="shared" si="14"/>
        <v>1.1160000000000001</v>
      </c>
      <c r="H258" s="5">
        <v>1.1214999999999999</v>
      </c>
      <c r="I258" s="5">
        <f t="shared" si="15"/>
        <v>1.2515940000000001</v>
      </c>
      <c r="J258" s="5">
        <v>0.73999999999999899</v>
      </c>
      <c r="K258" s="5">
        <f t="shared" si="16"/>
        <v>1.9915939999999992</v>
      </c>
      <c r="L258" s="5"/>
      <c r="M258" s="5"/>
      <c r="N258" s="5"/>
    </row>
    <row r="259" spans="1:14" ht="14.25" x14ac:dyDescent="0.2">
      <c r="A259" s="5"/>
      <c r="B259" s="103"/>
      <c r="C259" s="5">
        <v>0</v>
      </c>
      <c r="D259" s="5">
        <v>0.9</v>
      </c>
      <c r="E259" s="5">
        <f t="shared" si="13"/>
        <v>0.9</v>
      </c>
      <c r="F259" s="5">
        <v>1.24</v>
      </c>
      <c r="G259" s="5">
        <f t="shared" si="14"/>
        <v>1.1160000000000001</v>
      </c>
      <c r="H259" s="5">
        <v>1.1214999999999999</v>
      </c>
      <c r="I259" s="5">
        <f t="shared" si="15"/>
        <v>1.2515940000000001</v>
      </c>
      <c r="J259" s="5">
        <v>0.73999999999999899</v>
      </c>
      <c r="K259" s="5">
        <f t="shared" si="16"/>
        <v>1.9915939999999992</v>
      </c>
      <c r="L259" s="5"/>
      <c r="M259" s="5"/>
      <c r="N259" s="5"/>
    </row>
    <row r="260" spans="1:14" ht="14.25" x14ac:dyDescent="0.2">
      <c r="A260" s="5"/>
      <c r="B260" s="103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spans="1:14" ht="14.25" x14ac:dyDescent="0.2">
      <c r="A261" s="5"/>
      <c r="B261" s="103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spans="1:14" ht="14.25" x14ac:dyDescent="0.2">
      <c r="A262" s="5"/>
      <c r="B262" s="103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spans="1:14" ht="14.25" x14ac:dyDescent="0.2">
      <c r="A263" s="5"/>
      <c r="B263" s="103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spans="1:14" ht="14.25" x14ac:dyDescent="0.2">
      <c r="A264" s="5"/>
      <c r="B264" s="103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spans="1:14" ht="14.25" x14ac:dyDescent="0.2">
      <c r="A265" s="5"/>
      <c r="B265" s="103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spans="1:14" ht="14.25" x14ac:dyDescent="0.2">
      <c r="A266" s="5"/>
      <c r="B266" s="103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spans="1:14" ht="14.25" x14ac:dyDescent="0.2">
      <c r="A267" s="5"/>
      <c r="B267" s="103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spans="1:14" ht="14.25" x14ac:dyDescent="0.2">
      <c r="A268" s="5"/>
      <c r="B268" s="103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spans="1:14" ht="14.25" x14ac:dyDescent="0.2">
      <c r="A269" s="5"/>
      <c r="B269" s="103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spans="1:14" ht="14.25" x14ac:dyDescent="0.2">
      <c r="A270" s="5"/>
      <c r="B270" s="103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spans="1:14" ht="14.25" x14ac:dyDescent="0.2">
      <c r="A271" s="5"/>
      <c r="B271" s="103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spans="1:14" ht="14.25" x14ac:dyDescent="0.2">
      <c r="A272" s="5"/>
      <c r="B272" s="103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spans="1:14" ht="14.25" x14ac:dyDescent="0.2">
      <c r="A273" s="5"/>
      <c r="B273" s="103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spans="1:14" ht="14.25" x14ac:dyDescent="0.2">
      <c r="A274" s="5"/>
      <c r="B274" s="103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spans="1:14" ht="14.25" x14ac:dyDescent="0.2">
      <c r="A275" s="5"/>
      <c r="B275" s="103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spans="1:14" ht="14.25" x14ac:dyDescent="0.2">
      <c r="A276" s="5"/>
      <c r="B276" s="103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spans="1:14" ht="14.25" x14ac:dyDescent="0.2">
      <c r="A277" s="5"/>
      <c r="B277" s="103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spans="1:14" ht="14.25" x14ac:dyDescent="0.2">
      <c r="A278" s="5"/>
      <c r="B278" s="103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spans="1:14" ht="14.25" x14ac:dyDescent="0.2">
      <c r="A279" s="5"/>
      <c r="B279" s="103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spans="1:14" ht="14.25" x14ac:dyDescent="0.2">
      <c r="A280" s="5"/>
      <c r="B280" s="103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spans="1:14" ht="14.25" x14ac:dyDescent="0.2">
      <c r="A281" s="5"/>
      <c r="B281" s="103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spans="1:14" ht="14.25" x14ac:dyDescent="0.2">
      <c r="A282" s="5"/>
      <c r="B282" s="103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spans="1:14" ht="14.25" x14ac:dyDescent="0.2">
      <c r="A283" s="5"/>
      <c r="B283" s="103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spans="1:14" ht="14.25" x14ac:dyDescent="0.2">
      <c r="A284" s="5"/>
      <c r="B284" s="103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spans="1:14" ht="14.25" x14ac:dyDescent="0.2">
      <c r="A285" s="5"/>
      <c r="B285" s="103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spans="1:14" ht="14.25" x14ac:dyDescent="0.2">
      <c r="A286" s="5"/>
      <c r="B286" s="103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spans="1:14" ht="14.25" x14ac:dyDescent="0.2">
      <c r="A287" s="5"/>
      <c r="B287" s="103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spans="1:14" ht="14.25" x14ac:dyDescent="0.2">
      <c r="A288" s="5"/>
      <c r="B288" s="103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spans="1:14" ht="14.25" x14ac:dyDescent="0.2">
      <c r="A289" s="5"/>
      <c r="B289" s="103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spans="1:14" ht="14.25" x14ac:dyDescent="0.2">
      <c r="A290" s="5"/>
      <c r="B290" s="103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spans="1:14" ht="14.25" x14ac:dyDescent="0.2">
      <c r="A291" s="5"/>
      <c r="B291" s="103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spans="1:14" ht="14.25" x14ac:dyDescent="0.2">
      <c r="A292" s="5"/>
      <c r="B292" s="103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spans="1:14" ht="14.25" x14ac:dyDescent="0.2">
      <c r="A293" s="5"/>
      <c r="B293" s="103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spans="1:14" ht="14.25" x14ac:dyDescent="0.2">
      <c r="A294" s="5"/>
      <c r="B294" s="103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spans="1:14" ht="14.25" x14ac:dyDescent="0.2">
      <c r="A295" s="5"/>
      <c r="B295" s="103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spans="1:14" ht="14.25" x14ac:dyDescent="0.2">
      <c r="A296" s="5"/>
      <c r="B296" s="103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spans="1:14" ht="14.25" x14ac:dyDescent="0.2">
      <c r="A297" s="5"/>
      <c r="B297" s="103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spans="1:14" ht="14.25" x14ac:dyDescent="0.2">
      <c r="A298" s="5"/>
      <c r="B298" s="103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spans="1:14" ht="14.25" x14ac:dyDescent="0.2">
      <c r="A299" s="5"/>
      <c r="B299" s="103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spans="1:14" ht="14.25" x14ac:dyDescent="0.2">
      <c r="A300" s="5"/>
      <c r="B300" s="103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spans="1:14" ht="14.25" x14ac:dyDescent="0.2">
      <c r="A301" s="5"/>
      <c r="B301" s="103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spans="1:14" ht="14.25" x14ac:dyDescent="0.2">
      <c r="A302" s="5"/>
      <c r="B302" s="103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spans="1:14" ht="14.25" x14ac:dyDescent="0.2">
      <c r="A303" s="5"/>
      <c r="B303" s="103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spans="1:14" ht="14.25" x14ac:dyDescent="0.2">
      <c r="A304" s="5"/>
      <c r="B304" s="103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spans="1:14" ht="14.25" x14ac:dyDescent="0.2">
      <c r="A305" s="5"/>
      <c r="B305" s="103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spans="1:14" ht="14.25" x14ac:dyDescent="0.2">
      <c r="A306" s="5"/>
      <c r="B306" s="103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spans="1:14" ht="14.25" x14ac:dyDescent="0.2">
      <c r="A307" s="5"/>
      <c r="B307" s="103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spans="1:14" ht="14.25" x14ac:dyDescent="0.2">
      <c r="A308" s="5"/>
      <c r="B308" s="103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spans="1:14" ht="14.25" x14ac:dyDescent="0.2">
      <c r="A309" s="5"/>
      <c r="B309" s="103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spans="1:14" ht="14.25" x14ac:dyDescent="0.2">
      <c r="A310" s="5"/>
      <c r="B310" s="103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spans="1:14" ht="14.25" x14ac:dyDescent="0.2">
      <c r="A311" s="5"/>
      <c r="B311" s="103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spans="1:14" ht="14.25" x14ac:dyDescent="0.2">
      <c r="A312" s="5"/>
      <c r="B312" s="103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spans="1:14" ht="14.25" x14ac:dyDescent="0.2">
      <c r="A313" s="5"/>
      <c r="B313" s="103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spans="1:14" ht="14.25" x14ac:dyDescent="0.2">
      <c r="A314" s="5"/>
      <c r="B314" s="103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spans="1:14" ht="14.25" x14ac:dyDescent="0.2">
      <c r="A315" s="5"/>
      <c r="B315" s="103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spans="1:14" ht="14.25" x14ac:dyDescent="0.2">
      <c r="A316" s="5"/>
      <c r="B316" s="103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spans="1:14" ht="14.25" x14ac:dyDescent="0.2">
      <c r="A317" s="5"/>
      <c r="B317" s="103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spans="1:14" ht="14.25" x14ac:dyDescent="0.2">
      <c r="A318" s="5"/>
      <c r="B318" s="103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spans="1:14" ht="14.25" x14ac:dyDescent="0.2">
      <c r="A319" s="5"/>
      <c r="B319" s="103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spans="1:14" ht="14.25" x14ac:dyDescent="0.2">
      <c r="A320" s="5"/>
      <c r="B320" s="103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spans="1:14" ht="14.25" x14ac:dyDescent="0.2">
      <c r="A321" s="5"/>
      <c r="B321" s="103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spans="1:14" ht="14.25" x14ac:dyDescent="0.2">
      <c r="A322" s="5"/>
      <c r="B322" s="103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spans="1:14" ht="14.25" x14ac:dyDescent="0.2">
      <c r="A323" s="5"/>
      <c r="B323" s="103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spans="1:14" ht="14.25" x14ac:dyDescent="0.2">
      <c r="A324" s="5"/>
      <c r="B324" s="103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spans="1:14" ht="14.25" x14ac:dyDescent="0.2">
      <c r="A325" s="5"/>
      <c r="B325" s="103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spans="1:14" ht="14.25" x14ac:dyDescent="0.2">
      <c r="A326" s="5"/>
      <c r="B326" s="103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spans="1:14" ht="14.25" x14ac:dyDescent="0.2">
      <c r="A327" s="5"/>
      <c r="B327" s="103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spans="1:14" ht="14.25" x14ac:dyDescent="0.2">
      <c r="A328" s="5"/>
      <c r="B328" s="103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spans="1:14" ht="14.25" x14ac:dyDescent="0.2">
      <c r="A329" s="5"/>
      <c r="B329" s="103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spans="1:14" ht="14.25" x14ac:dyDescent="0.2">
      <c r="A330" s="5"/>
      <c r="B330" s="103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spans="1:14" ht="14.25" x14ac:dyDescent="0.2">
      <c r="A331" s="5"/>
      <c r="B331" s="103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spans="1:14" ht="14.25" x14ac:dyDescent="0.2">
      <c r="A332" s="5"/>
      <c r="B332" s="103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spans="1:14" ht="14.25" x14ac:dyDescent="0.2">
      <c r="A333" s="5"/>
      <c r="B333" s="103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spans="1:14" ht="14.25" x14ac:dyDescent="0.2">
      <c r="A334" s="5"/>
      <c r="B334" s="103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spans="1:14" ht="14.25" x14ac:dyDescent="0.2">
      <c r="A335" s="5"/>
      <c r="B335" s="103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spans="1:14" ht="14.25" x14ac:dyDescent="0.2">
      <c r="A336" s="5"/>
      <c r="B336" s="103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spans="1:14" ht="14.25" x14ac:dyDescent="0.2">
      <c r="A337" s="5"/>
      <c r="B337" s="103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spans="1:14" ht="14.25" x14ac:dyDescent="0.2">
      <c r="A338" s="5"/>
      <c r="B338" s="103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spans="1:14" ht="14.25" x14ac:dyDescent="0.2">
      <c r="A339" s="5"/>
      <c r="B339" s="103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spans="1:14" ht="14.25" x14ac:dyDescent="0.2">
      <c r="A340" s="5"/>
      <c r="B340" s="103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spans="1:14" ht="14.25" x14ac:dyDescent="0.2">
      <c r="A341" s="5"/>
      <c r="B341" s="103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spans="1:14" ht="14.25" x14ac:dyDescent="0.2">
      <c r="A342" s="5"/>
      <c r="B342" s="103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spans="1:14" ht="14.25" x14ac:dyDescent="0.2">
      <c r="A343" s="5"/>
      <c r="B343" s="103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spans="1:14" ht="14.25" x14ac:dyDescent="0.2">
      <c r="A344" s="5"/>
      <c r="B344" s="103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spans="1:14" ht="14.25" x14ac:dyDescent="0.2">
      <c r="A345" s="5"/>
      <c r="B345" s="103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spans="1:14" ht="14.25" x14ac:dyDescent="0.2">
      <c r="A346" s="5"/>
      <c r="B346" s="103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spans="1:14" ht="14.25" x14ac:dyDescent="0.2">
      <c r="A347" s="5"/>
      <c r="B347" s="103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spans="1:14" ht="14.25" x14ac:dyDescent="0.2">
      <c r="A348" s="5"/>
      <c r="B348" s="103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spans="1:14" ht="14.25" x14ac:dyDescent="0.2">
      <c r="A349" s="5"/>
      <c r="B349" s="103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spans="1:14" ht="14.25" x14ac:dyDescent="0.2">
      <c r="A350" s="5"/>
      <c r="B350" s="103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spans="1:14" ht="14.25" x14ac:dyDescent="0.2">
      <c r="A351" s="5"/>
      <c r="B351" s="103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spans="1:14" ht="14.25" x14ac:dyDescent="0.2">
      <c r="A352" s="5"/>
      <c r="B352" s="103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spans="1:14" ht="14.25" x14ac:dyDescent="0.2">
      <c r="A353" s="5"/>
      <c r="B353" s="103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spans="1:14" ht="14.25" x14ac:dyDescent="0.2">
      <c r="A354" s="5"/>
      <c r="B354" s="103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spans="1:14" ht="14.25" x14ac:dyDescent="0.2">
      <c r="A355" s="5"/>
      <c r="B355" s="103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spans="1:14" ht="14.25" x14ac:dyDescent="0.2">
      <c r="A356" s="5"/>
      <c r="B356" s="103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spans="1:14" ht="14.25" x14ac:dyDescent="0.2">
      <c r="A357" s="5"/>
      <c r="B357" s="103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spans="1:14" ht="14.25" x14ac:dyDescent="0.2">
      <c r="A358" s="5"/>
      <c r="B358" s="103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spans="1:14" ht="14.25" x14ac:dyDescent="0.2">
      <c r="A359" s="5"/>
      <c r="B359" s="103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spans="1:14" ht="14.25" x14ac:dyDescent="0.2">
      <c r="A360" s="5"/>
      <c r="B360" s="103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spans="1:14" ht="14.25" x14ac:dyDescent="0.2">
      <c r="A361" s="5"/>
      <c r="B361" s="103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spans="1:14" ht="14.25" x14ac:dyDescent="0.2">
      <c r="A362" s="5"/>
      <c r="B362" s="103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spans="1:14" ht="14.25" x14ac:dyDescent="0.2">
      <c r="A363" s="5"/>
      <c r="B363" s="103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spans="1:14" ht="14.25" x14ac:dyDescent="0.2">
      <c r="A364" s="5"/>
      <c r="B364" s="103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spans="1:14" ht="14.25" x14ac:dyDescent="0.2">
      <c r="A365" s="5"/>
      <c r="B365" s="103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spans="1:14" ht="14.25" x14ac:dyDescent="0.2">
      <c r="A366" s="5"/>
      <c r="B366" s="103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spans="1:14" ht="14.25" x14ac:dyDescent="0.2">
      <c r="A367" s="5"/>
      <c r="B367" s="103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spans="1:14" ht="14.25" x14ac:dyDescent="0.2">
      <c r="A368" s="5"/>
      <c r="B368" s="103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spans="1:14" ht="14.25" x14ac:dyDescent="0.2">
      <c r="A369" s="5"/>
      <c r="B369" s="103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spans="1:14" ht="14.25" x14ac:dyDescent="0.2">
      <c r="A370" s="5"/>
      <c r="B370" s="103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spans="1:14" ht="14.25" x14ac:dyDescent="0.2">
      <c r="A371" s="5"/>
      <c r="B371" s="103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spans="1:14" ht="14.25" x14ac:dyDescent="0.2">
      <c r="A372" s="5"/>
      <c r="B372" s="103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spans="1:14" ht="14.25" x14ac:dyDescent="0.2">
      <c r="A373" s="5"/>
      <c r="B373" s="103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spans="1:14" ht="14.25" x14ac:dyDescent="0.2">
      <c r="A374" s="5"/>
      <c r="B374" s="103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spans="1:14" ht="14.25" x14ac:dyDescent="0.2">
      <c r="A375" s="5"/>
      <c r="B375" s="103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spans="1:14" ht="14.25" x14ac:dyDescent="0.2">
      <c r="A376" s="5"/>
      <c r="B376" s="103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spans="1:14" ht="14.25" x14ac:dyDescent="0.2">
      <c r="A377" s="5"/>
      <c r="B377" s="103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spans="1:14" ht="14.25" x14ac:dyDescent="0.2">
      <c r="A378" s="5"/>
      <c r="B378" s="103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spans="1:14" ht="14.25" x14ac:dyDescent="0.2">
      <c r="A379" s="5"/>
      <c r="B379" s="103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spans="1:14" ht="14.25" x14ac:dyDescent="0.2">
      <c r="A380" s="5"/>
      <c r="B380" s="103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spans="1:14" ht="14.25" x14ac:dyDescent="0.2">
      <c r="A381" s="5"/>
      <c r="B381" s="103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spans="1:14" ht="14.25" x14ac:dyDescent="0.2">
      <c r="A382" s="5"/>
      <c r="B382" s="103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spans="1:14" ht="14.25" x14ac:dyDescent="0.2">
      <c r="A383" s="5"/>
      <c r="B383" s="103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spans="1:14" ht="14.25" x14ac:dyDescent="0.2">
      <c r="A384" s="5"/>
      <c r="B384" s="103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spans="1:14" ht="14.25" x14ac:dyDescent="0.2">
      <c r="A385" s="5"/>
      <c r="B385" s="103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spans="1:14" ht="14.25" x14ac:dyDescent="0.2">
      <c r="A386" s="5"/>
      <c r="B386" s="103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spans="1:14" ht="14.25" x14ac:dyDescent="0.2">
      <c r="A387" s="5"/>
      <c r="B387" s="103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spans="1:14" ht="14.25" x14ac:dyDescent="0.2">
      <c r="A388" s="5"/>
      <c r="B388" s="103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spans="1:14" ht="14.25" x14ac:dyDescent="0.2">
      <c r="A389" s="5"/>
      <c r="B389" s="103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spans="1:14" ht="14.25" x14ac:dyDescent="0.2">
      <c r="A390" s="5"/>
      <c r="B390" s="103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spans="1:14" ht="14.25" x14ac:dyDescent="0.2">
      <c r="A391" s="5"/>
      <c r="B391" s="103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spans="1:14" ht="14.25" x14ac:dyDescent="0.2">
      <c r="A392" s="5"/>
      <c r="B392" s="103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spans="1:14" ht="14.25" x14ac:dyDescent="0.2">
      <c r="A393" s="5"/>
      <c r="B393" s="103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spans="1:14" ht="14.25" x14ac:dyDescent="0.2">
      <c r="A394" s="5"/>
      <c r="B394" s="103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spans="1:14" ht="14.25" x14ac:dyDescent="0.2">
      <c r="A395" s="5"/>
      <c r="B395" s="103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spans="1:14" ht="14.25" x14ac:dyDescent="0.2">
      <c r="A396" s="5"/>
      <c r="B396" s="103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spans="1:14" ht="14.25" x14ac:dyDescent="0.2">
      <c r="A397" s="5"/>
      <c r="B397" s="103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spans="1:14" ht="14.25" x14ac:dyDescent="0.2">
      <c r="A398" s="5"/>
      <c r="B398" s="103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spans="1:14" ht="14.25" x14ac:dyDescent="0.2">
      <c r="A399" s="5"/>
      <c r="B399" s="103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spans="1:14" ht="14.25" x14ac:dyDescent="0.2">
      <c r="A400" s="5"/>
      <c r="B400" s="103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spans="1:14" ht="14.25" x14ac:dyDescent="0.2">
      <c r="A401" s="5"/>
      <c r="B401" s="103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spans="1:14" ht="14.25" x14ac:dyDescent="0.2">
      <c r="A402" s="5"/>
      <c r="B402" s="103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spans="1:14" ht="14.25" x14ac:dyDescent="0.2">
      <c r="A403" s="5"/>
      <c r="B403" s="103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spans="1:14" ht="14.25" x14ac:dyDescent="0.2">
      <c r="A404" s="5"/>
      <c r="B404" s="103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spans="1:14" ht="14.25" x14ac:dyDescent="0.2">
      <c r="A405" s="5"/>
      <c r="B405" s="103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spans="1:14" ht="14.25" x14ac:dyDescent="0.2">
      <c r="A406" s="5"/>
      <c r="B406" s="103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spans="1:14" ht="14.25" x14ac:dyDescent="0.2">
      <c r="A407" s="5"/>
      <c r="B407" s="103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spans="1:14" ht="14.25" x14ac:dyDescent="0.2">
      <c r="A408" s="5"/>
      <c r="B408" s="103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spans="1:14" ht="14.25" x14ac:dyDescent="0.2">
      <c r="A409" s="5"/>
      <c r="B409" s="103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spans="1:14" ht="14.25" x14ac:dyDescent="0.2">
      <c r="A410" s="5"/>
      <c r="B410" s="103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spans="1:14" ht="14.25" x14ac:dyDescent="0.2">
      <c r="A411" s="5"/>
      <c r="B411" s="103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spans="1:14" ht="14.25" x14ac:dyDescent="0.2">
      <c r="A412" s="5"/>
      <c r="B412" s="103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spans="1:14" ht="14.25" x14ac:dyDescent="0.2">
      <c r="A413" s="5"/>
      <c r="B413" s="103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spans="1:14" ht="14.25" x14ac:dyDescent="0.2">
      <c r="A414" s="5"/>
      <c r="B414" s="103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spans="1:14" ht="14.25" x14ac:dyDescent="0.2">
      <c r="A415" s="5"/>
      <c r="B415" s="103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spans="1:14" ht="14.25" x14ac:dyDescent="0.2">
      <c r="A416" s="5"/>
      <c r="B416" s="103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spans="1:14" ht="14.25" x14ac:dyDescent="0.2">
      <c r="A417" s="5"/>
      <c r="B417" s="103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spans="1:14" ht="14.25" x14ac:dyDescent="0.2">
      <c r="A418" s="5"/>
      <c r="B418" s="103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spans="1:14" ht="14.25" x14ac:dyDescent="0.2">
      <c r="A419" s="5"/>
      <c r="B419" s="103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spans="1:14" ht="14.25" x14ac:dyDescent="0.2">
      <c r="A420" s="5"/>
      <c r="B420" s="103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spans="1:14" ht="14.25" x14ac:dyDescent="0.2">
      <c r="A421" s="5"/>
      <c r="B421" s="103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spans="1:14" ht="14.25" x14ac:dyDescent="0.2">
      <c r="A422" s="5"/>
      <c r="B422" s="103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spans="1:14" ht="14.25" x14ac:dyDescent="0.2">
      <c r="A423" s="5"/>
      <c r="B423" s="103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spans="1:14" ht="14.25" x14ac:dyDescent="0.2">
      <c r="A424" s="5"/>
      <c r="B424" s="103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spans="1:14" ht="14.25" x14ac:dyDescent="0.2">
      <c r="A425" s="5"/>
      <c r="B425" s="103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spans="1:14" ht="14.25" x14ac:dyDescent="0.2">
      <c r="A426" s="5"/>
      <c r="B426" s="103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spans="1:14" ht="14.25" x14ac:dyDescent="0.2">
      <c r="A427" s="5"/>
      <c r="B427" s="103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spans="1:14" ht="14.25" x14ac:dyDescent="0.2">
      <c r="A428" s="5"/>
      <c r="B428" s="103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spans="1:14" ht="14.25" x14ac:dyDescent="0.2">
      <c r="A429" s="5"/>
      <c r="B429" s="103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spans="1:14" ht="14.25" x14ac:dyDescent="0.2">
      <c r="A430" s="5"/>
      <c r="B430" s="103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spans="1:14" ht="14.25" x14ac:dyDescent="0.2">
      <c r="A431" s="5"/>
      <c r="B431" s="103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spans="1:14" ht="14.25" x14ac:dyDescent="0.2">
      <c r="A432" s="5"/>
      <c r="B432" s="103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spans="1:14" ht="14.25" x14ac:dyDescent="0.2">
      <c r="A433" s="5"/>
      <c r="B433" s="103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spans="1:14" ht="14.25" x14ac:dyDescent="0.2">
      <c r="A434" s="5"/>
      <c r="B434" s="103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spans="1:14" ht="14.25" x14ac:dyDescent="0.2">
      <c r="A435" s="5"/>
      <c r="B435" s="103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spans="1:14" ht="14.25" x14ac:dyDescent="0.2">
      <c r="A436" s="5"/>
      <c r="B436" s="103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spans="1:14" ht="14.25" x14ac:dyDescent="0.2">
      <c r="A437" s="5"/>
      <c r="B437" s="103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spans="1:14" ht="14.25" x14ac:dyDescent="0.2">
      <c r="A438" s="5"/>
      <c r="B438" s="103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spans="1:14" ht="14.25" x14ac:dyDescent="0.2">
      <c r="A439" s="5"/>
      <c r="B439" s="103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spans="1:14" ht="14.25" x14ac:dyDescent="0.2">
      <c r="A440" s="5"/>
      <c r="B440" s="103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spans="1:14" ht="14.25" x14ac:dyDescent="0.2">
      <c r="A441" s="5"/>
      <c r="B441" s="103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spans="1:14" ht="14.25" x14ac:dyDescent="0.2">
      <c r="A442" s="5"/>
      <c r="B442" s="103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spans="1:14" ht="14.25" x14ac:dyDescent="0.2">
      <c r="A443" s="5"/>
      <c r="B443" s="103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spans="1:14" ht="14.25" x14ac:dyDescent="0.2">
      <c r="A444" s="5"/>
      <c r="B444" s="103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spans="1:14" ht="14.25" x14ac:dyDescent="0.2">
      <c r="A445" s="5"/>
      <c r="B445" s="103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spans="1:14" ht="14.25" x14ac:dyDescent="0.2">
      <c r="A446" s="5"/>
      <c r="B446" s="103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spans="1:14" ht="14.25" x14ac:dyDescent="0.2">
      <c r="A447" s="5"/>
      <c r="B447" s="103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spans="1:14" ht="14.25" x14ac:dyDescent="0.2">
      <c r="A448" s="5"/>
      <c r="B448" s="103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spans="1:14" ht="14.25" x14ac:dyDescent="0.2">
      <c r="A449" s="5"/>
      <c r="B449" s="103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spans="1:14" ht="14.25" x14ac:dyDescent="0.2">
      <c r="A450" s="5"/>
      <c r="B450" s="103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spans="1:14" ht="14.25" x14ac:dyDescent="0.2">
      <c r="A451" s="5"/>
      <c r="B451" s="103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spans="1:14" ht="14.25" x14ac:dyDescent="0.2">
      <c r="A452" s="5"/>
      <c r="B452" s="103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spans="1:14" ht="14.25" x14ac:dyDescent="0.2">
      <c r="A453" s="5"/>
      <c r="B453" s="103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spans="1:14" ht="14.25" x14ac:dyDescent="0.2">
      <c r="A454" s="5"/>
      <c r="B454" s="103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spans="1:14" ht="14.25" x14ac:dyDescent="0.2">
      <c r="A455" s="5"/>
      <c r="B455" s="103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spans="1:14" ht="14.25" x14ac:dyDescent="0.2">
      <c r="A456" s="5"/>
      <c r="B456" s="103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spans="1:14" ht="14.25" x14ac:dyDescent="0.2">
      <c r="A457" s="5"/>
      <c r="B457" s="103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spans="1:14" ht="14.25" x14ac:dyDescent="0.2">
      <c r="A458" s="5"/>
      <c r="B458" s="103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spans="1:14" ht="14.25" x14ac:dyDescent="0.2">
      <c r="A459" s="5"/>
      <c r="B459" s="103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spans="1:14" ht="14.25" x14ac:dyDescent="0.2">
      <c r="A460" s="5"/>
      <c r="B460" s="103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spans="1:14" ht="14.25" x14ac:dyDescent="0.2">
      <c r="A461" s="5"/>
      <c r="B461" s="103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spans="1:14" ht="14.25" x14ac:dyDescent="0.2">
      <c r="A462" s="5"/>
      <c r="B462" s="103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spans="1:14" ht="14.25" x14ac:dyDescent="0.2">
      <c r="A463" s="5"/>
      <c r="B463" s="103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spans="1:14" ht="14.25" x14ac:dyDescent="0.2">
      <c r="A464" s="5"/>
      <c r="B464" s="103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spans="1:14" ht="14.25" x14ac:dyDescent="0.2">
      <c r="A465" s="5"/>
      <c r="B465" s="103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spans="1:14" ht="14.25" x14ac:dyDescent="0.2">
      <c r="A466" s="5"/>
      <c r="B466" s="103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spans="1:14" ht="14.25" x14ac:dyDescent="0.2">
      <c r="A467" s="5"/>
      <c r="B467" s="103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spans="1:14" ht="14.25" x14ac:dyDescent="0.2">
      <c r="A468" s="5"/>
      <c r="B468" s="103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spans="1:14" ht="14.25" x14ac:dyDescent="0.2">
      <c r="A469" s="5"/>
      <c r="B469" s="103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spans="1:14" ht="14.25" x14ac:dyDescent="0.2">
      <c r="A470" s="5"/>
      <c r="B470" s="103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spans="1:14" ht="14.25" x14ac:dyDescent="0.2">
      <c r="A471" s="5"/>
      <c r="B471" s="103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spans="1:14" ht="14.25" x14ac:dyDescent="0.2">
      <c r="A472" s="5"/>
      <c r="B472" s="103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spans="1:14" ht="14.25" x14ac:dyDescent="0.2">
      <c r="A473" s="5"/>
      <c r="B473" s="103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spans="1:14" ht="14.25" x14ac:dyDescent="0.2">
      <c r="A474" s="5"/>
      <c r="B474" s="103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spans="1:14" ht="14.25" x14ac:dyDescent="0.2">
      <c r="A475" s="5"/>
      <c r="B475" s="103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spans="1:14" ht="14.25" x14ac:dyDescent="0.2">
      <c r="A476" s="5"/>
      <c r="B476" s="103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spans="1:14" ht="14.25" x14ac:dyDescent="0.2">
      <c r="A477" s="5"/>
      <c r="B477" s="103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spans="1:14" ht="14.25" x14ac:dyDescent="0.2">
      <c r="A478" s="5"/>
      <c r="B478" s="103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spans="1:14" ht="14.25" x14ac:dyDescent="0.2">
      <c r="A479" s="5"/>
      <c r="B479" s="103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spans="1:14" ht="14.25" x14ac:dyDescent="0.2">
      <c r="A480" s="5"/>
      <c r="B480" s="103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spans="1:14" ht="14.25" x14ac:dyDescent="0.2">
      <c r="A481" s="5"/>
      <c r="B481" s="103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spans="1:14" ht="14.25" x14ac:dyDescent="0.2">
      <c r="A482" s="5"/>
      <c r="B482" s="103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spans="1:14" ht="14.25" x14ac:dyDescent="0.2">
      <c r="A483" s="5"/>
      <c r="B483" s="103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spans="1:14" ht="14.25" x14ac:dyDescent="0.2">
      <c r="A484" s="5"/>
      <c r="B484" s="103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spans="1:14" ht="14.25" x14ac:dyDescent="0.2">
      <c r="A485" s="5"/>
      <c r="B485" s="103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spans="1:14" ht="14.25" x14ac:dyDescent="0.2">
      <c r="A486" s="5"/>
      <c r="B486" s="103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spans="1:14" ht="14.25" x14ac:dyDescent="0.2">
      <c r="A487" s="5"/>
      <c r="B487" s="103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spans="1:14" ht="14.25" x14ac:dyDescent="0.2">
      <c r="A488" s="5"/>
      <c r="B488" s="103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spans="1:14" ht="14.25" x14ac:dyDescent="0.2">
      <c r="A489" s="5"/>
      <c r="B489" s="103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spans="1:14" ht="14.25" x14ac:dyDescent="0.2">
      <c r="A490" s="5"/>
      <c r="B490" s="103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spans="1:14" ht="14.25" x14ac:dyDescent="0.2">
      <c r="A491" s="5"/>
      <c r="B491" s="103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spans="1:14" ht="14.25" x14ac:dyDescent="0.2">
      <c r="A492" s="5"/>
      <c r="B492" s="103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spans="1:14" ht="14.25" x14ac:dyDescent="0.2">
      <c r="A493" s="5"/>
      <c r="B493" s="103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spans="1:14" ht="14.25" x14ac:dyDescent="0.2">
      <c r="A494" s="5"/>
      <c r="B494" s="103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spans="1:14" ht="14.25" x14ac:dyDescent="0.2">
      <c r="A495" s="5"/>
      <c r="B495" s="103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spans="1:14" ht="14.25" x14ac:dyDescent="0.2">
      <c r="A496" s="5"/>
      <c r="B496" s="103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spans="1:14" ht="14.25" x14ac:dyDescent="0.2">
      <c r="A497" s="5"/>
      <c r="B497" s="103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spans="1:14" ht="14.25" x14ac:dyDescent="0.2">
      <c r="A498" s="5"/>
      <c r="B498" s="103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spans="1:14" ht="14.25" x14ac:dyDescent="0.2">
      <c r="A499" s="5"/>
      <c r="B499" s="103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spans="1:14" ht="14.25" x14ac:dyDescent="0.2">
      <c r="A500" s="5"/>
      <c r="B500" s="103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spans="1:14" ht="14.25" x14ac:dyDescent="0.2">
      <c r="A501" s="5"/>
      <c r="B501" s="103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spans="1:14" ht="14.25" x14ac:dyDescent="0.2">
      <c r="A502" s="5"/>
      <c r="B502" s="103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spans="1:14" ht="14.25" x14ac:dyDescent="0.2">
      <c r="A503" s="5"/>
      <c r="B503" s="103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spans="1:14" ht="14.25" x14ac:dyDescent="0.2">
      <c r="A504" s="5"/>
      <c r="B504" s="103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spans="1:14" ht="14.25" x14ac:dyDescent="0.2">
      <c r="A505" s="5"/>
      <c r="B505" s="103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spans="1:14" ht="14.25" x14ac:dyDescent="0.2">
      <c r="A506" s="5"/>
      <c r="B506" s="103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20"/>
  <sheetViews>
    <sheetView workbookViewId="0">
      <selection activeCell="B2" sqref="B2"/>
    </sheetView>
  </sheetViews>
  <sheetFormatPr defaultColWidth="12.5703125" defaultRowHeight="15.75" customHeight="1" x14ac:dyDescent="0.2"/>
  <cols>
    <col min="1" max="1" width="93.85546875" customWidth="1"/>
    <col min="2" max="2" width="19.5703125" customWidth="1"/>
  </cols>
  <sheetData>
    <row r="1" spans="1:13" ht="15.75" customHeight="1" x14ac:dyDescent="0.25">
      <c r="A1" s="7" t="s">
        <v>0</v>
      </c>
      <c r="B1" s="7"/>
      <c r="C1" s="7" t="s">
        <v>314</v>
      </c>
      <c r="D1" s="7" t="s">
        <v>315</v>
      </c>
      <c r="E1" s="7" t="s">
        <v>316</v>
      </c>
      <c r="F1" s="7" t="s">
        <v>317</v>
      </c>
      <c r="G1" s="7" t="s">
        <v>318</v>
      </c>
      <c r="H1" s="7" t="s">
        <v>319</v>
      </c>
      <c r="I1" s="7" t="s">
        <v>320</v>
      </c>
      <c r="J1" s="7" t="s">
        <v>321</v>
      </c>
      <c r="K1" s="7" t="s">
        <v>322</v>
      </c>
      <c r="L1" s="7" t="s">
        <v>323</v>
      </c>
      <c r="M1" s="7"/>
    </row>
    <row r="2" spans="1:13" ht="15.75" customHeight="1" x14ac:dyDescent="0.25">
      <c r="A2" s="6" t="s">
        <v>337</v>
      </c>
      <c r="B2" s="6">
        <v>5200128483845</v>
      </c>
      <c r="C2" s="11">
        <v>15.86</v>
      </c>
      <c r="D2" s="11">
        <v>0.9</v>
      </c>
      <c r="E2" s="11">
        <v>1.42</v>
      </c>
      <c r="F2" s="11">
        <v>8.1999999999999993</v>
      </c>
      <c r="G2" s="11">
        <v>24</v>
      </c>
      <c r="H2" s="11">
        <f t="shared" ref="H2:H20" si="0">C2+D2+E2</f>
        <v>18.18</v>
      </c>
      <c r="I2" s="11">
        <f t="shared" ref="I2:I20" si="1">H2 / (1 - F2/100 - (1 - 1/(1 + G2/100)))</f>
        <v>25.094843708255407</v>
      </c>
      <c r="J2" s="11">
        <f t="shared" ref="J2:J20" si="2">I2 * F2 / 100</f>
        <v>2.0577771840769432</v>
      </c>
      <c r="K2" s="11">
        <f t="shared" ref="K2:K20" si="3">I2 - (I2 / (1 + G2/100))</f>
        <v>4.8570665241784674</v>
      </c>
      <c r="L2" s="11">
        <f t="shared" ref="L2:L20" si="4">I2 - J2 - K2</f>
        <v>18.179999999999996</v>
      </c>
      <c r="M2" s="11">
        <v>29.5</v>
      </c>
    </row>
    <row r="3" spans="1:13" ht="15.75" customHeight="1" x14ac:dyDescent="0.25">
      <c r="A3" s="6" t="s">
        <v>338</v>
      </c>
      <c r="B3" s="6" t="s">
        <v>339</v>
      </c>
      <c r="C3" s="11">
        <v>17.02</v>
      </c>
      <c r="D3" s="11">
        <v>0.9</v>
      </c>
      <c r="E3" s="11">
        <v>1.42</v>
      </c>
      <c r="F3" s="11">
        <v>8.1999999999999993</v>
      </c>
      <c r="G3" s="11">
        <v>24</v>
      </c>
      <c r="H3" s="11">
        <f t="shared" si="0"/>
        <v>19.339999999999996</v>
      </c>
      <c r="I3" s="11">
        <f t="shared" si="1"/>
        <v>26.696054857957066</v>
      </c>
      <c r="J3" s="11">
        <f t="shared" si="2"/>
        <v>2.1890764983524793</v>
      </c>
      <c r="K3" s="11">
        <f t="shared" si="3"/>
        <v>5.1669783596045917</v>
      </c>
      <c r="L3" s="11">
        <f t="shared" si="4"/>
        <v>19.339999999999996</v>
      </c>
      <c r="M3" s="12">
        <v>28.5</v>
      </c>
    </row>
    <row r="4" spans="1:13" ht="15.75" customHeight="1" x14ac:dyDescent="0.25">
      <c r="A4" s="6" t="s">
        <v>340</v>
      </c>
      <c r="B4" s="6" t="s">
        <v>341</v>
      </c>
      <c r="C4" s="11">
        <v>17.02</v>
      </c>
      <c r="D4" s="11">
        <v>0.9</v>
      </c>
      <c r="E4" s="11">
        <v>1.42</v>
      </c>
      <c r="F4" s="11">
        <v>8.1999999999999993</v>
      </c>
      <c r="G4" s="11">
        <v>24</v>
      </c>
      <c r="H4" s="11">
        <f t="shared" si="0"/>
        <v>19.339999999999996</v>
      </c>
      <c r="I4" s="11">
        <f t="shared" si="1"/>
        <v>26.696054857957066</v>
      </c>
      <c r="J4" s="11">
        <f t="shared" si="2"/>
        <v>2.1890764983524793</v>
      </c>
      <c r="K4" s="11">
        <f t="shared" si="3"/>
        <v>5.1669783596045917</v>
      </c>
      <c r="L4" s="11">
        <f t="shared" si="4"/>
        <v>19.339999999999996</v>
      </c>
      <c r="M4" s="12">
        <v>28.5</v>
      </c>
    </row>
    <row r="5" spans="1:13" ht="15.75" customHeight="1" x14ac:dyDescent="0.25">
      <c r="A5" s="6" t="s">
        <v>342</v>
      </c>
      <c r="B5" s="6" t="s">
        <v>343</v>
      </c>
      <c r="C5" s="11">
        <v>15.86</v>
      </c>
      <c r="D5" s="11">
        <v>0.9</v>
      </c>
      <c r="E5" s="11">
        <v>1.42</v>
      </c>
      <c r="F5" s="11">
        <v>8.1999999999999993</v>
      </c>
      <c r="G5" s="11">
        <v>24</v>
      </c>
      <c r="H5" s="11">
        <f t="shared" si="0"/>
        <v>18.18</v>
      </c>
      <c r="I5" s="11">
        <f t="shared" si="1"/>
        <v>25.094843708255407</v>
      </c>
      <c r="J5" s="11">
        <f t="shared" si="2"/>
        <v>2.0577771840769432</v>
      </c>
      <c r="K5" s="11">
        <f t="shared" si="3"/>
        <v>4.8570665241784674</v>
      </c>
      <c r="L5" s="11">
        <f t="shared" si="4"/>
        <v>18.179999999999996</v>
      </c>
      <c r="M5" s="12">
        <v>29.5</v>
      </c>
    </row>
    <row r="6" spans="1:13" ht="15.75" customHeight="1" x14ac:dyDescent="0.25">
      <c r="A6" s="11"/>
      <c r="B6" s="11"/>
      <c r="C6" s="11">
        <v>12.65</v>
      </c>
      <c r="D6" s="11">
        <v>0.9</v>
      </c>
      <c r="E6" s="11">
        <v>0.7</v>
      </c>
      <c r="F6" s="11">
        <v>8.1999999999999993</v>
      </c>
      <c r="G6" s="11">
        <v>24</v>
      </c>
      <c r="H6" s="11">
        <f t="shared" si="0"/>
        <v>14.25</v>
      </c>
      <c r="I6" s="11">
        <f t="shared" si="1"/>
        <v>19.670050761421319</v>
      </c>
      <c r="J6" s="11">
        <f t="shared" si="2"/>
        <v>1.6129441624365481</v>
      </c>
      <c r="K6" s="11">
        <f t="shared" si="3"/>
        <v>3.8071065989847721</v>
      </c>
      <c r="L6" s="11">
        <f t="shared" si="4"/>
        <v>14.249999999999998</v>
      </c>
    </row>
    <row r="7" spans="1:13" ht="15.75" customHeight="1" x14ac:dyDescent="0.25">
      <c r="A7" s="11"/>
      <c r="B7" s="11"/>
      <c r="C7" s="11">
        <v>12.65</v>
      </c>
      <c r="D7" s="11">
        <v>0.9</v>
      </c>
      <c r="E7" s="11">
        <v>0.7</v>
      </c>
      <c r="F7" s="11">
        <v>8.1999999999999993</v>
      </c>
      <c r="G7" s="11">
        <v>24</v>
      </c>
      <c r="H7" s="11">
        <f t="shared" si="0"/>
        <v>14.25</v>
      </c>
      <c r="I7" s="11">
        <f t="shared" si="1"/>
        <v>19.670050761421319</v>
      </c>
      <c r="J7" s="11">
        <f t="shared" si="2"/>
        <v>1.6129441624365481</v>
      </c>
      <c r="K7" s="11">
        <f t="shared" si="3"/>
        <v>3.8071065989847721</v>
      </c>
      <c r="L7" s="11">
        <f t="shared" si="4"/>
        <v>14.249999999999998</v>
      </c>
    </row>
    <row r="8" spans="1:13" ht="15.75" customHeight="1" x14ac:dyDescent="0.25">
      <c r="A8" s="11"/>
      <c r="B8" s="11"/>
      <c r="C8" s="11">
        <v>12.65</v>
      </c>
      <c r="D8" s="11">
        <v>0.9</v>
      </c>
      <c r="E8" s="11">
        <v>0.7</v>
      </c>
      <c r="F8" s="11">
        <v>8.1999999999999993</v>
      </c>
      <c r="G8" s="11">
        <v>24</v>
      </c>
      <c r="H8" s="11">
        <f t="shared" si="0"/>
        <v>14.25</v>
      </c>
      <c r="I8" s="11">
        <f t="shared" si="1"/>
        <v>19.670050761421319</v>
      </c>
      <c r="J8" s="11">
        <f t="shared" si="2"/>
        <v>1.6129441624365481</v>
      </c>
      <c r="K8" s="11">
        <f t="shared" si="3"/>
        <v>3.8071065989847721</v>
      </c>
      <c r="L8" s="11">
        <f t="shared" si="4"/>
        <v>14.249999999999998</v>
      </c>
    </row>
    <row r="9" spans="1:13" ht="15.75" customHeight="1" x14ac:dyDescent="0.25">
      <c r="A9" s="11"/>
      <c r="B9" s="11"/>
      <c r="C9" s="11">
        <v>12.65</v>
      </c>
      <c r="D9" s="11">
        <v>0.9</v>
      </c>
      <c r="E9" s="11">
        <v>0.7</v>
      </c>
      <c r="F9" s="11">
        <v>8.1999999999999993</v>
      </c>
      <c r="G9" s="11">
        <v>24</v>
      </c>
      <c r="H9" s="11">
        <f t="shared" si="0"/>
        <v>14.25</v>
      </c>
      <c r="I9" s="11">
        <f t="shared" si="1"/>
        <v>19.670050761421319</v>
      </c>
      <c r="J9" s="11">
        <f t="shared" si="2"/>
        <v>1.6129441624365481</v>
      </c>
      <c r="K9" s="11">
        <f t="shared" si="3"/>
        <v>3.8071065989847721</v>
      </c>
      <c r="L9" s="11">
        <f t="shared" si="4"/>
        <v>14.249999999999998</v>
      </c>
    </row>
    <row r="10" spans="1:13" ht="15.75" customHeight="1" x14ac:dyDescent="0.25">
      <c r="A10" s="11"/>
      <c r="B10" s="11"/>
      <c r="C10" s="11">
        <v>12.65</v>
      </c>
      <c r="D10" s="11">
        <v>0.9</v>
      </c>
      <c r="E10" s="11">
        <v>0.7</v>
      </c>
      <c r="F10" s="11">
        <v>8.1999999999999993</v>
      </c>
      <c r="G10" s="11">
        <v>24</v>
      </c>
      <c r="H10" s="11">
        <f t="shared" si="0"/>
        <v>14.25</v>
      </c>
      <c r="I10" s="11">
        <f t="shared" si="1"/>
        <v>19.670050761421319</v>
      </c>
      <c r="J10" s="11">
        <f t="shared" si="2"/>
        <v>1.6129441624365481</v>
      </c>
      <c r="K10" s="11">
        <f t="shared" si="3"/>
        <v>3.8071065989847721</v>
      </c>
      <c r="L10" s="11">
        <f t="shared" si="4"/>
        <v>14.249999999999998</v>
      </c>
    </row>
    <row r="11" spans="1:13" ht="15.75" customHeight="1" x14ac:dyDescent="0.25">
      <c r="A11" s="11"/>
      <c r="B11" s="11"/>
      <c r="C11" s="11">
        <v>12.65</v>
      </c>
      <c r="D11" s="11">
        <v>0.9</v>
      </c>
      <c r="E11" s="11">
        <v>0.7</v>
      </c>
      <c r="F11" s="11">
        <v>8.1999999999999993</v>
      </c>
      <c r="G11" s="11">
        <v>24</v>
      </c>
      <c r="H11" s="11">
        <f t="shared" si="0"/>
        <v>14.25</v>
      </c>
      <c r="I11" s="11">
        <f t="shared" si="1"/>
        <v>19.670050761421319</v>
      </c>
      <c r="J11" s="11">
        <f t="shared" si="2"/>
        <v>1.6129441624365481</v>
      </c>
      <c r="K11" s="11">
        <f t="shared" si="3"/>
        <v>3.8071065989847721</v>
      </c>
      <c r="L11" s="11">
        <f t="shared" si="4"/>
        <v>14.249999999999998</v>
      </c>
    </row>
    <row r="12" spans="1:13" ht="15.75" customHeight="1" x14ac:dyDescent="0.25">
      <c r="A12" s="11"/>
      <c r="B12" s="11"/>
      <c r="C12" s="11">
        <v>12.65</v>
      </c>
      <c r="D12" s="11">
        <v>0.9</v>
      </c>
      <c r="E12" s="11">
        <v>0.7</v>
      </c>
      <c r="F12" s="11">
        <v>8.1999999999999993</v>
      </c>
      <c r="G12" s="11">
        <v>24</v>
      </c>
      <c r="H12" s="11">
        <f t="shared" si="0"/>
        <v>14.25</v>
      </c>
      <c r="I12" s="11">
        <f t="shared" si="1"/>
        <v>19.670050761421319</v>
      </c>
      <c r="J12" s="11">
        <f t="shared" si="2"/>
        <v>1.6129441624365481</v>
      </c>
      <c r="K12" s="11">
        <f t="shared" si="3"/>
        <v>3.8071065989847721</v>
      </c>
      <c r="L12" s="11">
        <f t="shared" si="4"/>
        <v>14.249999999999998</v>
      </c>
    </row>
    <row r="13" spans="1:13" ht="15.75" customHeight="1" x14ac:dyDescent="0.25">
      <c r="A13" s="11"/>
      <c r="B13" s="11"/>
      <c r="C13" s="11">
        <v>12.65</v>
      </c>
      <c r="D13" s="11">
        <v>0.9</v>
      </c>
      <c r="E13" s="11">
        <v>0.7</v>
      </c>
      <c r="F13" s="11">
        <v>8.1999999999999993</v>
      </c>
      <c r="G13" s="11">
        <v>24</v>
      </c>
      <c r="H13" s="11">
        <f t="shared" si="0"/>
        <v>14.25</v>
      </c>
      <c r="I13" s="11">
        <f t="shared" si="1"/>
        <v>19.670050761421319</v>
      </c>
      <c r="J13" s="11">
        <f t="shared" si="2"/>
        <v>1.6129441624365481</v>
      </c>
      <c r="K13" s="11">
        <f t="shared" si="3"/>
        <v>3.8071065989847721</v>
      </c>
      <c r="L13" s="11">
        <f t="shared" si="4"/>
        <v>14.249999999999998</v>
      </c>
    </row>
    <row r="14" spans="1:13" ht="15.75" customHeight="1" x14ac:dyDescent="0.25">
      <c r="A14" s="11"/>
      <c r="B14" s="11"/>
      <c r="C14" s="11">
        <v>12.65</v>
      </c>
      <c r="D14" s="11">
        <v>0.9</v>
      </c>
      <c r="E14" s="11">
        <v>0.7</v>
      </c>
      <c r="F14" s="11">
        <v>8.1999999999999993</v>
      </c>
      <c r="G14" s="11">
        <v>24</v>
      </c>
      <c r="H14" s="11">
        <f t="shared" si="0"/>
        <v>14.25</v>
      </c>
      <c r="I14" s="11">
        <f t="shared" si="1"/>
        <v>19.670050761421319</v>
      </c>
      <c r="J14" s="11">
        <f t="shared" si="2"/>
        <v>1.6129441624365481</v>
      </c>
      <c r="K14" s="11">
        <f t="shared" si="3"/>
        <v>3.8071065989847721</v>
      </c>
      <c r="L14" s="11">
        <f t="shared" si="4"/>
        <v>14.249999999999998</v>
      </c>
    </row>
    <row r="15" spans="1:13" ht="15.75" customHeight="1" x14ac:dyDescent="0.25">
      <c r="A15" s="11"/>
      <c r="B15" s="11"/>
      <c r="C15" s="11">
        <v>12.65</v>
      </c>
      <c r="D15" s="11">
        <v>0.9</v>
      </c>
      <c r="E15" s="11">
        <v>0.7</v>
      </c>
      <c r="F15" s="11">
        <v>8.1999999999999993</v>
      </c>
      <c r="G15" s="11">
        <v>24</v>
      </c>
      <c r="H15" s="11">
        <f t="shared" si="0"/>
        <v>14.25</v>
      </c>
      <c r="I15" s="11">
        <f t="shared" si="1"/>
        <v>19.670050761421319</v>
      </c>
      <c r="J15" s="11">
        <f t="shared" si="2"/>
        <v>1.6129441624365481</v>
      </c>
      <c r="K15" s="11">
        <f t="shared" si="3"/>
        <v>3.8071065989847721</v>
      </c>
      <c r="L15" s="11">
        <f t="shared" si="4"/>
        <v>14.249999999999998</v>
      </c>
    </row>
    <row r="16" spans="1:13" ht="15.75" customHeight="1" x14ac:dyDescent="0.25">
      <c r="A16" s="11"/>
      <c r="B16" s="11"/>
      <c r="C16" s="11">
        <v>12.65</v>
      </c>
      <c r="D16" s="11">
        <v>0.9</v>
      </c>
      <c r="E16" s="11">
        <v>0.7</v>
      </c>
      <c r="F16" s="11">
        <v>8.1999999999999993</v>
      </c>
      <c r="G16" s="11">
        <v>24</v>
      </c>
      <c r="H16" s="11">
        <f t="shared" si="0"/>
        <v>14.25</v>
      </c>
      <c r="I16" s="11">
        <f t="shared" si="1"/>
        <v>19.670050761421319</v>
      </c>
      <c r="J16" s="11">
        <f t="shared" si="2"/>
        <v>1.6129441624365481</v>
      </c>
      <c r="K16" s="11">
        <f t="shared" si="3"/>
        <v>3.8071065989847721</v>
      </c>
      <c r="L16" s="11">
        <f t="shared" si="4"/>
        <v>14.249999999999998</v>
      </c>
    </row>
    <row r="17" spans="1:12" ht="15.75" customHeight="1" x14ac:dyDescent="0.25">
      <c r="A17" s="11"/>
      <c r="B17" s="11"/>
      <c r="C17" s="11">
        <v>12.65</v>
      </c>
      <c r="D17" s="11">
        <v>0.9</v>
      </c>
      <c r="E17" s="11">
        <v>0.7</v>
      </c>
      <c r="F17" s="11">
        <v>8.1999999999999993</v>
      </c>
      <c r="G17" s="11">
        <v>24</v>
      </c>
      <c r="H17" s="11">
        <f t="shared" si="0"/>
        <v>14.25</v>
      </c>
      <c r="I17" s="11">
        <f t="shared" si="1"/>
        <v>19.670050761421319</v>
      </c>
      <c r="J17" s="11">
        <f t="shared" si="2"/>
        <v>1.6129441624365481</v>
      </c>
      <c r="K17" s="11">
        <f t="shared" si="3"/>
        <v>3.8071065989847721</v>
      </c>
      <c r="L17" s="11">
        <f t="shared" si="4"/>
        <v>14.249999999999998</v>
      </c>
    </row>
    <row r="18" spans="1:12" ht="15.75" customHeight="1" x14ac:dyDescent="0.25">
      <c r="A18" s="11"/>
      <c r="B18" s="11"/>
      <c r="C18" s="11">
        <v>12.65</v>
      </c>
      <c r="D18" s="11">
        <v>0.9</v>
      </c>
      <c r="E18" s="11">
        <v>0.7</v>
      </c>
      <c r="F18" s="11">
        <v>8.1999999999999993</v>
      </c>
      <c r="G18" s="11">
        <v>24</v>
      </c>
      <c r="H18" s="11">
        <f t="shared" si="0"/>
        <v>14.25</v>
      </c>
      <c r="I18" s="11">
        <f t="shared" si="1"/>
        <v>19.670050761421319</v>
      </c>
      <c r="J18" s="11">
        <f t="shared" si="2"/>
        <v>1.6129441624365481</v>
      </c>
      <c r="K18" s="11">
        <f t="shared" si="3"/>
        <v>3.8071065989847721</v>
      </c>
      <c r="L18" s="11">
        <f t="shared" si="4"/>
        <v>14.249999999999998</v>
      </c>
    </row>
    <row r="19" spans="1:12" ht="15.75" customHeight="1" x14ac:dyDescent="0.25">
      <c r="A19" s="11"/>
      <c r="B19" s="11"/>
      <c r="C19" s="11">
        <v>12.65</v>
      </c>
      <c r="D19" s="11">
        <v>0.9</v>
      </c>
      <c r="E19" s="11">
        <v>0.7</v>
      </c>
      <c r="F19" s="11">
        <v>8.1999999999999993</v>
      </c>
      <c r="G19" s="11">
        <v>24</v>
      </c>
      <c r="H19" s="11">
        <f t="shared" si="0"/>
        <v>14.25</v>
      </c>
      <c r="I19" s="11">
        <f t="shared" si="1"/>
        <v>19.670050761421319</v>
      </c>
      <c r="J19" s="11">
        <f t="shared" si="2"/>
        <v>1.6129441624365481</v>
      </c>
      <c r="K19" s="11">
        <f t="shared" si="3"/>
        <v>3.8071065989847721</v>
      </c>
      <c r="L19" s="11">
        <f t="shared" si="4"/>
        <v>14.249999999999998</v>
      </c>
    </row>
    <row r="20" spans="1:12" ht="15.75" customHeight="1" x14ac:dyDescent="0.25">
      <c r="A20" s="11"/>
      <c r="B20" s="11"/>
      <c r="C20" s="11">
        <v>12.65</v>
      </c>
      <c r="D20" s="11">
        <v>0.9</v>
      </c>
      <c r="E20" s="11">
        <v>0.7</v>
      </c>
      <c r="F20" s="11">
        <v>8.1999999999999993</v>
      </c>
      <c r="G20" s="11">
        <v>24</v>
      </c>
      <c r="H20" s="11">
        <f t="shared" si="0"/>
        <v>14.25</v>
      </c>
      <c r="I20" s="11">
        <f t="shared" si="1"/>
        <v>19.670050761421319</v>
      </c>
      <c r="J20" s="11">
        <f t="shared" si="2"/>
        <v>1.6129441624365481</v>
      </c>
      <c r="K20" s="11">
        <f t="shared" si="3"/>
        <v>3.8071065989847721</v>
      </c>
      <c r="L20" s="11">
        <f t="shared" si="4"/>
        <v>14.249999999999998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L17"/>
  <sheetViews>
    <sheetView workbookViewId="0">
      <selection activeCell="N6" sqref="N6"/>
    </sheetView>
  </sheetViews>
  <sheetFormatPr defaultColWidth="12.5703125" defaultRowHeight="15.75" customHeight="1" x14ac:dyDescent="0.2"/>
  <cols>
    <col min="1" max="1" width="47.5703125" customWidth="1"/>
    <col min="2" max="2" width="19.7109375" customWidth="1"/>
    <col min="3" max="3" width="6.42578125" customWidth="1"/>
    <col min="8" max="8" width="7" customWidth="1"/>
  </cols>
  <sheetData>
    <row r="2" spans="1:12" x14ac:dyDescent="0.2">
      <c r="A2" s="6" t="s">
        <v>344</v>
      </c>
      <c r="B2" s="6" t="s">
        <v>345</v>
      </c>
      <c r="C2" s="12">
        <v>18.899999999999999</v>
      </c>
      <c r="D2" s="12">
        <v>0.9</v>
      </c>
      <c r="E2" s="12">
        <f t="shared" ref="E2:E17" si="0">SUM(C2)+D2</f>
        <v>19.799999999999997</v>
      </c>
      <c r="F2" s="12">
        <v>1.1299999999999999</v>
      </c>
      <c r="G2" s="12">
        <f t="shared" ref="G2:G17" si="1">SUM(E2)*F2</f>
        <v>22.373999999999995</v>
      </c>
      <c r="H2" s="12">
        <v>1.1214999999999999</v>
      </c>
      <c r="I2" s="12">
        <f t="shared" ref="I2:I17" si="2">SUM(G2)*H2</f>
        <v>25.092440999999994</v>
      </c>
      <c r="J2" s="12">
        <v>1.44</v>
      </c>
      <c r="K2" s="12">
        <f t="shared" ref="K2:K17" si="3">SUM(I2)+J2</f>
        <v>26.532440999999995</v>
      </c>
      <c r="L2" s="12">
        <v>31.9</v>
      </c>
    </row>
    <row r="3" spans="1:12" x14ac:dyDescent="0.2">
      <c r="A3" s="6" t="s">
        <v>346</v>
      </c>
      <c r="B3" s="6">
        <v>5213004632749</v>
      </c>
      <c r="C3" s="12">
        <v>18.899999999999999</v>
      </c>
      <c r="D3" s="12">
        <v>0.9</v>
      </c>
      <c r="E3" s="12">
        <f t="shared" si="0"/>
        <v>19.799999999999997</v>
      </c>
      <c r="F3" s="12">
        <v>1.1299999999999999</v>
      </c>
      <c r="G3" s="12">
        <f t="shared" si="1"/>
        <v>22.373999999999995</v>
      </c>
      <c r="H3" s="12">
        <v>1.1214999999999999</v>
      </c>
      <c r="I3" s="12">
        <f t="shared" si="2"/>
        <v>25.092440999999994</v>
      </c>
      <c r="J3" s="12">
        <v>1.44</v>
      </c>
      <c r="K3" s="12">
        <f t="shared" si="3"/>
        <v>26.532440999999995</v>
      </c>
      <c r="L3" s="12">
        <v>31.9</v>
      </c>
    </row>
    <row r="4" spans="1:12" x14ac:dyDescent="0.2">
      <c r="A4" s="6" t="s">
        <v>347</v>
      </c>
      <c r="B4" s="6" t="s">
        <v>348</v>
      </c>
      <c r="C4" s="12">
        <v>17.010000000000002</v>
      </c>
      <c r="D4" s="12">
        <v>0.9</v>
      </c>
      <c r="E4" s="12">
        <f t="shared" si="0"/>
        <v>17.91</v>
      </c>
      <c r="F4" s="12">
        <v>1.1299999999999999</v>
      </c>
      <c r="G4" s="12">
        <f t="shared" si="1"/>
        <v>20.238299999999999</v>
      </c>
      <c r="H4" s="12">
        <v>1.1214999999999999</v>
      </c>
      <c r="I4" s="12">
        <f t="shared" si="2"/>
        <v>22.697253449999998</v>
      </c>
      <c r="J4" s="12">
        <v>1.44</v>
      </c>
      <c r="K4" s="12">
        <f t="shared" si="3"/>
        <v>24.137253449999999</v>
      </c>
      <c r="L4" s="12">
        <v>28.5</v>
      </c>
    </row>
    <row r="5" spans="1:12" x14ac:dyDescent="0.2">
      <c r="A5" s="6" t="s">
        <v>349</v>
      </c>
      <c r="B5" s="6" t="s">
        <v>350</v>
      </c>
      <c r="C5" s="12">
        <v>18.899999999999999</v>
      </c>
      <c r="D5" s="12">
        <v>0.9</v>
      </c>
      <c r="E5" s="12">
        <f t="shared" si="0"/>
        <v>19.799999999999997</v>
      </c>
      <c r="F5" s="12">
        <v>1.24</v>
      </c>
      <c r="G5" s="12">
        <f t="shared" si="1"/>
        <v>24.551999999999996</v>
      </c>
      <c r="H5" s="12">
        <v>1.1214999999999999</v>
      </c>
      <c r="I5" s="12">
        <f t="shared" si="2"/>
        <v>27.535067999999995</v>
      </c>
      <c r="J5" s="12">
        <v>1.27</v>
      </c>
      <c r="K5" s="12">
        <f t="shared" si="3"/>
        <v>28.805067999999995</v>
      </c>
      <c r="L5" s="12">
        <v>34.5</v>
      </c>
    </row>
    <row r="6" spans="1:12" x14ac:dyDescent="0.2">
      <c r="A6" s="6" t="s">
        <v>351</v>
      </c>
      <c r="B6" s="6" t="s">
        <v>352</v>
      </c>
      <c r="C6" s="12">
        <v>17.010000000000002</v>
      </c>
      <c r="D6" s="12">
        <v>0.9</v>
      </c>
      <c r="E6" s="12">
        <f t="shared" si="0"/>
        <v>17.91</v>
      </c>
      <c r="F6" s="12">
        <v>1.24</v>
      </c>
      <c r="G6" s="12">
        <f t="shared" si="1"/>
        <v>22.208400000000001</v>
      </c>
      <c r="H6" s="12">
        <v>1.1214999999999999</v>
      </c>
      <c r="I6" s="12">
        <f t="shared" si="2"/>
        <v>24.9067206</v>
      </c>
      <c r="J6" s="12">
        <v>1.27</v>
      </c>
      <c r="K6" s="12">
        <f t="shared" si="3"/>
        <v>26.176720599999999</v>
      </c>
      <c r="L6" s="12">
        <v>31</v>
      </c>
    </row>
    <row r="7" spans="1:12" x14ac:dyDescent="0.2">
      <c r="C7" s="12">
        <v>0</v>
      </c>
      <c r="D7" s="12">
        <v>0.9</v>
      </c>
      <c r="E7" s="12">
        <f t="shared" si="0"/>
        <v>0.9</v>
      </c>
      <c r="F7" s="12">
        <v>1.24</v>
      </c>
      <c r="G7" s="12">
        <f t="shared" si="1"/>
        <v>1.1160000000000001</v>
      </c>
      <c r="H7" s="12">
        <v>1.1214999999999999</v>
      </c>
      <c r="I7" s="12">
        <f t="shared" si="2"/>
        <v>1.2515940000000001</v>
      </c>
      <c r="J7" s="12">
        <v>0.73999999999999899</v>
      </c>
      <c r="K7" s="12">
        <f t="shared" si="3"/>
        <v>1.9915939999999992</v>
      </c>
    </row>
    <row r="8" spans="1:12" x14ac:dyDescent="0.2">
      <c r="C8" s="12">
        <v>0</v>
      </c>
      <c r="D8" s="12">
        <v>0.9</v>
      </c>
      <c r="E8" s="12">
        <f t="shared" si="0"/>
        <v>0.9</v>
      </c>
      <c r="F8" s="12">
        <v>1.24</v>
      </c>
      <c r="G8" s="12">
        <f t="shared" si="1"/>
        <v>1.1160000000000001</v>
      </c>
      <c r="H8" s="12">
        <v>1.1214999999999999</v>
      </c>
      <c r="I8" s="12">
        <f t="shared" si="2"/>
        <v>1.2515940000000001</v>
      </c>
      <c r="J8" s="12">
        <v>0.73999999999999899</v>
      </c>
      <c r="K8" s="12">
        <f t="shared" si="3"/>
        <v>1.9915939999999992</v>
      </c>
    </row>
    <row r="9" spans="1:12" x14ac:dyDescent="0.2">
      <c r="C9" s="12">
        <v>0</v>
      </c>
      <c r="D9" s="12">
        <v>0.9</v>
      </c>
      <c r="E9" s="12">
        <f t="shared" si="0"/>
        <v>0.9</v>
      </c>
      <c r="F9" s="12">
        <v>1.24</v>
      </c>
      <c r="G9" s="12">
        <f t="shared" si="1"/>
        <v>1.1160000000000001</v>
      </c>
      <c r="H9" s="12">
        <v>1.1214999999999999</v>
      </c>
      <c r="I9" s="12">
        <f t="shared" si="2"/>
        <v>1.2515940000000001</v>
      </c>
      <c r="J9" s="12">
        <v>0.73999999999999899</v>
      </c>
      <c r="K9" s="12">
        <f t="shared" si="3"/>
        <v>1.9915939999999992</v>
      </c>
    </row>
    <row r="10" spans="1:12" x14ac:dyDescent="0.2">
      <c r="C10" s="12">
        <v>0</v>
      </c>
      <c r="D10" s="12">
        <v>0.9</v>
      </c>
      <c r="E10" s="12">
        <f t="shared" si="0"/>
        <v>0.9</v>
      </c>
      <c r="F10" s="12">
        <v>1.24</v>
      </c>
      <c r="G10" s="12">
        <f t="shared" si="1"/>
        <v>1.1160000000000001</v>
      </c>
      <c r="H10" s="12">
        <v>1.1214999999999999</v>
      </c>
      <c r="I10" s="12">
        <f t="shared" si="2"/>
        <v>1.2515940000000001</v>
      </c>
      <c r="J10" s="12">
        <v>0.73999999999999899</v>
      </c>
      <c r="K10" s="12">
        <f t="shared" si="3"/>
        <v>1.9915939999999992</v>
      </c>
    </row>
    <row r="11" spans="1:12" x14ac:dyDescent="0.2">
      <c r="C11" s="12">
        <v>0</v>
      </c>
      <c r="D11" s="12">
        <v>0.9</v>
      </c>
      <c r="E11" s="12">
        <f t="shared" si="0"/>
        <v>0.9</v>
      </c>
      <c r="F11" s="12">
        <v>1.24</v>
      </c>
      <c r="G11" s="12">
        <f t="shared" si="1"/>
        <v>1.1160000000000001</v>
      </c>
      <c r="H11" s="12">
        <v>1.1214999999999999</v>
      </c>
      <c r="I11" s="12">
        <f t="shared" si="2"/>
        <v>1.2515940000000001</v>
      </c>
      <c r="J11" s="12">
        <v>0.73999999999999899</v>
      </c>
      <c r="K11" s="12">
        <f t="shared" si="3"/>
        <v>1.9915939999999992</v>
      </c>
    </row>
    <row r="12" spans="1:12" x14ac:dyDescent="0.2">
      <c r="C12" s="12">
        <v>0</v>
      </c>
      <c r="D12" s="12">
        <v>0.9</v>
      </c>
      <c r="E12" s="12">
        <f t="shared" si="0"/>
        <v>0.9</v>
      </c>
      <c r="F12" s="12">
        <v>1.24</v>
      </c>
      <c r="G12" s="12">
        <f t="shared" si="1"/>
        <v>1.1160000000000001</v>
      </c>
      <c r="H12" s="12">
        <v>1.1214999999999999</v>
      </c>
      <c r="I12" s="12">
        <f t="shared" si="2"/>
        <v>1.2515940000000001</v>
      </c>
      <c r="J12" s="12">
        <v>0.73999999999999899</v>
      </c>
      <c r="K12" s="12">
        <f t="shared" si="3"/>
        <v>1.9915939999999992</v>
      </c>
    </row>
    <row r="13" spans="1:12" x14ac:dyDescent="0.2">
      <c r="C13" s="12">
        <v>0</v>
      </c>
      <c r="D13" s="12">
        <v>0.9</v>
      </c>
      <c r="E13" s="12">
        <f t="shared" si="0"/>
        <v>0.9</v>
      </c>
      <c r="F13" s="12">
        <v>1.24</v>
      </c>
      <c r="G13" s="12">
        <f t="shared" si="1"/>
        <v>1.1160000000000001</v>
      </c>
      <c r="H13" s="12">
        <v>1.1214999999999999</v>
      </c>
      <c r="I13" s="12">
        <f t="shared" si="2"/>
        <v>1.2515940000000001</v>
      </c>
      <c r="J13" s="12">
        <v>0.73999999999999899</v>
      </c>
      <c r="K13" s="12">
        <f t="shared" si="3"/>
        <v>1.9915939999999992</v>
      </c>
    </row>
    <row r="14" spans="1:12" x14ac:dyDescent="0.2">
      <c r="C14" s="12">
        <v>0</v>
      </c>
      <c r="D14" s="12">
        <v>0.9</v>
      </c>
      <c r="E14" s="12">
        <f t="shared" si="0"/>
        <v>0.9</v>
      </c>
      <c r="F14" s="12">
        <v>1.24</v>
      </c>
      <c r="G14" s="12">
        <f t="shared" si="1"/>
        <v>1.1160000000000001</v>
      </c>
      <c r="H14" s="12">
        <v>1.1214999999999999</v>
      </c>
      <c r="I14" s="12">
        <f t="shared" si="2"/>
        <v>1.2515940000000001</v>
      </c>
      <c r="J14" s="12">
        <v>0.73999999999999899</v>
      </c>
      <c r="K14" s="12">
        <f t="shared" si="3"/>
        <v>1.9915939999999992</v>
      </c>
    </row>
    <row r="15" spans="1:12" x14ac:dyDescent="0.2">
      <c r="C15" s="12">
        <v>0</v>
      </c>
      <c r="D15" s="12">
        <v>0.9</v>
      </c>
      <c r="E15" s="12">
        <f t="shared" si="0"/>
        <v>0.9</v>
      </c>
      <c r="F15" s="12">
        <v>1.24</v>
      </c>
      <c r="G15" s="12">
        <f t="shared" si="1"/>
        <v>1.1160000000000001</v>
      </c>
      <c r="H15" s="12">
        <v>1.1214999999999999</v>
      </c>
      <c r="I15" s="12">
        <f t="shared" si="2"/>
        <v>1.2515940000000001</v>
      </c>
      <c r="J15" s="12">
        <v>0.73999999999999899</v>
      </c>
      <c r="K15" s="12">
        <f t="shared" si="3"/>
        <v>1.9915939999999992</v>
      </c>
    </row>
    <row r="16" spans="1:12" x14ac:dyDescent="0.2">
      <c r="C16" s="12">
        <v>0</v>
      </c>
      <c r="D16" s="12">
        <v>0.9</v>
      </c>
      <c r="E16" s="12">
        <f t="shared" si="0"/>
        <v>0.9</v>
      </c>
      <c r="F16" s="12">
        <v>1.24</v>
      </c>
      <c r="G16" s="12">
        <f t="shared" si="1"/>
        <v>1.1160000000000001</v>
      </c>
      <c r="H16" s="12">
        <v>1.1214999999999999</v>
      </c>
      <c r="I16" s="12">
        <f t="shared" si="2"/>
        <v>1.2515940000000001</v>
      </c>
      <c r="J16" s="12">
        <v>0.73999999999999899</v>
      </c>
      <c r="K16" s="12">
        <f t="shared" si="3"/>
        <v>1.9915939999999992</v>
      </c>
    </row>
    <row r="17" spans="3:11" x14ac:dyDescent="0.2">
      <c r="C17" s="12">
        <v>0</v>
      </c>
      <c r="D17" s="12">
        <v>0.9</v>
      </c>
      <c r="E17" s="12">
        <f t="shared" si="0"/>
        <v>0.9</v>
      </c>
      <c r="F17" s="12">
        <v>1.24</v>
      </c>
      <c r="G17" s="12">
        <f t="shared" si="1"/>
        <v>1.1160000000000001</v>
      </c>
      <c r="H17" s="12">
        <v>1.1214999999999999</v>
      </c>
      <c r="I17" s="12">
        <f t="shared" si="2"/>
        <v>1.2515940000000001</v>
      </c>
      <c r="J17" s="12">
        <v>0.73999999999999899</v>
      </c>
      <c r="K17" s="12">
        <f t="shared" si="3"/>
        <v>1.9915939999999992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2:AC32"/>
  <sheetViews>
    <sheetView workbookViewId="0"/>
  </sheetViews>
  <sheetFormatPr defaultColWidth="12.5703125" defaultRowHeight="15.75" customHeight="1" x14ac:dyDescent="0.2"/>
  <cols>
    <col min="1" max="1" width="16.140625" customWidth="1"/>
    <col min="2" max="2" width="9.85546875" customWidth="1"/>
  </cols>
  <sheetData>
    <row r="2" spans="1:29" ht="14.25" x14ac:dyDescent="0.2">
      <c r="A2" s="13" t="s">
        <v>353</v>
      </c>
      <c r="B2" s="14">
        <v>4751018781585</v>
      </c>
      <c r="C2" s="15">
        <v>11.28</v>
      </c>
      <c r="D2" s="15">
        <v>0.9</v>
      </c>
      <c r="E2" s="15">
        <f t="shared" ref="E2:E11" si="0">SUM(C2)+D2</f>
        <v>12.18</v>
      </c>
      <c r="F2" s="15">
        <v>1.24</v>
      </c>
      <c r="G2" s="15">
        <f t="shared" ref="G2:G11" si="1">SUM(E2)*F2</f>
        <v>15.103199999999999</v>
      </c>
      <c r="H2" s="15">
        <v>1.1214999999999999</v>
      </c>
      <c r="I2" s="15">
        <f t="shared" ref="I2:I11" si="2">SUM(G2)*H2</f>
        <v>16.938238799999997</v>
      </c>
      <c r="J2" s="15">
        <v>0.73999999999999899</v>
      </c>
      <c r="K2" s="15">
        <f t="shared" ref="K2:K11" si="3">SUM(I2)+J2</f>
        <v>17.678238799999995</v>
      </c>
      <c r="L2" s="15">
        <v>20.9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1:29" ht="14.25" x14ac:dyDescent="0.2">
      <c r="A3" s="6" t="s">
        <v>354</v>
      </c>
      <c r="B3" s="14" t="s">
        <v>355</v>
      </c>
      <c r="C3" s="15">
        <v>8.24</v>
      </c>
      <c r="D3" s="15">
        <v>0.9</v>
      </c>
      <c r="E3" s="15">
        <f t="shared" si="0"/>
        <v>9.14</v>
      </c>
      <c r="F3" s="15">
        <v>1.24</v>
      </c>
      <c r="G3" s="15">
        <f t="shared" si="1"/>
        <v>11.333600000000001</v>
      </c>
      <c r="H3" s="15">
        <v>1.1214999999999999</v>
      </c>
      <c r="I3" s="15">
        <f t="shared" si="2"/>
        <v>12.7106324</v>
      </c>
      <c r="J3" s="15">
        <v>1.49</v>
      </c>
      <c r="K3" s="15">
        <f t="shared" si="3"/>
        <v>14.2006324</v>
      </c>
      <c r="L3" s="15">
        <v>14.7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29" ht="14.25" x14ac:dyDescent="0.2">
      <c r="A4" s="6" t="s">
        <v>356</v>
      </c>
      <c r="B4" s="14" t="s">
        <v>357</v>
      </c>
      <c r="C4" s="15">
        <v>5.52</v>
      </c>
      <c r="D4" s="15">
        <v>0.9</v>
      </c>
      <c r="E4" s="15">
        <f t="shared" si="0"/>
        <v>6.42</v>
      </c>
      <c r="F4" s="15">
        <v>1.24</v>
      </c>
      <c r="G4" s="15">
        <f t="shared" si="1"/>
        <v>7.9607999999999999</v>
      </c>
      <c r="H4" s="15">
        <v>1.1214999999999999</v>
      </c>
      <c r="I4" s="15">
        <f t="shared" si="2"/>
        <v>8.9280371999999986</v>
      </c>
      <c r="J4" s="15">
        <v>0.73999999999999899</v>
      </c>
      <c r="K4" s="15">
        <f t="shared" si="3"/>
        <v>9.668037199999997</v>
      </c>
      <c r="L4" s="15">
        <v>10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29" ht="14.25" x14ac:dyDescent="0.2">
      <c r="A5" s="6" t="s">
        <v>358</v>
      </c>
      <c r="B5" s="14" t="s">
        <v>359</v>
      </c>
      <c r="C5" s="15">
        <v>4.24</v>
      </c>
      <c r="D5" s="15">
        <v>0.3</v>
      </c>
      <c r="E5" s="15">
        <f t="shared" si="0"/>
        <v>4.54</v>
      </c>
      <c r="F5" s="15">
        <v>1.24</v>
      </c>
      <c r="G5" s="15">
        <f t="shared" si="1"/>
        <v>5.6295999999999999</v>
      </c>
      <c r="H5" s="15">
        <v>1.1214999999999999</v>
      </c>
      <c r="I5" s="15">
        <f t="shared" si="2"/>
        <v>6.3135963999999998</v>
      </c>
      <c r="J5" s="15">
        <v>0.25</v>
      </c>
      <c r="K5" s="15">
        <f t="shared" si="3"/>
        <v>6.5635963999999998</v>
      </c>
      <c r="L5" s="15">
        <v>6.98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1:29" ht="12.75" x14ac:dyDescent="0.2">
      <c r="A6" s="6" t="s">
        <v>360</v>
      </c>
      <c r="B6" s="6" t="s">
        <v>361</v>
      </c>
      <c r="C6" s="12">
        <v>10.96</v>
      </c>
      <c r="D6" s="12">
        <v>0.9</v>
      </c>
      <c r="E6" s="12">
        <f t="shared" si="0"/>
        <v>11.860000000000001</v>
      </c>
      <c r="F6" s="12">
        <v>1.24</v>
      </c>
      <c r="G6" s="12">
        <f t="shared" si="1"/>
        <v>14.706400000000002</v>
      </c>
      <c r="H6" s="12">
        <v>1.1214999999999999</v>
      </c>
      <c r="I6" s="12">
        <f t="shared" si="2"/>
        <v>16.493227600000001</v>
      </c>
      <c r="J6" s="12">
        <v>0.73999999999999899</v>
      </c>
      <c r="K6" s="12">
        <f t="shared" si="3"/>
        <v>17.233227599999999</v>
      </c>
      <c r="L6" s="12">
        <v>18.2</v>
      </c>
    </row>
    <row r="7" spans="1:29" ht="12.75" x14ac:dyDescent="0.2">
      <c r="A7" s="6" t="s">
        <v>362</v>
      </c>
      <c r="B7" s="6" t="s">
        <v>363</v>
      </c>
      <c r="C7" s="12">
        <v>12.24</v>
      </c>
      <c r="D7" s="12">
        <v>0.9</v>
      </c>
      <c r="E7" s="12">
        <f t="shared" si="0"/>
        <v>13.14</v>
      </c>
      <c r="F7" s="12">
        <v>1.24</v>
      </c>
      <c r="G7" s="12">
        <f t="shared" si="1"/>
        <v>16.293600000000001</v>
      </c>
      <c r="H7" s="12">
        <v>1.1214999999999999</v>
      </c>
      <c r="I7" s="12">
        <f t="shared" si="2"/>
        <v>18.2732724</v>
      </c>
      <c r="J7" s="12">
        <v>0.73999999999999899</v>
      </c>
      <c r="K7" s="12">
        <f t="shared" si="3"/>
        <v>19.013272399999998</v>
      </c>
      <c r="L7" s="12">
        <v>21.8</v>
      </c>
    </row>
    <row r="8" spans="1:29" ht="12.75" x14ac:dyDescent="0.2">
      <c r="C8" s="12">
        <v>0</v>
      </c>
      <c r="D8" s="12">
        <v>0.9</v>
      </c>
      <c r="E8" s="12">
        <f t="shared" si="0"/>
        <v>0.9</v>
      </c>
      <c r="F8" s="12">
        <v>1.24</v>
      </c>
      <c r="G8" s="12">
        <f t="shared" si="1"/>
        <v>1.1160000000000001</v>
      </c>
      <c r="H8" s="12">
        <v>1.1214999999999999</v>
      </c>
      <c r="I8" s="12">
        <f t="shared" si="2"/>
        <v>1.2515940000000001</v>
      </c>
      <c r="J8" s="12">
        <v>0.73999999999999899</v>
      </c>
      <c r="K8" s="12">
        <f t="shared" si="3"/>
        <v>1.9915939999999992</v>
      </c>
    </row>
    <row r="9" spans="1:29" ht="12.75" x14ac:dyDescent="0.2">
      <c r="C9" s="12">
        <v>0</v>
      </c>
      <c r="D9" s="12">
        <v>0.9</v>
      </c>
      <c r="E9" s="12">
        <f t="shared" si="0"/>
        <v>0.9</v>
      </c>
      <c r="F9" s="12">
        <v>1.24</v>
      </c>
      <c r="G9" s="12">
        <f t="shared" si="1"/>
        <v>1.1160000000000001</v>
      </c>
      <c r="H9" s="12">
        <v>1.1214999999999999</v>
      </c>
      <c r="I9" s="12">
        <f t="shared" si="2"/>
        <v>1.2515940000000001</v>
      </c>
      <c r="J9" s="12">
        <v>0.73999999999999899</v>
      </c>
      <c r="K9" s="12">
        <f t="shared" si="3"/>
        <v>1.9915939999999992</v>
      </c>
    </row>
    <row r="10" spans="1:29" ht="12.75" x14ac:dyDescent="0.2">
      <c r="C10" s="12">
        <v>0</v>
      </c>
      <c r="D10" s="12">
        <v>0.9</v>
      </c>
      <c r="E10" s="12">
        <f t="shared" si="0"/>
        <v>0.9</v>
      </c>
      <c r="F10" s="12">
        <v>1.24</v>
      </c>
      <c r="G10" s="12">
        <f t="shared" si="1"/>
        <v>1.1160000000000001</v>
      </c>
      <c r="H10" s="12">
        <v>1.1214999999999999</v>
      </c>
      <c r="I10" s="12">
        <f t="shared" si="2"/>
        <v>1.2515940000000001</v>
      </c>
      <c r="J10" s="12">
        <v>0.73999999999999899</v>
      </c>
      <c r="K10" s="12">
        <f t="shared" si="3"/>
        <v>1.9915939999999992</v>
      </c>
    </row>
    <row r="11" spans="1:29" ht="12.75" x14ac:dyDescent="0.2">
      <c r="C11" s="12">
        <v>0</v>
      </c>
      <c r="D11" s="12">
        <v>0.9</v>
      </c>
      <c r="E11" s="12">
        <f t="shared" si="0"/>
        <v>0.9</v>
      </c>
      <c r="F11" s="12">
        <v>1.24</v>
      </c>
      <c r="G11" s="12">
        <f t="shared" si="1"/>
        <v>1.1160000000000001</v>
      </c>
      <c r="H11" s="12">
        <v>1.1214999999999999</v>
      </c>
      <c r="I11" s="12">
        <f t="shared" si="2"/>
        <v>1.2515940000000001</v>
      </c>
      <c r="J11" s="12">
        <v>0.73999999999999899</v>
      </c>
      <c r="K11" s="12">
        <f t="shared" si="3"/>
        <v>1.9915939999999992</v>
      </c>
    </row>
    <row r="13" spans="1:29" ht="15.75" customHeight="1" x14ac:dyDescent="0.25">
      <c r="C13" s="7" t="s">
        <v>314</v>
      </c>
      <c r="D13" s="7" t="s">
        <v>315</v>
      </c>
      <c r="E13" s="7" t="s">
        <v>316</v>
      </c>
      <c r="F13" s="7" t="s">
        <v>317</v>
      </c>
      <c r="G13" s="7" t="s">
        <v>318</v>
      </c>
      <c r="H13" s="7" t="s">
        <v>319</v>
      </c>
      <c r="I13" s="7" t="s">
        <v>320</v>
      </c>
      <c r="J13" s="7" t="s">
        <v>321</v>
      </c>
      <c r="K13" s="7" t="s">
        <v>322</v>
      </c>
      <c r="L13" s="7" t="s">
        <v>323</v>
      </c>
    </row>
    <row r="14" spans="1:29" ht="15.75" customHeight="1" x14ac:dyDescent="0.25">
      <c r="A14" s="13" t="s">
        <v>353</v>
      </c>
      <c r="B14" s="14">
        <v>4751018781585</v>
      </c>
      <c r="C14" s="15">
        <v>11.28</v>
      </c>
      <c r="D14" s="9">
        <v>0.9</v>
      </c>
      <c r="E14" s="9">
        <v>0.7</v>
      </c>
      <c r="F14" s="9">
        <v>8.1999999999999993</v>
      </c>
      <c r="G14" s="9">
        <v>24</v>
      </c>
      <c r="H14" s="9">
        <f t="shared" ref="H14:H32" si="4">C14+D14+E14</f>
        <v>12.879999999999999</v>
      </c>
      <c r="I14" s="16">
        <f t="shared" ref="I14:I32" si="5">H14 / (1 - F14/100 - (1 - 1/(1 + G14/100)))</f>
        <v>17.778965179446072</v>
      </c>
      <c r="J14" s="9">
        <f t="shared" ref="J14:J32" si="6">I14 * F14 / 100</f>
        <v>1.4578751447145777</v>
      </c>
      <c r="K14" s="9">
        <f t="shared" ref="K14:K32" si="7">I14 - (I14 / (1 + G14/100))</f>
        <v>3.4410900347314968</v>
      </c>
      <c r="L14" s="9">
        <f t="shared" ref="L14:L32" si="8">I14 - J14 - K14</f>
        <v>12.879999999999997</v>
      </c>
      <c r="M14" s="15">
        <v>20.9</v>
      </c>
    </row>
    <row r="15" spans="1:29" ht="15.75" customHeight="1" x14ac:dyDescent="0.25">
      <c r="A15" s="6" t="s">
        <v>354</v>
      </c>
      <c r="B15" s="14" t="s">
        <v>355</v>
      </c>
      <c r="C15" s="15">
        <v>8.24</v>
      </c>
      <c r="D15" s="9">
        <v>0.9</v>
      </c>
      <c r="E15" s="9">
        <v>0.7</v>
      </c>
      <c r="F15" s="9">
        <v>8.1999999999999993</v>
      </c>
      <c r="G15" s="9">
        <v>24</v>
      </c>
      <c r="H15" s="9">
        <f t="shared" si="4"/>
        <v>9.84</v>
      </c>
      <c r="I15" s="16">
        <f t="shared" si="5"/>
        <v>13.582687683676193</v>
      </c>
      <c r="J15" s="9">
        <f t="shared" si="6"/>
        <v>1.1137803900614478</v>
      </c>
      <c r="K15" s="9">
        <f t="shared" si="7"/>
        <v>2.6289072936147466</v>
      </c>
      <c r="L15" s="9">
        <f t="shared" si="8"/>
        <v>9.8399999999999981</v>
      </c>
      <c r="M15" s="15">
        <v>14.7</v>
      </c>
    </row>
    <row r="16" spans="1:29" ht="15.75" customHeight="1" x14ac:dyDescent="0.25">
      <c r="A16" s="6" t="s">
        <v>356</v>
      </c>
      <c r="B16" s="14" t="s">
        <v>357</v>
      </c>
      <c r="C16" s="15">
        <v>5.52</v>
      </c>
      <c r="D16" s="9">
        <v>0.9</v>
      </c>
      <c r="E16" s="9">
        <v>0.7</v>
      </c>
      <c r="F16" s="9">
        <v>8.1999999999999993</v>
      </c>
      <c r="G16" s="9">
        <v>24</v>
      </c>
      <c r="H16" s="9">
        <f t="shared" si="4"/>
        <v>7.12</v>
      </c>
      <c r="I16" s="16">
        <f t="shared" si="5"/>
        <v>9.8281236085136694</v>
      </c>
      <c r="J16" s="9">
        <f t="shared" si="6"/>
        <v>0.80590613589812077</v>
      </c>
      <c r="K16" s="9">
        <f t="shared" si="7"/>
        <v>1.9022174726155487</v>
      </c>
      <c r="L16" s="9">
        <f t="shared" si="8"/>
        <v>7.1199999999999992</v>
      </c>
      <c r="M16" s="15">
        <v>10</v>
      </c>
    </row>
    <row r="17" spans="1:13" ht="15.75" customHeight="1" x14ac:dyDescent="0.25">
      <c r="A17" s="6" t="s">
        <v>358</v>
      </c>
      <c r="B17" s="14" t="s">
        <v>359</v>
      </c>
      <c r="C17" s="15">
        <v>4.24</v>
      </c>
      <c r="D17" s="9">
        <v>0.3</v>
      </c>
      <c r="E17" s="9">
        <v>0.7</v>
      </c>
      <c r="F17" s="9">
        <v>8.1999999999999993</v>
      </c>
      <c r="G17" s="9">
        <v>24</v>
      </c>
      <c r="H17" s="9">
        <f t="shared" si="4"/>
        <v>5.24</v>
      </c>
      <c r="I17" s="16">
        <f t="shared" si="5"/>
        <v>7.2330572624454534</v>
      </c>
      <c r="J17" s="9">
        <f t="shared" si="6"/>
        <v>0.5931106955205272</v>
      </c>
      <c r="K17" s="9">
        <f t="shared" si="7"/>
        <v>1.3999465669249265</v>
      </c>
      <c r="L17" s="9">
        <f t="shared" si="8"/>
        <v>5.24</v>
      </c>
      <c r="M17" s="15">
        <v>6.98</v>
      </c>
    </row>
    <row r="18" spans="1:13" ht="15.75" customHeight="1" x14ac:dyDescent="0.25">
      <c r="A18" s="6" t="s">
        <v>360</v>
      </c>
      <c r="B18" s="6" t="s">
        <v>361</v>
      </c>
      <c r="C18" s="12">
        <v>10.96</v>
      </c>
      <c r="D18" s="9">
        <v>0.9</v>
      </c>
      <c r="E18" s="9">
        <v>0.7</v>
      </c>
      <c r="F18" s="9">
        <v>8.1999999999999993</v>
      </c>
      <c r="G18" s="9">
        <v>24</v>
      </c>
      <c r="H18" s="9">
        <f t="shared" si="4"/>
        <v>12.56</v>
      </c>
      <c r="I18" s="16">
        <f t="shared" si="5"/>
        <v>17.337251758838718</v>
      </c>
      <c r="J18" s="9">
        <f t="shared" si="6"/>
        <v>1.4216546442247746</v>
      </c>
      <c r="K18" s="9">
        <f t="shared" si="7"/>
        <v>3.3555971146139445</v>
      </c>
      <c r="L18" s="9">
        <f t="shared" si="8"/>
        <v>12.559999999999999</v>
      </c>
      <c r="M18" s="12">
        <v>18.2</v>
      </c>
    </row>
    <row r="19" spans="1:13" ht="15.75" customHeight="1" x14ac:dyDescent="0.25">
      <c r="A19" s="6" t="s">
        <v>362</v>
      </c>
      <c r="B19" s="6" t="s">
        <v>363</v>
      </c>
      <c r="C19" s="12">
        <v>12.24</v>
      </c>
      <c r="D19" s="9">
        <v>0.9</v>
      </c>
      <c r="E19" s="9">
        <v>0.7</v>
      </c>
      <c r="F19" s="9">
        <v>8.1999999999999993</v>
      </c>
      <c r="G19" s="9">
        <v>24</v>
      </c>
      <c r="H19" s="9">
        <f t="shared" si="4"/>
        <v>13.84</v>
      </c>
      <c r="I19" s="16">
        <f t="shared" si="5"/>
        <v>19.104105441268143</v>
      </c>
      <c r="J19" s="9">
        <f t="shared" si="6"/>
        <v>1.5665366461839876</v>
      </c>
      <c r="K19" s="9">
        <f t="shared" si="7"/>
        <v>3.6975687950841571</v>
      </c>
      <c r="L19" s="9">
        <f t="shared" si="8"/>
        <v>13.839999999999998</v>
      </c>
      <c r="M19" s="12">
        <v>21.8</v>
      </c>
    </row>
    <row r="20" spans="1:13" ht="15.75" customHeight="1" x14ac:dyDescent="0.25">
      <c r="C20" s="9">
        <v>6.68</v>
      </c>
      <c r="D20" s="9">
        <v>0.9</v>
      </c>
      <c r="E20" s="9">
        <v>0.7</v>
      </c>
      <c r="F20" s="9">
        <v>8.1999999999999993</v>
      </c>
      <c r="G20" s="9">
        <v>24</v>
      </c>
      <c r="H20" s="9">
        <f t="shared" si="4"/>
        <v>8.2799999999999994</v>
      </c>
      <c r="I20" s="9">
        <f t="shared" si="5"/>
        <v>11.429334758215333</v>
      </c>
      <c r="J20" s="9">
        <f t="shared" si="6"/>
        <v>0.9372054501736572</v>
      </c>
      <c r="K20" s="9">
        <f t="shared" si="7"/>
        <v>2.2121293080416766</v>
      </c>
      <c r="L20" s="9">
        <f t="shared" si="8"/>
        <v>8.2799999999999994</v>
      </c>
    </row>
    <row r="21" spans="1:13" ht="15.75" customHeight="1" x14ac:dyDescent="0.25">
      <c r="C21" s="9">
        <v>6.68</v>
      </c>
      <c r="D21" s="9">
        <v>0.9</v>
      </c>
      <c r="E21" s="9">
        <v>0.7</v>
      </c>
      <c r="F21" s="9">
        <v>8.1999999999999993</v>
      </c>
      <c r="G21" s="9">
        <v>24</v>
      </c>
      <c r="H21" s="9">
        <f t="shared" si="4"/>
        <v>8.2799999999999994</v>
      </c>
      <c r="I21" s="9">
        <f t="shared" si="5"/>
        <v>11.429334758215333</v>
      </c>
      <c r="J21" s="9">
        <f t="shared" si="6"/>
        <v>0.9372054501736572</v>
      </c>
      <c r="K21" s="9">
        <f t="shared" si="7"/>
        <v>2.2121293080416766</v>
      </c>
      <c r="L21" s="9">
        <f t="shared" si="8"/>
        <v>8.2799999999999994</v>
      </c>
    </row>
    <row r="22" spans="1:13" ht="15.75" customHeight="1" x14ac:dyDescent="0.25">
      <c r="C22" s="9">
        <v>6.68</v>
      </c>
      <c r="D22" s="9">
        <v>0.9</v>
      </c>
      <c r="E22" s="9">
        <v>0.7</v>
      </c>
      <c r="F22" s="9">
        <v>8.1999999999999993</v>
      </c>
      <c r="G22" s="9">
        <v>24</v>
      </c>
      <c r="H22" s="9">
        <f t="shared" si="4"/>
        <v>8.2799999999999994</v>
      </c>
      <c r="I22" s="9">
        <f t="shared" si="5"/>
        <v>11.429334758215333</v>
      </c>
      <c r="J22" s="9">
        <f t="shared" si="6"/>
        <v>0.9372054501736572</v>
      </c>
      <c r="K22" s="9">
        <f t="shared" si="7"/>
        <v>2.2121293080416766</v>
      </c>
      <c r="L22" s="9">
        <f t="shared" si="8"/>
        <v>8.2799999999999994</v>
      </c>
    </row>
    <row r="23" spans="1:13" ht="15.75" customHeight="1" x14ac:dyDescent="0.25">
      <c r="C23" s="9">
        <v>6.68</v>
      </c>
      <c r="D23" s="9">
        <v>0.9</v>
      </c>
      <c r="E23" s="9">
        <v>0.7</v>
      </c>
      <c r="F23" s="9">
        <v>8.1999999999999993</v>
      </c>
      <c r="G23" s="9">
        <v>24</v>
      </c>
      <c r="H23" s="9">
        <f t="shared" si="4"/>
        <v>8.2799999999999994</v>
      </c>
      <c r="I23" s="9">
        <f t="shared" si="5"/>
        <v>11.429334758215333</v>
      </c>
      <c r="J23" s="9">
        <f t="shared" si="6"/>
        <v>0.9372054501736572</v>
      </c>
      <c r="K23" s="9">
        <f t="shared" si="7"/>
        <v>2.2121293080416766</v>
      </c>
      <c r="L23" s="9">
        <f t="shared" si="8"/>
        <v>8.2799999999999994</v>
      </c>
    </row>
    <row r="24" spans="1:13" ht="15.75" customHeight="1" x14ac:dyDescent="0.25">
      <c r="C24" s="9">
        <v>6.68</v>
      </c>
      <c r="D24" s="9">
        <v>0.9</v>
      </c>
      <c r="E24" s="9">
        <v>0.7</v>
      </c>
      <c r="F24" s="9">
        <v>8.1999999999999993</v>
      </c>
      <c r="G24" s="9">
        <v>24</v>
      </c>
      <c r="H24" s="9">
        <f t="shared" si="4"/>
        <v>8.2799999999999994</v>
      </c>
      <c r="I24" s="9">
        <f t="shared" si="5"/>
        <v>11.429334758215333</v>
      </c>
      <c r="J24" s="9">
        <f t="shared" si="6"/>
        <v>0.9372054501736572</v>
      </c>
      <c r="K24" s="9">
        <f t="shared" si="7"/>
        <v>2.2121293080416766</v>
      </c>
      <c r="L24" s="9">
        <f t="shared" si="8"/>
        <v>8.2799999999999994</v>
      </c>
    </row>
    <row r="25" spans="1:13" ht="15.75" customHeight="1" x14ac:dyDescent="0.25">
      <c r="C25" s="9">
        <v>6.68</v>
      </c>
      <c r="D25" s="9">
        <v>0.9</v>
      </c>
      <c r="E25" s="9">
        <v>0.7</v>
      </c>
      <c r="F25" s="9">
        <v>8.1999999999999993</v>
      </c>
      <c r="G25" s="9">
        <v>24</v>
      </c>
      <c r="H25" s="9">
        <f t="shared" si="4"/>
        <v>8.2799999999999994</v>
      </c>
      <c r="I25" s="9">
        <f t="shared" si="5"/>
        <v>11.429334758215333</v>
      </c>
      <c r="J25" s="9">
        <f t="shared" si="6"/>
        <v>0.9372054501736572</v>
      </c>
      <c r="K25" s="9">
        <f t="shared" si="7"/>
        <v>2.2121293080416766</v>
      </c>
      <c r="L25" s="9">
        <f t="shared" si="8"/>
        <v>8.2799999999999994</v>
      </c>
    </row>
    <row r="26" spans="1:13" ht="15.75" customHeight="1" x14ac:dyDescent="0.25">
      <c r="C26" s="9">
        <v>6.68</v>
      </c>
      <c r="D26" s="9">
        <v>0.9</v>
      </c>
      <c r="E26" s="9">
        <v>0.7</v>
      </c>
      <c r="F26" s="9">
        <v>8.1999999999999993</v>
      </c>
      <c r="G26" s="9">
        <v>24</v>
      </c>
      <c r="H26" s="9">
        <f t="shared" si="4"/>
        <v>8.2799999999999994</v>
      </c>
      <c r="I26" s="9">
        <f t="shared" si="5"/>
        <v>11.429334758215333</v>
      </c>
      <c r="J26" s="9">
        <f t="shared" si="6"/>
        <v>0.9372054501736572</v>
      </c>
      <c r="K26" s="9">
        <f t="shared" si="7"/>
        <v>2.2121293080416766</v>
      </c>
      <c r="L26" s="9">
        <f t="shared" si="8"/>
        <v>8.2799999999999994</v>
      </c>
    </row>
    <row r="27" spans="1:13" ht="15.75" customHeight="1" x14ac:dyDescent="0.25">
      <c r="C27" s="9">
        <v>6.68</v>
      </c>
      <c r="D27" s="9">
        <v>0.9</v>
      </c>
      <c r="E27" s="9">
        <v>0.7</v>
      </c>
      <c r="F27" s="9">
        <v>8.1999999999999993</v>
      </c>
      <c r="G27" s="9">
        <v>24</v>
      </c>
      <c r="H27" s="9">
        <f t="shared" si="4"/>
        <v>8.2799999999999994</v>
      </c>
      <c r="I27" s="9">
        <f t="shared" si="5"/>
        <v>11.429334758215333</v>
      </c>
      <c r="J27" s="9">
        <f t="shared" si="6"/>
        <v>0.9372054501736572</v>
      </c>
      <c r="K27" s="9">
        <f t="shared" si="7"/>
        <v>2.2121293080416766</v>
      </c>
      <c r="L27" s="9">
        <f t="shared" si="8"/>
        <v>8.2799999999999994</v>
      </c>
    </row>
    <row r="28" spans="1:13" ht="15.75" customHeight="1" x14ac:dyDescent="0.25">
      <c r="C28" s="9">
        <v>6.68</v>
      </c>
      <c r="D28" s="9">
        <v>0.9</v>
      </c>
      <c r="E28" s="9">
        <v>0.7</v>
      </c>
      <c r="F28" s="9">
        <v>8.1999999999999993</v>
      </c>
      <c r="G28" s="9">
        <v>24</v>
      </c>
      <c r="H28" s="9">
        <f t="shared" si="4"/>
        <v>8.2799999999999994</v>
      </c>
      <c r="I28" s="9">
        <f t="shared" si="5"/>
        <v>11.429334758215333</v>
      </c>
      <c r="J28" s="9">
        <f t="shared" si="6"/>
        <v>0.9372054501736572</v>
      </c>
      <c r="K28" s="9">
        <f t="shared" si="7"/>
        <v>2.2121293080416766</v>
      </c>
      <c r="L28" s="9">
        <f t="shared" si="8"/>
        <v>8.2799999999999994</v>
      </c>
    </row>
    <row r="29" spans="1:13" ht="15.75" customHeight="1" x14ac:dyDescent="0.25">
      <c r="C29" s="9">
        <v>6.68</v>
      </c>
      <c r="D29" s="9">
        <v>0.9</v>
      </c>
      <c r="E29" s="9">
        <v>0.7</v>
      </c>
      <c r="F29" s="9">
        <v>8.1999999999999993</v>
      </c>
      <c r="G29" s="9">
        <v>24</v>
      </c>
      <c r="H29" s="9">
        <f t="shared" si="4"/>
        <v>8.2799999999999994</v>
      </c>
      <c r="I29" s="9">
        <f t="shared" si="5"/>
        <v>11.429334758215333</v>
      </c>
      <c r="J29" s="9">
        <f t="shared" si="6"/>
        <v>0.9372054501736572</v>
      </c>
      <c r="K29" s="9">
        <f t="shared" si="7"/>
        <v>2.2121293080416766</v>
      </c>
      <c r="L29" s="9">
        <f t="shared" si="8"/>
        <v>8.2799999999999994</v>
      </c>
    </row>
    <row r="30" spans="1:13" ht="15.75" customHeight="1" x14ac:dyDescent="0.25">
      <c r="C30" s="9">
        <v>6.68</v>
      </c>
      <c r="D30" s="9">
        <v>0.9</v>
      </c>
      <c r="E30" s="9">
        <v>0.7</v>
      </c>
      <c r="F30" s="9">
        <v>8.1999999999999993</v>
      </c>
      <c r="G30" s="9">
        <v>24</v>
      </c>
      <c r="H30" s="9">
        <f t="shared" si="4"/>
        <v>8.2799999999999994</v>
      </c>
      <c r="I30" s="9">
        <f t="shared" si="5"/>
        <v>11.429334758215333</v>
      </c>
      <c r="J30" s="9">
        <f t="shared" si="6"/>
        <v>0.9372054501736572</v>
      </c>
      <c r="K30" s="9">
        <f t="shared" si="7"/>
        <v>2.2121293080416766</v>
      </c>
      <c r="L30" s="9">
        <f t="shared" si="8"/>
        <v>8.2799999999999994</v>
      </c>
    </row>
    <row r="31" spans="1:13" ht="15.75" customHeight="1" x14ac:dyDescent="0.25">
      <c r="C31" s="9">
        <v>6.68</v>
      </c>
      <c r="D31" s="9">
        <v>0.9</v>
      </c>
      <c r="E31" s="9">
        <v>0.7</v>
      </c>
      <c r="F31" s="9">
        <v>8.1999999999999993</v>
      </c>
      <c r="G31" s="9">
        <v>24</v>
      </c>
      <c r="H31" s="9">
        <f t="shared" si="4"/>
        <v>8.2799999999999994</v>
      </c>
      <c r="I31" s="9">
        <f t="shared" si="5"/>
        <v>11.429334758215333</v>
      </c>
      <c r="J31" s="9">
        <f t="shared" si="6"/>
        <v>0.9372054501736572</v>
      </c>
      <c r="K31" s="9">
        <f t="shared" si="7"/>
        <v>2.2121293080416766</v>
      </c>
      <c r="L31" s="9">
        <f t="shared" si="8"/>
        <v>8.2799999999999994</v>
      </c>
    </row>
    <row r="32" spans="1:13" ht="15.75" customHeight="1" x14ac:dyDescent="0.25">
      <c r="C32" s="9">
        <v>6.68</v>
      </c>
      <c r="D32" s="9">
        <v>0.9</v>
      </c>
      <c r="E32" s="9">
        <v>0.7</v>
      </c>
      <c r="F32" s="9">
        <v>8.1999999999999993</v>
      </c>
      <c r="G32" s="9">
        <v>24</v>
      </c>
      <c r="H32" s="9">
        <f t="shared" si="4"/>
        <v>8.2799999999999994</v>
      </c>
      <c r="I32" s="9">
        <f t="shared" si="5"/>
        <v>11.429334758215333</v>
      </c>
      <c r="J32" s="9">
        <f t="shared" si="6"/>
        <v>0.9372054501736572</v>
      </c>
      <c r="K32" s="9">
        <f t="shared" si="7"/>
        <v>2.2121293080416766</v>
      </c>
      <c r="L32" s="9">
        <f t="shared" si="8"/>
        <v>8.2799999999999994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55"/>
  <sheetViews>
    <sheetView workbookViewId="0"/>
  </sheetViews>
  <sheetFormatPr defaultColWidth="12.5703125" defaultRowHeight="15.75" customHeight="1" x14ac:dyDescent="0.2"/>
  <sheetData>
    <row r="1" spans="1:11" x14ac:dyDescent="0.2">
      <c r="A1" s="17" t="s">
        <v>364</v>
      </c>
      <c r="B1" s="17" t="s">
        <v>365</v>
      </c>
      <c r="C1" s="18">
        <v>3.56</v>
      </c>
      <c r="D1" s="18">
        <v>0.9</v>
      </c>
      <c r="E1" s="18">
        <f t="shared" ref="E1:E55" si="0">SUM(C1)+D1</f>
        <v>4.46</v>
      </c>
      <c r="F1" s="18">
        <v>1.24</v>
      </c>
      <c r="G1" s="18">
        <f t="shared" ref="G1:G55" si="1">SUM(E1)*F1</f>
        <v>5.5304000000000002</v>
      </c>
      <c r="H1" s="18">
        <v>1.1214999999999999</v>
      </c>
      <c r="I1" s="18">
        <f t="shared" ref="I1:I55" si="2">SUM(G1)*H1</f>
        <v>6.2023435999999998</v>
      </c>
      <c r="J1" s="18">
        <v>0.25</v>
      </c>
      <c r="K1" s="18">
        <f t="shared" ref="K1:K55" si="3">SUM(I1)+J1</f>
        <v>6.4523435999999998</v>
      </c>
    </row>
    <row r="2" spans="1:11" x14ac:dyDescent="0.2">
      <c r="A2" s="18" t="s">
        <v>366</v>
      </c>
      <c r="B2" s="19">
        <v>5213006609275</v>
      </c>
      <c r="C2" s="18">
        <v>5.12</v>
      </c>
      <c r="D2" s="18">
        <v>0.9</v>
      </c>
      <c r="E2" s="18">
        <f t="shared" si="0"/>
        <v>6.0200000000000005</v>
      </c>
      <c r="F2" s="18">
        <v>1.24</v>
      </c>
      <c r="G2" s="18">
        <f t="shared" si="1"/>
        <v>7.4648000000000003</v>
      </c>
      <c r="H2" s="18">
        <v>1.1214999999999999</v>
      </c>
      <c r="I2" s="18">
        <f t="shared" si="2"/>
        <v>8.3717731999999998</v>
      </c>
      <c r="J2" s="18">
        <v>1.49</v>
      </c>
      <c r="K2" s="18">
        <f t="shared" si="3"/>
        <v>9.8617732</v>
      </c>
    </row>
    <row r="3" spans="1:11" x14ac:dyDescent="0.2">
      <c r="A3" s="18" t="s">
        <v>367</v>
      </c>
      <c r="B3" s="19">
        <v>5213006609220</v>
      </c>
      <c r="C3" s="18">
        <v>3.6</v>
      </c>
      <c r="D3" s="18">
        <v>0.9</v>
      </c>
      <c r="E3" s="18">
        <f t="shared" si="0"/>
        <v>4.5</v>
      </c>
      <c r="F3" s="18">
        <v>1.24</v>
      </c>
      <c r="G3" s="18">
        <f t="shared" si="1"/>
        <v>5.58</v>
      </c>
      <c r="H3" s="18">
        <v>1.1214999999999999</v>
      </c>
      <c r="I3" s="18">
        <f t="shared" si="2"/>
        <v>6.2579699999999994</v>
      </c>
      <c r="J3" s="18">
        <v>0.25</v>
      </c>
      <c r="K3" s="18">
        <f t="shared" si="3"/>
        <v>6.5079699999999994</v>
      </c>
    </row>
    <row r="4" spans="1:11" x14ac:dyDescent="0.2">
      <c r="A4" s="18" t="s">
        <v>368</v>
      </c>
      <c r="B4" s="19">
        <v>5213006609305</v>
      </c>
      <c r="C4" s="18">
        <v>1.84</v>
      </c>
      <c r="D4" s="18">
        <v>0.3</v>
      </c>
      <c r="E4" s="18">
        <f t="shared" si="0"/>
        <v>2.14</v>
      </c>
      <c r="F4" s="18">
        <v>1.24</v>
      </c>
      <c r="G4" s="18">
        <f t="shared" si="1"/>
        <v>2.6536</v>
      </c>
      <c r="H4" s="18">
        <v>1.1214999999999999</v>
      </c>
      <c r="I4" s="18">
        <f t="shared" si="2"/>
        <v>2.9760123999999997</v>
      </c>
      <c r="J4" s="18">
        <v>0.25</v>
      </c>
      <c r="K4" s="18">
        <f t="shared" si="3"/>
        <v>3.2260123999999997</v>
      </c>
    </row>
    <row r="5" spans="1:11" x14ac:dyDescent="0.2">
      <c r="A5" s="18" t="s">
        <v>369</v>
      </c>
      <c r="B5" s="19">
        <v>5213006609329</v>
      </c>
      <c r="C5" s="18">
        <v>1.84</v>
      </c>
      <c r="D5" s="18">
        <v>0.3</v>
      </c>
      <c r="E5" s="18">
        <f t="shared" si="0"/>
        <v>2.14</v>
      </c>
      <c r="F5" s="18">
        <v>1.24</v>
      </c>
      <c r="G5" s="18">
        <f t="shared" si="1"/>
        <v>2.6536</v>
      </c>
      <c r="H5" s="18">
        <v>1.1214999999999999</v>
      </c>
      <c r="I5" s="18">
        <f t="shared" si="2"/>
        <v>2.9760123999999997</v>
      </c>
      <c r="J5" s="18">
        <v>0.25</v>
      </c>
      <c r="K5" s="18">
        <f t="shared" si="3"/>
        <v>3.2260123999999997</v>
      </c>
    </row>
    <row r="6" spans="1:11" x14ac:dyDescent="0.2">
      <c r="A6" s="18" t="s">
        <v>370</v>
      </c>
      <c r="B6" s="19">
        <v>5213006609114</v>
      </c>
      <c r="C6" s="18">
        <v>4.84</v>
      </c>
      <c r="D6" s="18">
        <v>0.9</v>
      </c>
      <c r="E6" s="18">
        <f t="shared" si="0"/>
        <v>5.74</v>
      </c>
      <c r="F6" s="18">
        <v>1.24</v>
      </c>
      <c r="G6" s="18">
        <f t="shared" si="1"/>
        <v>7.1176000000000004</v>
      </c>
      <c r="H6" s="18">
        <v>1.1214999999999999</v>
      </c>
      <c r="I6" s="18">
        <f t="shared" si="2"/>
        <v>7.9823883999999996</v>
      </c>
      <c r="J6" s="18">
        <v>0.73999999999999899</v>
      </c>
      <c r="K6" s="18">
        <f t="shared" si="3"/>
        <v>8.722388399999998</v>
      </c>
    </row>
    <row r="7" spans="1:11" x14ac:dyDescent="0.2">
      <c r="A7" s="18" t="s">
        <v>371</v>
      </c>
      <c r="B7" s="19">
        <v>5213006609664</v>
      </c>
      <c r="C7" s="18">
        <v>3.48</v>
      </c>
      <c r="D7" s="18">
        <v>0.9</v>
      </c>
      <c r="E7" s="18">
        <f t="shared" si="0"/>
        <v>4.38</v>
      </c>
      <c r="F7" s="18">
        <v>1.24</v>
      </c>
      <c r="G7" s="18">
        <f t="shared" si="1"/>
        <v>5.4311999999999996</v>
      </c>
      <c r="H7" s="18">
        <v>1.1214999999999999</v>
      </c>
      <c r="I7" s="18">
        <f t="shared" si="2"/>
        <v>6.091090799999999</v>
      </c>
      <c r="J7" s="18">
        <v>0.25</v>
      </c>
      <c r="K7" s="18">
        <f t="shared" si="3"/>
        <v>6.341090799999999</v>
      </c>
    </row>
    <row r="8" spans="1:11" x14ac:dyDescent="0.2">
      <c r="A8" s="18" t="s">
        <v>372</v>
      </c>
      <c r="B8" s="19">
        <v>5213006608025</v>
      </c>
      <c r="C8" s="18">
        <v>5.4</v>
      </c>
      <c r="D8" s="18">
        <v>0.9</v>
      </c>
      <c r="E8" s="18">
        <f t="shared" si="0"/>
        <v>6.3000000000000007</v>
      </c>
      <c r="F8" s="18">
        <v>1.24</v>
      </c>
      <c r="G8" s="18">
        <f t="shared" si="1"/>
        <v>7.8120000000000012</v>
      </c>
      <c r="H8" s="18">
        <v>1.1214999999999999</v>
      </c>
      <c r="I8" s="18">
        <f t="shared" si="2"/>
        <v>8.761158</v>
      </c>
      <c r="J8" s="18">
        <v>1.49</v>
      </c>
      <c r="K8" s="18">
        <f t="shared" si="3"/>
        <v>10.251158</v>
      </c>
    </row>
    <row r="9" spans="1:11" x14ac:dyDescent="0.2">
      <c r="A9" s="18" t="s">
        <v>373</v>
      </c>
      <c r="B9" s="19">
        <v>5213006609183</v>
      </c>
      <c r="C9" s="18">
        <v>2.48</v>
      </c>
      <c r="D9" s="18">
        <v>0.9</v>
      </c>
      <c r="E9" s="18">
        <f t="shared" si="0"/>
        <v>3.38</v>
      </c>
      <c r="F9" s="18">
        <v>1.24</v>
      </c>
      <c r="G9" s="18">
        <f t="shared" si="1"/>
        <v>4.1912000000000003</v>
      </c>
      <c r="H9" s="18">
        <v>1.1214999999999999</v>
      </c>
      <c r="I9" s="18">
        <f t="shared" si="2"/>
        <v>4.7004308000000004</v>
      </c>
      <c r="J9" s="18">
        <v>0.25</v>
      </c>
      <c r="K9" s="18">
        <f t="shared" si="3"/>
        <v>4.9504308000000004</v>
      </c>
    </row>
    <row r="10" spans="1:11" x14ac:dyDescent="0.2">
      <c r="A10" s="18" t="s">
        <v>374</v>
      </c>
      <c r="B10" s="19">
        <v>5213006608896</v>
      </c>
      <c r="C10" s="18">
        <v>2.48</v>
      </c>
      <c r="D10" s="18">
        <v>0.9</v>
      </c>
      <c r="E10" s="18">
        <f t="shared" si="0"/>
        <v>3.38</v>
      </c>
      <c r="F10" s="18">
        <v>1.24</v>
      </c>
      <c r="G10" s="18">
        <f t="shared" si="1"/>
        <v>4.1912000000000003</v>
      </c>
      <c r="H10" s="18">
        <v>1.1214999999999999</v>
      </c>
      <c r="I10" s="18">
        <f t="shared" si="2"/>
        <v>4.7004308000000004</v>
      </c>
      <c r="J10" s="18">
        <v>0.25</v>
      </c>
      <c r="K10" s="18">
        <f t="shared" si="3"/>
        <v>4.9504308000000004</v>
      </c>
    </row>
    <row r="11" spans="1:11" x14ac:dyDescent="0.2">
      <c r="A11" s="18" t="s">
        <v>375</v>
      </c>
      <c r="B11" s="19">
        <v>5213006609428</v>
      </c>
      <c r="C11" s="18">
        <v>5.12</v>
      </c>
      <c r="D11" s="18">
        <v>0.9</v>
      </c>
      <c r="E11" s="18">
        <f t="shared" si="0"/>
        <v>6.0200000000000005</v>
      </c>
      <c r="F11" s="18">
        <v>1.24</v>
      </c>
      <c r="G11" s="18">
        <f t="shared" si="1"/>
        <v>7.4648000000000003</v>
      </c>
      <c r="H11" s="18">
        <v>1.1214999999999999</v>
      </c>
      <c r="I11" s="18">
        <f t="shared" si="2"/>
        <v>8.3717731999999998</v>
      </c>
      <c r="J11" s="18">
        <v>1.49</v>
      </c>
      <c r="K11" s="18">
        <f t="shared" si="3"/>
        <v>9.8617732</v>
      </c>
    </row>
    <row r="12" spans="1:11" x14ac:dyDescent="0.2">
      <c r="A12" s="18" t="s">
        <v>376</v>
      </c>
      <c r="B12" s="19">
        <v>5213006609558</v>
      </c>
      <c r="C12" s="18">
        <v>7.92</v>
      </c>
      <c r="D12" s="18">
        <v>0.9</v>
      </c>
      <c r="E12" s="18">
        <f t="shared" si="0"/>
        <v>8.82</v>
      </c>
      <c r="F12" s="18">
        <v>1.24</v>
      </c>
      <c r="G12" s="18">
        <f t="shared" si="1"/>
        <v>10.9368</v>
      </c>
      <c r="H12" s="18">
        <v>1.1214999999999999</v>
      </c>
      <c r="I12" s="18">
        <f t="shared" si="2"/>
        <v>12.2656212</v>
      </c>
      <c r="J12" s="18">
        <v>0.73999999999999899</v>
      </c>
      <c r="K12" s="18">
        <f t="shared" si="3"/>
        <v>13.005621199999998</v>
      </c>
    </row>
    <row r="13" spans="1:11" x14ac:dyDescent="0.2">
      <c r="A13" s="18" t="s">
        <v>377</v>
      </c>
      <c r="B13" s="19">
        <v>5213006609961</v>
      </c>
      <c r="C13" s="18">
        <v>4.5199999999999996</v>
      </c>
      <c r="D13" s="18">
        <v>0.9</v>
      </c>
      <c r="E13" s="18">
        <f t="shared" si="0"/>
        <v>5.42</v>
      </c>
      <c r="F13" s="18">
        <v>1.24</v>
      </c>
      <c r="G13" s="18">
        <f t="shared" si="1"/>
        <v>6.7207999999999997</v>
      </c>
      <c r="H13" s="18">
        <v>1.1214999999999999</v>
      </c>
      <c r="I13" s="18">
        <f t="shared" si="2"/>
        <v>7.537377199999999</v>
      </c>
      <c r="J13" s="18">
        <v>0.73999999999999899</v>
      </c>
      <c r="K13" s="18">
        <f t="shared" si="3"/>
        <v>8.2773771999999983</v>
      </c>
    </row>
    <row r="14" spans="1:11" x14ac:dyDescent="0.2">
      <c r="A14" s="12" t="s">
        <v>375</v>
      </c>
      <c r="B14" s="20">
        <v>5213006609428</v>
      </c>
      <c r="C14" s="12">
        <v>5.1120000000000001</v>
      </c>
      <c r="D14" s="12">
        <v>0.9</v>
      </c>
      <c r="E14" s="12">
        <f t="shared" si="0"/>
        <v>6.0120000000000005</v>
      </c>
      <c r="F14" s="12">
        <v>1.24</v>
      </c>
      <c r="G14" s="12">
        <f t="shared" si="1"/>
        <v>7.4548800000000002</v>
      </c>
      <c r="H14" s="12">
        <v>1.1214999999999999</v>
      </c>
      <c r="I14" s="12">
        <f t="shared" si="2"/>
        <v>8.3606479199999999</v>
      </c>
      <c r="J14" s="12">
        <v>1.49</v>
      </c>
      <c r="K14" s="12">
        <f t="shared" si="3"/>
        <v>9.8506479200000001</v>
      </c>
    </row>
    <row r="15" spans="1:11" x14ac:dyDescent="0.2">
      <c r="A15" s="12" t="s">
        <v>378</v>
      </c>
      <c r="B15" s="20">
        <v>5213006608940</v>
      </c>
      <c r="C15" s="12">
        <v>2.48</v>
      </c>
      <c r="D15" s="12">
        <v>0.9</v>
      </c>
      <c r="E15" s="12">
        <f t="shared" si="0"/>
        <v>3.38</v>
      </c>
      <c r="F15" s="12">
        <v>1.24</v>
      </c>
      <c r="G15" s="12">
        <f t="shared" si="1"/>
        <v>4.1912000000000003</v>
      </c>
      <c r="H15" s="12">
        <v>1.1214999999999999</v>
      </c>
      <c r="I15" s="12">
        <f t="shared" si="2"/>
        <v>4.7004308000000004</v>
      </c>
      <c r="J15" s="12">
        <v>0.25</v>
      </c>
      <c r="K15" s="12">
        <f t="shared" si="3"/>
        <v>4.9504308000000004</v>
      </c>
    </row>
    <row r="16" spans="1:11" x14ac:dyDescent="0.2">
      <c r="A16" s="12" t="s">
        <v>379</v>
      </c>
      <c r="B16" s="20">
        <v>5213006609435</v>
      </c>
      <c r="C16" s="12">
        <v>2.48</v>
      </c>
      <c r="D16" s="12">
        <v>0.9</v>
      </c>
      <c r="E16" s="12">
        <f t="shared" si="0"/>
        <v>3.38</v>
      </c>
      <c r="F16" s="12">
        <v>1.24</v>
      </c>
      <c r="G16" s="12">
        <f t="shared" si="1"/>
        <v>4.1912000000000003</v>
      </c>
      <c r="H16" s="12">
        <v>1.1214999999999999</v>
      </c>
      <c r="I16" s="12">
        <f t="shared" si="2"/>
        <v>4.7004308000000004</v>
      </c>
      <c r="J16" s="12">
        <v>0.25</v>
      </c>
      <c r="K16" s="12">
        <f t="shared" si="3"/>
        <v>4.9504308000000004</v>
      </c>
    </row>
    <row r="17" spans="1:11" x14ac:dyDescent="0.2">
      <c r="A17" s="12" t="s">
        <v>380</v>
      </c>
      <c r="B17" s="20">
        <v>5213006609121</v>
      </c>
      <c r="C17" s="12">
        <v>4.4800000000000004</v>
      </c>
      <c r="D17" s="12">
        <v>0.9</v>
      </c>
      <c r="E17" s="12">
        <f t="shared" si="0"/>
        <v>5.3800000000000008</v>
      </c>
      <c r="F17" s="12">
        <v>1.24</v>
      </c>
      <c r="G17" s="12">
        <f t="shared" si="1"/>
        <v>6.6712000000000007</v>
      </c>
      <c r="H17" s="12">
        <v>1.1214999999999999</v>
      </c>
      <c r="I17" s="12">
        <f t="shared" si="2"/>
        <v>7.4817508000000004</v>
      </c>
      <c r="J17" s="12">
        <v>0.73999999999999899</v>
      </c>
      <c r="K17" s="12">
        <f t="shared" si="3"/>
        <v>8.2217507999999988</v>
      </c>
    </row>
    <row r="18" spans="1:11" x14ac:dyDescent="0.2">
      <c r="A18" s="12" t="s">
        <v>381</v>
      </c>
      <c r="B18" s="20">
        <v>5213006609336</v>
      </c>
      <c r="C18" s="12">
        <v>1.84</v>
      </c>
      <c r="D18" s="12">
        <v>0.9</v>
      </c>
      <c r="E18" s="12">
        <f t="shared" si="0"/>
        <v>2.74</v>
      </c>
      <c r="F18" s="12">
        <v>1.24</v>
      </c>
      <c r="G18" s="12">
        <f t="shared" si="1"/>
        <v>3.3976000000000002</v>
      </c>
      <c r="H18" s="12">
        <v>1.1214999999999999</v>
      </c>
      <c r="I18" s="12">
        <f t="shared" si="2"/>
        <v>3.8104084</v>
      </c>
      <c r="J18" s="12">
        <v>0.25</v>
      </c>
      <c r="K18" s="12">
        <f t="shared" si="3"/>
        <v>4.0604084</v>
      </c>
    </row>
    <row r="19" spans="1:11" x14ac:dyDescent="0.2">
      <c r="A19" s="12" t="s">
        <v>382</v>
      </c>
      <c r="B19" s="20">
        <v>5213006608018</v>
      </c>
      <c r="C19" s="12">
        <v>6.4</v>
      </c>
      <c r="D19" s="12">
        <v>0.9</v>
      </c>
      <c r="E19" s="12">
        <f t="shared" si="0"/>
        <v>7.3000000000000007</v>
      </c>
      <c r="F19" s="12">
        <v>1.24</v>
      </c>
      <c r="G19" s="12">
        <f t="shared" si="1"/>
        <v>9.0520000000000014</v>
      </c>
      <c r="H19" s="12">
        <v>1.1214999999999999</v>
      </c>
      <c r="I19" s="12">
        <f t="shared" si="2"/>
        <v>10.151818</v>
      </c>
      <c r="J19" s="12">
        <v>1.49</v>
      </c>
      <c r="K19" s="12">
        <f t="shared" si="3"/>
        <v>11.641818000000001</v>
      </c>
    </row>
    <row r="20" spans="1:11" x14ac:dyDescent="0.2">
      <c r="A20" s="6" t="s">
        <v>383</v>
      </c>
      <c r="B20" s="6" t="s">
        <v>384</v>
      </c>
      <c r="C20" s="12">
        <v>3.96</v>
      </c>
      <c r="D20" s="12">
        <v>0.9</v>
      </c>
      <c r="E20" s="12">
        <f t="shared" si="0"/>
        <v>4.8600000000000003</v>
      </c>
      <c r="F20" s="12">
        <v>1.24</v>
      </c>
      <c r="G20" s="12">
        <f t="shared" si="1"/>
        <v>6.0264000000000006</v>
      </c>
      <c r="H20" s="12">
        <v>1.1214999999999999</v>
      </c>
      <c r="I20" s="12">
        <f t="shared" si="2"/>
        <v>6.7586076000000004</v>
      </c>
      <c r="J20" s="12">
        <v>0.24</v>
      </c>
      <c r="K20" s="12">
        <f t="shared" si="3"/>
        <v>6.9986076000000006</v>
      </c>
    </row>
    <row r="21" spans="1:11" x14ac:dyDescent="0.2">
      <c r="A21" s="6" t="s">
        <v>385</v>
      </c>
      <c r="B21" s="6" t="s">
        <v>386</v>
      </c>
      <c r="C21" s="12">
        <v>11.7</v>
      </c>
      <c r="D21" s="12">
        <v>0.9</v>
      </c>
      <c r="E21" s="12">
        <f t="shared" si="0"/>
        <v>12.6</v>
      </c>
      <c r="F21" s="12">
        <v>1.24</v>
      </c>
      <c r="G21" s="12">
        <f t="shared" si="1"/>
        <v>15.623999999999999</v>
      </c>
      <c r="H21" s="12">
        <v>1.1214999999999999</v>
      </c>
      <c r="I21" s="12">
        <f t="shared" si="2"/>
        <v>17.522315999999996</v>
      </c>
      <c r="J21" s="12">
        <v>1.49</v>
      </c>
      <c r="K21" s="12">
        <f t="shared" si="3"/>
        <v>19.012315999999995</v>
      </c>
    </row>
    <row r="22" spans="1:11" x14ac:dyDescent="0.2">
      <c r="A22" s="12" t="s">
        <v>387</v>
      </c>
      <c r="B22" s="20">
        <v>5200106107022</v>
      </c>
      <c r="C22" s="12">
        <v>4.6399999999999997</v>
      </c>
      <c r="D22" s="12">
        <v>0.9</v>
      </c>
      <c r="E22" s="12">
        <f t="shared" si="0"/>
        <v>5.54</v>
      </c>
      <c r="F22" s="12">
        <v>1.24</v>
      </c>
      <c r="G22" s="12">
        <f t="shared" si="1"/>
        <v>6.8696000000000002</v>
      </c>
      <c r="H22" s="12">
        <v>1.1214999999999999</v>
      </c>
      <c r="I22" s="12">
        <f t="shared" si="2"/>
        <v>7.7042563999999993</v>
      </c>
      <c r="J22" s="12">
        <v>0.73999999999999899</v>
      </c>
      <c r="K22" s="12">
        <f t="shared" si="3"/>
        <v>8.4442563999999987</v>
      </c>
    </row>
    <row r="23" spans="1:11" x14ac:dyDescent="0.2">
      <c r="A23" s="12" t="s">
        <v>388</v>
      </c>
      <c r="B23" s="20">
        <v>5213006609541</v>
      </c>
      <c r="C23" s="12">
        <v>3.04</v>
      </c>
      <c r="D23" s="12">
        <v>0.9</v>
      </c>
      <c r="E23" s="12">
        <f t="shared" si="0"/>
        <v>3.94</v>
      </c>
      <c r="F23" s="12">
        <v>1.24</v>
      </c>
      <c r="G23" s="12">
        <f t="shared" si="1"/>
        <v>4.8856000000000002</v>
      </c>
      <c r="H23" s="12">
        <v>1.1214999999999999</v>
      </c>
      <c r="I23" s="12">
        <f t="shared" si="2"/>
        <v>5.4792003999999999</v>
      </c>
      <c r="J23" s="12">
        <v>0.25</v>
      </c>
      <c r="K23" s="12">
        <f t="shared" si="3"/>
        <v>5.7292003999999999</v>
      </c>
    </row>
    <row r="24" spans="1:11" x14ac:dyDescent="0.2">
      <c r="A24" s="12" t="s">
        <v>389</v>
      </c>
      <c r="B24" s="20">
        <v>5213006608889</v>
      </c>
      <c r="C24" s="12">
        <v>3.04</v>
      </c>
      <c r="D24" s="12">
        <v>0.9</v>
      </c>
      <c r="E24" s="12">
        <f t="shared" si="0"/>
        <v>3.94</v>
      </c>
      <c r="F24" s="12">
        <v>1.24</v>
      </c>
      <c r="G24" s="12">
        <f t="shared" si="1"/>
        <v>4.8856000000000002</v>
      </c>
      <c r="H24" s="12">
        <v>1.1214999999999999</v>
      </c>
      <c r="I24" s="12">
        <f t="shared" si="2"/>
        <v>5.4792003999999999</v>
      </c>
      <c r="J24" s="12">
        <v>0.25</v>
      </c>
      <c r="K24" s="12">
        <f t="shared" si="3"/>
        <v>5.7292003999999999</v>
      </c>
    </row>
    <row r="25" spans="1:11" x14ac:dyDescent="0.2">
      <c r="A25" s="12" t="s">
        <v>390</v>
      </c>
      <c r="B25" s="20">
        <v>5213006607004</v>
      </c>
      <c r="C25" s="12">
        <v>2.48</v>
      </c>
      <c r="D25" s="12">
        <v>0.9</v>
      </c>
      <c r="E25" s="12">
        <f t="shared" si="0"/>
        <v>3.38</v>
      </c>
      <c r="F25" s="12">
        <v>1.24</v>
      </c>
      <c r="G25" s="12">
        <f t="shared" si="1"/>
        <v>4.1912000000000003</v>
      </c>
      <c r="H25" s="12">
        <v>1.1214999999999999</v>
      </c>
      <c r="I25" s="12">
        <f t="shared" si="2"/>
        <v>4.7004308000000004</v>
      </c>
      <c r="J25" s="12">
        <v>1.49</v>
      </c>
      <c r="K25" s="12">
        <f t="shared" si="3"/>
        <v>6.1904308000000006</v>
      </c>
    </row>
    <row r="26" spans="1:11" x14ac:dyDescent="0.2">
      <c r="A26" s="12" t="s">
        <v>391</v>
      </c>
      <c r="B26" s="20">
        <v>5213006607073</v>
      </c>
      <c r="C26" s="12">
        <v>5.12</v>
      </c>
      <c r="D26" s="12">
        <v>0.9</v>
      </c>
      <c r="E26" s="12">
        <f t="shared" si="0"/>
        <v>6.0200000000000005</v>
      </c>
      <c r="F26" s="12">
        <v>1.24</v>
      </c>
      <c r="G26" s="12">
        <f t="shared" si="1"/>
        <v>7.4648000000000003</v>
      </c>
      <c r="H26" s="12">
        <v>1.1214999999999999</v>
      </c>
      <c r="I26" s="12">
        <f t="shared" si="2"/>
        <v>8.3717731999999998</v>
      </c>
      <c r="J26" s="12">
        <v>1.49</v>
      </c>
      <c r="K26" s="12">
        <f t="shared" si="3"/>
        <v>9.8617732</v>
      </c>
    </row>
    <row r="27" spans="1:11" x14ac:dyDescent="0.2">
      <c r="A27" s="12" t="s">
        <v>392</v>
      </c>
      <c r="B27" s="20">
        <v>5213006609282</v>
      </c>
      <c r="C27" s="12">
        <v>5.12</v>
      </c>
      <c r="D27" s="12">
        <v>0.9</v>
      </c>
      <c r="E27" s="12">
        <f t="shared" si="0"/>
        <v>6.0200000000000005</v>
      </c>
      <c r="F27" s="12">
        <v>1.24</v>
      </c>
      <c r="G27" s="12">
        <f t="shared" si="1"/>
        <v>7.4648000000000003</v>
      </c>
      <c r="H27" s="12">
        <v>1.1214999999999999</v>
      </c>
      <c r="I27" s="12">
        <f t="shared" si="2"/>
        <v>8.3717731999999998</v>
      </c>
      <c r="J27" s="12">
        <v>1.49</v>
      </c>
      <c r="K27" s="12">
        <f t="shared" si="3"/>
        <v>9.8617732</v>
      </c>
    </row>
    <row r="28" spans="1:11" x14ac:dyDescent="0.2">
      <c r="A28" s="12" t="s">
        <v>393</v>
      </c>
      <c r="B28" s="20">
        <v>5213006608032</v>
      </c>
      <c r="C28" s="12">
        <v>6.4</v>
      </c>
      <c r="D28" s="12">
        <v>0.9</v>
      </c>
      <c r="E28" s="12">
        <f t="shared" si="0"/>
        <v>7.3000000000000007</v>
      </c>
      <c r="F28" s="12">
        <v>1.24</v>
      </c>
      <c r="G28" s="12">
        <f t="shared" si="1"/>
        <v>9.0520000000000014</v>
      </c>
      <c r="H28" s="12">
        <v>1.1214999999999999</v>
      </c>
      <c r="I28" s="12">
        <f t="shared" si="2"/>
        <v>10.151818</v>
      </c>
      <c r="J28" s="12">
        <v>1.49</v>
      </c>
      <c r="K28" s="12">
        <f t="shared" si="3"/>
        <v>11.641818000000001</v>
      </c>
    </row>
    <row r="29" spans="1:11" x14ac:dyDescent="0.2">
      <c r="A29" s="12" t="s">
        <v>394</v>
      </c>
      <c r="B29" s="20">
        <v>5213006609145</v>
      </c>
      <c r="C29" s="12">
        <v>2.48</v>
      </c>
      <c r="D29" s="12">
        <v>0.9</v>
      </c>
      <c r="E29" s="12">
        <f t="shared" si="0"/>
        <v>3.38</v>
      </c>
      <c r="F29" s="12">
        <v>1.24</v>
      </c>
      <c r="G29" s="12">
        <f t="shared" si="1"/>
        <v>4.1912000000000003</v>
      </c>
      <c r="H29" s="12">
        <v>1.1214999999999999</v>
      </c>
      <c r="I29" s="12">
        <f t="shared" si="2"/>
        <v>4.7004308000000004</v>
      </c>
      <c r="J29" s="12">
        <v>0.25</v>
      </c>
      <c r="K29" s="12">
        <f t="shared" si="3"/>
        <v>4.9504308000000004</v>
      </c>
    </row>
    <row r="30" spans="1:11" x14ac:dyDescent="0.2">
      <c r="A30" s="12" t="s">
        <v>395</v>
      </c>
      <c r="B30" s="20">
        <v>5213006609138</v>
      </c>
      <c r="C30" s="12">
        <v>4.6399999999999997</v>
      </c>
      <c r="D30" s="12">
        <v>0.9</v>
      </c>
      <c r="E30" s="12">
        <f t="shared" si="0"/>
        <v>5.54</v>
      </c>
      <c r="F30" s="12">
        <v>1.24</v>
      </c>
      <c r="G30" s="12">
        <f t="shared" si="1"/>
        <v>6.8696000000000002</v>
      </c>
      <c r="H30" s="12">
        <v>1.1214999999999999</v>
      </c>
      <c r="I30" s="12">
        <f t="shared" si="2"/>
        <v>7.7042563999999993</v>
      </c>
      <c r="J30" s="12">
        <v>0.73999999999999899</v>
      </c>
      <c r="K30" s="12">
        <f t="shared" si="3"/>
        <v>8.4442563999999987</v>
      </c>
    </row>
    <row r="31" spans="1:11" x14ac:dyDescent="0.2">
      <c r="A31" s="12" t="s">
        <v>396</v>
      </c>
      <c r="B31" s="20">
        <v>5213006609268</v>
      </c>
      <c r="C31" s="12">
        <v>5.12</v>
      </c>
      <c r="D31" s="12">
        <v>0.9</v>
      </c>
      <c r="E31" s="12">
        <f t="shared" si="0"/>
        <v>6.0200000000000005</v>
      </c>
      <c r="F31" s="12">
        <v>1.24</v>
      </c>
      <c r="G31" s="12">
        <f t="shared" si="1"/>
        <v>7.4648000000000003</v>
      </c>
      <c r="H31" s="12">
        <v>1.1214999999999999</v>
      </c>
      <c r="I31" s="12">
        <f t="shared" si="2"/>
        <v>8.3717731999999998</v>
      </c>
      <c r="J31" s="12">
        <v>1.49</v>
      </c>
      <c r="K31" s="12">
        <f t="shared" si="3"/>
        <v>9.8617732</v>
      </c>
    </row>
    <row r="32" spans="1:11" x14ac:dyDescent="0.2">
      <c r="A32" s="12" t="s">
        <v>397</v>
      </c>
      <c r="B32" s="20">
        <v>5213006608841</v>
      </c>
      <c r="C32" s="12">
        <v>3.04</v>
      </c>
      <c r="D32" s="12">
        <v>0.9</v>
      </c>
      <c r="E32" s="12">
        <f t="shared" si="0"/>
        <v>3.94</v>
      </c>
      <c r="F32" s="12">
        <v>1.24</v>
      </c>
      <c r="G32" s="12">
        <f t="shared" si="1"/>
        <v>4.8856000000000002</v>
      </c>
      <c r="H32" s="12">
        <v>1.1214999999999999</v>
      </c>
      <c r="I32" s="12">
        <f t="shared" si="2"/>
        <v>5.4792003999999999</v>
      </c>
      <c r="J32" s="12">
        <v>0.25</v>
      </c>
      <c r="K32" s="12">
        <f t="shared" si="3"/>
        <v>5.7292003999999999</v>
      </c>
    </row>
    <row r="33" spans="1:11" x14ac:dyDescent="0.2">
      <c r="A33" s="12" t="s">
        <v>398</v>
      </c>
      <c r="B33" s="20">
        <v>5213006609152</v>
      </c>
      <c r="C33" s="12">
        <v>2.48</v>
      </c>
      <c r="D33" s="12">
        <v>0.9</v>
      </c>
      <c r="E33" s="12">
        <f t="shared" si="0"/>
        <v>3.38</v>
      </c>
      <c r="F33" s="12">
        <v>1.24</v>
      </c>
      <c r="G33" s="12">
        <f t="shared" si="1"/>
        <v>4.1912000000000003</v>
      </c>
      <c r="H33" s="12">
        <v>1.1214999999999999</v>
      </c>
      <c r="I33" s="12">
        <f t="shared" si="2"/>
        <v>4.7004308000000004</v>
      </c>
      <c r="J33" s="12">
        <v>0.25</v>
      </c>
      <c r="K33" s="12">
        <f t="shared" si="3"/>
        <v>4.9504308000000004</v>
      </c>
    </row>
    <row r="34" spans="1:11" x14ac:dyDescent="0.2">
      <c r="A34" s="12" t="s">
        <v>399</v>
      </c>
      <c r="B34" s="20">
        <v>5213006609312</v>
      </c>
      <c r="C34" s="12">
        <v>1.84</v>
      </c>
      <c r="D34" s="12">
        <v>0.9</v>
      </c>
      <c r="E34" s="12">
        <f t="shared" si="0"/>
        <v>2.74</v>
      </c>
      <c r="F34" s="12">
        <v>1.24</v>
      </c>
      <c r="G34" s="12">
        <f t="shared" si="1"/>
        <v>3.3976000000000002</v>
      </c>
      <c r="H34" s="12">
        <v>1.1214999999999999</v>
      </c>
      <c r="I34" s="12">
        <f t="shared" si="2"/>
        <v>3.8104084</v>
      </c>
      <c r="J34" s="12">
        <v>0.73999999999999899</v>
      </c>
      <c r="K34" s="12">
        <f t="shared" si="3"/>
        <v>4.5504083999999994</v>
      </c>
    </row>
    <row r="35" spans="1:11" x14ac:dyDescent="0.2">
      <c r="A35" s="12" t="s">
        <v>400</v>
      </c>
      <c r="B35" s="20">
        <v>5213006609367</v>
      </c>
      <c r="C35" s="12">
        <v>3.04</v>
      </c>
      <c r="D35" s="12">
        <v>0.9</v>
      </c>
      <c r="E35" s="12">
        <f t="shared" si="0"/>
        <v>3.94</v>
      </c>
      <c r="F35" s="12">
        <v>1.24</v>
      </c>
      <c r="G35" s="12">
        <f t="shared" si="1"/>
        <v>4.8856000000000002</v>
      </c>
      <c r="H35" s="12">
        <v>1.1214999999999999</v>
      </c>
      <c r="I35" s="12">
        <f t="shared" si="2"/>
        <v>5.4792003999999999</v>
      </c>
      <c r="J35" s="12">
        <v>0.25</v>
      </c>
      <c r="K35" s="12">
        <f t="shared" si="3"/>
        <v>5.7292003999999999</v>
      </c>
    </row>
    <row r="36" spans="1:11" x14ac:dyDescent="0.2">
      <c r="A36" s="12" t="s">
        <v>401</v>
      </c>
      <c r="B36" s="20">
        <v>5213006609350</v>
      </c>
      <c r="C36" s="12">
        <v>3.04</v>
      </c>
      <c r="D36" s="12">
        <v>0.9</v>
      </c>
      <c r="E36" s="12">
        <f t="shared" si="0"/>
        <v>3.94</v>
      </c>
      <c r="F36" s="12">
        <v>1.24</v>
      </c>
      <c r="G36" s="12">
        <f t="shared" si="1"/>
        <v>4.8856000000000002</v>
      </c>
      <c r="H36" s="12">
        <v>1.1214999999999999</v>
      </c>
      <c r="I36" s="12">
        <f t="shared" si="2"/>
        <v>5.4792003999999999</v>
      </c>
      <c r="J36" s="12">
        <v>0.25</v>
      </c>
      <c r="K36" s="12">
        <f t="shared" si="3"/>
        <v>5.7292003999999999</v>
      </c>
    </row>
    <row r="37" spans="1:11" x14ac:dyDescent="0.2">
      <c r="A37" s="12" t="s">
        <v>402</v>
      </c>
      <c r="B37" s="20">
        <v>5213006609169</v>
      </c>
      <c r="C37" s="12">
        <v>2.48</v>
      </c>
      <c r="D37" s="12">
        <v>0.9</v>
      </c>
      <c r="E37" s="12">
        <f t="shared" si="0"/>
        <v>3.38</v>
      </c>
      <c r="F37" s="12">
        <v>1.24</v>
      </c>
      <c r="G37" s="12">
        <f t="shared" si="1"/>
        <v>4.1912000000000003</v>
      </c>
      <c r="H37" s="12">
        <v>1.1214999999999999</v>
      </c>
      <c r="I37" s="12">
        <f t="shared" si="2"/>
        <v>4.7004308000000004</v>
      </c>
      <c r="J37" s="12">
        <v>0.25</v>
      </c>
      <c r="K37" s="12">
        <f t="shared" si="3"/>
        <v>4.9504308000000004</v>
      </c>
    </row>
    <row r="38" spans="1:11" x14ac:dyDescent="0.2">
      <c r="A38" s="12" t="s">
        <v>403</v>
      </c>
      <c r="B38" s="20">
        <v>5213006609213</v>
      </c>
      <c r="C38" s="12">
        <v>3.6</v>
      </c>
      <c r="D38" s="12">
        <v>0.9</v>
      </c>
      <c r="E38" s="12">
        <f t="shared" si="0"/>
        <v>4.5</v>
      </c>
      <c r="F38" s="12">
        <v>1.24</v>
      </c>
      <c r="G38" s="12">
        <f t="shared" si="1"/>
        <v>5.58</v>
      </c>
      <c r="H38" s="12">
        <v>1.1214999999999999</v>
      </c>
      <c r="I38" s="12">
        <f t="shared" si="2"/>
        <v>6.2579699999999994</v>
      </c>
      <c r="J38" s="12">
        <v>0.25</v>
      </c>
      <c r="K38" s="12">
        <f t="shared" si="3"/>
        <v>6.5079699999999994</v>
      </c>
    </row>
    <row r="39" spans="1:11" x14ac:dyDescent="0.2">
      <c r="A39" s="12" t="s">
        <v>404</v>
      </c>
      <c r="B39" s="20">
        <v>5213006609060</v>
      </c>
      <c r="C39" s="12">
        <v>10.72</v>
      </c>
      <c r="D39" s="12">
        <v>0.9</v>
      </c>
      <c r="E39" s="12">
        <f t="shared" si="0"/>
        <v>11.620000000000001</v>
      </c>
      <c r="F39" s="12">
        <v>1.24</v>
      </c>
      <c r="G39" s="12">
        <f t="shared" si="1"/>
        <v>14.408800000000001</v>
      </c>
      <c r="H39" s="12">
        <v>1.1214999999999999</v>
      </c>
      <c r="I39" s="12">
        <f t="shared" si="2"/>
        <v>16.1594692</v>
      </c>
      <c r="J39" s="12">
        <v>0.73999999999999899</v>
      </c>
      <c r="K39" s="12">
        <f t="shared" si="3"/>
        <v>16.899469199999999</v>
      </c>
    </row>
    <row r="40" spans="1:11" x14ac:dyDescent="0.2">
      <c r="A40" s="12" t="s">
        <v>405</v>
      </c>
      <c r="B40" s="20">
        <v>5213006608919</v>
      </c>
      <c r="C40" s="12">
        <v>5.12</v>
      </c>
      <c r="D40" s="12">
        <v>0.9</v>
      </c>
      <c r="E40" s="12">
        <f t="shared" si="0"/>
        <v>6.0200000000000005</v>
      </c>
      <c r="F40" s="12">
        <v>1.24</v>
      </c>
      <c r="G40" s="12">
        <f t="shared" si="1"/>
        <v>7.4648000000000003</v>
      </c>
      <c r="H40" s="12">
        <v>1.1214999999999999</v>
      </c>
      <c r="I40" s="12">
        <f t="shared" si="2"/>
        <v>8.3717731999999998</v>
      </c>
      <c r="J40" s="12">
        <v>1.49</v>
      </c>
      <c r="K40" s="12">
        <f t="shared" si="3"/>
        <v>9.8617732</v>
      </c>
    </row>
    <row r="41" spans="1:11" x14ac:dyDescent="0.2">
      <c r="A41" s="12" t="s">
        <v>383</v>
      </c>
      <c r="B41" s="20">
        <v>5213006609510</v>
      </c>
      <c r="C41" s="12">
        <v>3.96</v>
      </c>
      <c r="D41" s="12">
        <v>0.9</v>
      </c>
      <c r="E41" s="12">
        <f t="shared" si="0"/>
        <v>4.8600000000000003</v>
      </c>
      <c r="F41" s="12">
        <v>1.24</v>
      </c>
      <c r="G41" s="12">
        <f t="shared" si="1"/>
        <v>6.0264000000000006</v>
      </c>
      <c r="H41" s="12">
        <v>1.1214999999999999</v>
      </c>
      <c r="I41" s="12">
        <f t="shared" si="2"/>
        <v>6.7586076000000004</v>
      </c>
      <c r="J41" s="12">
        <v>0.25</v>
      </c>
      <c r="K41" s="12">
        <f t="shared" si="3"/>
        <v>7.0086076000000004</v>
      </c>
    </row>
    <row r="42" spans="1:11" x14ac:dyDescent="0.2">
      <c r="A42" s="12" t="s">
        <v>406</v>
      </c>
      <c r="B42" s="20">
        <v>5213006608902</v>
      </c>
      <c r="C42" s="12">
        <v>1.84</v>
      </c>
      <c r="D42" s="12">
        <v>0.9</v>
      </c>
      <c r="E42" s="12">
        <f t="shared" si="0"/>
        <v>2.74</v>
      </c>
      <c r="F42" s="12">
        <v>1.24</v>
      </c>
      <c r="G42" s="12">
        <f t="shared" si="1"/>
        <v>3.3976000000000002</v>
      </c>
      <c r="H42" s="12">
        <v>1.1214999999999999</v>
      </c>
      <c r="I42" s="12">
        <f t="shared" si="2"/>
        <v>3.8104084</v>
      </c>
      <c r="J42" s="12">
        <v>0.25</v>
      </c>
      <c r="K42" s="12">
        <f t="shared" si="3"/>
        <v>4.0604084</v>
      </c>
    </row>
    <row r="43" spans="1:11" x14ac:dyDescent="0.2">
      <c r="A43" s="12" t="s">
        <v>407</v>
      </c>
      <c r="B43" s="20">
        <v>5213006609923</v>
      </c>
      <c r="C43" s="12">
        <v>3.72</v>
      </c>
      <c r="D43" s="12">
        <v>0.9</v>
      </c>
      <c r="E43" s="12">
        <f t="shared" si="0"/>
        <v>4.62</v>
      </c>
      <c r="F43" s="12">
        <v>1.24</v>
      </c>
      <c r="G43" s="12">
        <f t="shared" si="1"/>
        <v>5.7287999999999997</v>
      </c>
      <c r="H43" s="12">
        <v>1.1214999999999999</v>
      </c>
      <c r="I43" s="12">
        <f t="shared" si="2"/>
        <v>6.4248491999999997</v>
      </c>
      <c r="J43" s="12">
        <v>0.25</v>
      </c>
      <c r="K43" s="12">
        <f t="shared" si="3"/>
        <v>6.6748491999999997</v>
      </c>
    </row>
    <row r="44" spans="1:11" x14ac:dyDescent="0.2">
      <c r="A44" s="12" t="s">
        <v>408</v>
      </c>
      <c r="B44" s="20">
        <v>5213006608971</v>
      </c>
      <c r="C44" s="12">
        <v>3.6</v>
      </c>
      <c r="D44" s="12">
        <v>0.9</v>
      </c>
      <c r="E44" s="12">
        <f t="shared" si="0"/>
        <v>4.5</v>
      </c>
      <c r="F44" s="12">
        <v>1.24</v>
      </c>
      <c r="G44" s="12">
        <f t="shared" si="1"/>
        <v>5.58</v>
      </c>
      <c r="H44" s="12">
        <v>1.1214999999999999</v>
      </c>
      <c r="I44" s="12">
        <f t="shared" si="2"/>
        <v>6.2579699999999994</v>
      </c>
      <c r="J44" s="12">
        <v>0.25</v>
      </c>
      <c r="K44" s="12">
        <f t="shared" si="3"/>
        <v>6.5079699999999994</v>
      </c>
    </row>
    <row r="45" spans="1:11" x14ac:dyDescent="0.2">
      <c r="A45" s="12" t="s">
        <v>409</v>
      </c>
      <c r="B45" s="20">
        <v>5213006600333</v>
      </c>
      <c r="C45" s="12">
        <v>3.56</v>
      </c>
      <c r="D45" s="12">
        <v>0.9</v>
      </c>
      <c r="E45" s="12">
        <f t="shared" si="0"/>
        <v>4.46</v>
      </c>
      <c r="F45" s="12">
        <v>1.24</v>
      </c>
      <c r="G45" s="12">
        <f t="shared" si="1"/>
        <v>5.5304000000000002</v>
      </c>
      <c r="H45" s="12">
        <v>1.1214999999999999</v>
      </c>
      <c r="I45" s="12">
        <f t="shared" si="2"/>
        <v>6.2023435999999998</v>
      </c>
      <c r="J45" s="12">
        <v>0.25</v>
      </c>
      <c r="K45" s="12">
        <f t="shared" si="3"/>
        <v>6.4523435999999998</v>
      </c>
    </row>
    <row r="46" spans="1:11" x14ac:dyDescent="0.2">
      <c r="A46" s="12" t="s">
        <v>410</v>
      </c>
      <c r="B46" s="20">
        <v>5213006600326</v>
      </c>
      <c r="C46" s="12">
        <v>4.96</v>
      </c>
      <c r="D46" s="12">
        <v>0.9</v>
      </c>
      <c r="E46" s="12">
        <f t="shared" si="0"/>
        <v>5.86</v>
      </c>
      <c r="F46" s="12">
        <v>1.24</v>
      </c>
      <c r="G46" s="12">
        <f t="shared" si="1"/>
        <v>7.2664</v>
      </c>
      <c r="H46" s="12">
        <v>1.1214999999999999</v>
      </c>
      <c r="I46" s="12">
        <f t="shared" si="2"/>
        <v>8.1492675999999999</v>
      </c>
      <c r="J46" s="12">
        <v>1.49</v>
      </c>
      <c r="K46" s="12">
        <f t="shared" si="3"/>
        <v>9.6392676000000002</v>
      </c>
    </row>
    <row r="47" spans="1:11" x14ac:dyDescent="0.2">
      <c r="A47" s="12" t="s">
        <v>411</v>
      </c>
      <c r="B47" s="20">
        <v>5213006608070</v>
      </c>
      <c r="C47" s="12">
        <v>4.0999999999999996</v>
      </c>
      <c r="D47" s="12">
        <v>0.3</v>
      </c>
      <c r="E47" s="12">
        <f t="shared" si="0"/>
        <v>4.3999999999999995</v>
      </c>
      <c r="F47" s="12">
        <v>1.24</v>
      </c>
      <c r="G47" s="12">
        <f t="shared" si="1"/>
        <v>5.4559999999999995</v>
      </c>
      <c r="H47" s="12">
        <v>1.1214999999999999</v>
      </c>
      <c r="I47" s="12">
        <f t="shared" si="2"/>
        <v>6.1189039999999988</v>
      </c>
      <c r="J47" s="12">
        <v>0.25</v>
      </c>
      <c r="K47" s="12">
        <f t="shared" si="3"/>
        <v>6.3689039999999988</v>
      </c>
    </row>
    <row r="48" spans="1:11" x14ac:dyDescent="0.2">
      <c r="A48" s="12" t="s">
        <v>412</v>
      </c>
      <c r="B48" s="20">
        <v>5213006600319</v>
      </c>
      <c r="C48" s="12">
        <v>4.96</v>
      </c>
      <c r="D48" s="12">
        <v>0.9</v>
      </c>
      <c r="E48" s="12">
        <f t="shared" si="0"/>
        <v>5.86</v>
      </c>
      <c r="F48" s="12">
        <v>1.24</v>
      </c>
      <c r="G48" s="12">
        <f t="shared" si="1"/>
        <v>7.2664</v>
      </c>
      <c r="H48" s="12">
        <v>1.1214999999999999</v>
      </c>
      <c r="I48" s="12">
        <f t="shared" si="2"/>
        <v>8.1492675999999999</v>
      </c>
      <c r="J48" s="12">
        <v>1.49</v>
      </c>
      <c r="K48" s="12">
        <f t="shared" si="3"/>
        <v>9.6392676000000002</v>
      </c>
    </row>
    <row r="49" spans="1:11" x14ac:dyDescent="0.2">
      <c r="A49" s="12" t="s">
        <v>413</v>
      </c>
      <c r="B49" s="20">
        <v>5213006608957</v>
      </c>
      <c r="C49" s="12">
        <v>1.84</v>
      </c>
      <c r="D49" s="12">
        <v>0.9</v>
      </c>
      <c r="E49" s="12">
        <f t="shared" si="0"/>
        <v>2.74</v>
      </c>
      <c r="F49" s="12">
        <v>1.24</v>
      </c>
      <c r="G49" s="12">
        <f t="shared" si="1"/>
        <v>3.3976000000000002</v>
      </c>
      <c r="H49" s="12">
        <v>1.1214999999999999</v>
      </c>
      <c r="I49" s="12">
        <f t="shared" si="2"/>
        <v>3.8104084</v>
      </c>
      <c r="J49" s="12">
        <v>0.25</v>
      </c>
      <c r="K49" s="12">
        <f t="shared" si="3"/>
        <v>4.0604084</v>
      </c>
    </row>
    <row r="50" spans="1:11" x14ac:dyDescent="0.2">
      <c r="A50" s="12" t="s">
        <v>414</v>
      </c>
      <c r="B50" s="20">
        <v>5213006608094</v>
      </c>
      <c r="C50" s="12">
        <v>3.72</v>
      </c>
      <c r="D50" s="12">
        <v>0.9</v>
      </c>
      <c r="E50" s="12">
        <f t="shared" si="0"/>
        <v>4.62</v>
      </c>
      <c r="F50" s="12">
        <v>1.24</v>
      </c>
      <c r="G50" s="12">
        <f t="shared" si="1"/>
        <v>5.7287999999999997</v>
      </c>
      <c r="H50" s="12">
        <v>1.1214999999999999</v>
      </c>
      <c r="I50" s="12">
        <f t="shared" si="2"/>
        <v>6.4248491999999997</v>
      </c>
      <c r="J50" s="12">
        <v>0.25</v>
      </c>
      <c r="K50" s="12">
        <f t="shared" si="3"/>
        <v>6.6748491999999997</v>
      </c>
    </row>
    <row r="51" spans="1:11" x14ac:dyDescent="0.2">
      <c r="A51" s="12" t="s">
        <v>415</v>
      </c>
      <c r="B51" s="20">
        <v>5213006608087</v>
      </c>
      <c r="C51" s="12">
        <v>3.95</v>
      </c>
      <c r="D51" s="12">
        <v>0.9</v>
      </c>
      <c r="E51" s="12">
        <f t="shared" si="0"/>
        <v>4.8500000000000005</v>
      </c>
      <c r="F51" s="12">
        <v>1.24</v>
      </c>
      <c r="G51" s="12">
        <f t="shared" si="1"/>
        <v>6.0140000000000002</v>
      </c>
      <c r="H51" s="12">
        <v>1.1214999999999999</v>
      </c>
      <c r="I51" s="12">
        <f t="shared" si="2"/>
        <v>6.7447010000000001</v>
      </c>
      <c r="J51" s="12">
        <v>0.25</v>
      </c>
      <c r="K51" s="12">
        <f t="shared" si="3"/>
        <v>6.9947010000000001</v>
      </c>
    </row>
    <row r="52" spans="1:11" x14ac:dyDescent="0.2">
      <c r="A52" s="12" t="s">
        <v>416</v>
      </c>
      <c r="B52" s="20">
        <v>5213006609176</v>
      </c>
      <c r="C52" s="12">
        <v>2.48</v>
      </c>
      <c r="D52" s="12">
        <v>0.9</v>
      </c>
      <c r="E52" s="12">
        <f t="shared" si="0"/>
        <v>3.38</v>
      </c>
      <c r="F52" s="12">
        <v>1.24</v>
      </c>
      <c r="G52" s="12">
        <f t="shared" si="1"/>
        <v>4.1912000000000003</v>
      </c>
      <c r="H52" s="12">
        <v>1.1214999999999999</v>
      </c>
      <c r="I52" s="12">
        <f t="shared" si="2"/>
        <v>4.7004308000000004</v>
      </c>
      <c r="J52" s="12">
        <v>0.25</v>
      </c>
      <c r="K52" s="12">
        <f t="shared" si="3"/>
        <v>4.9504308000000004</v>
      </c>
    </row>
    <row r="53" spans="1:11" x14ac:dyDescent="0.2">
      <c r="A53" s="12" t="s">
        <v>417</v>
      </c>
      <c r="B53" s="20">
        <v>5213006609374</v>
      </c>
      <c r="C53" s="12">
        <v>3.04</v>
      </c>
      <c r="D53" s="12">
        <v>0.9</v>
      </c>
      <c r="E53" s="12">
        <f t="shared" si="0"/>
        <v>3.94</v>
      </c>
      <c r="F53" s="12">
        <v>1.24</v>
      </c>
      <c r="G53" s="12">
        <f t="shared" si="1"/>
        <v>4.8856000000000002</v>
      </c>
      <c r="H53" s="12">
        <v>1.1214999999999999</v>
      </c>
      <c r="I53" s="12">
        <f t="shared" si="2"/>
        <v>5.4792003999999999</v>
      </c>
      <c r="J53" s="12">
        <v>0.25</v>
      </c>
      <c r="K53" s="12">
        <f t="shared" si="3"/>
        <v>5.7292003999999999</v>
      </c>
    </row>
    <row r="54" spans="1:11" x14ac:dyDescent="0.2">
      <c r="A54" s="12" t="s">
        <v>418</v>
      </c>
      <c r="B54" s="20">
        <v>5213006608636</v>
      </c>
      <c r="C54" s="12">
        <v>10.48</v>
      </c>
      <c r="D54" s="12">
        <v>0.9</v>
      </c>
      <c r="E54" s="12">
        <f t="shared" si="0"/>
        <v>11.38</v>
      </c>
      <c r="F54" s="12">
        <v>1.24</v>
      </c>
      <c r="G54" s="12">
        <f t="shared" si="1"/>
        <v>14.1112</v>
      </c>
      <c r="H54" s="12">
        <v>1.1214999999999999</v>
      </c>
      <c r="I54" s="12">
        <f t="shared" si="2"/>
        <v>15.8257108</v>
      </c>
      <c r="J54" s="12">
        <v>1.49</v>
      </c>
      <c r="K54" s="12">
        <f t="shared" si="3"/>
        <v>17.315710799999998</v>
      </c>
    </row>
    <row r="55" spans="1:11" x14ac:dyDescent="0.2">
      <c r="A55" s="12" t="s">
        <v>419</v>
      </c>
      <c r="B55" s="20">
        <v>5213006607189</v>
      </c>
      <c r="C55" s="12">
        <v>15.84</v>
      </c>
      <c r="D55" s="12">
        <v>0.9</v>
      </c>
      <c r="E55" s="12">
        <f t="shared" si="0"/>
        <v>16.739999999999998</v>
      </c>
      <c r="F55" s="12">
        <v>1.24</v>
      </c>
      <c r="G55" s="12">
        <f t="shared" si="1"/>
        <v>20.757599999999996</v>
      </c>
      <c r="H55" s="12">
        <v>1.1214999999999999</v>
      </c>
      <c r="I55" s="12">
        <f t="shared" si="2"/>
        <v>23.279648399999996</v>
      </c>
      <c r="J55" s="12">
        <v>1.49</v>
      </c>
      <c r="K55" s="12">
        <f t="shared" si="3"/>
        <v>24.769648399999994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2:L51"/>
  <sheetViews>
    <sheetView workbookViewId="0"/>
  </sheetViews>
  <sheetFormatPr defaultColWidth="12.5703125" defaultRowHeight="15.75" customHeight="1" x14ac:dyDescent="0.2"/>
  <cols>
    <col min="1" max="1" width="33.5703125" customWidth="1"/>
    <col min="2" max="2" width="14.7109375" customWidth="1"/>
  </cols>
  <sheetData>
    <row r="2" spans="1:12" x14ac:dyDescent="0.2">
      <c r="A2" s="6" t="s">
        <v>420</v>
      </c>
      <c r="B2" s="6" t="s">
        <v>421</v>
      </c>
      <c r="C2" s="12">
        <v>6.12</v>
      </c>
      <c r="D2" s="12">
        <v>0.77</v>
      </c>
      <c r="E2" s="12">
        <f t="shared" ref="E2:E51" si="0">SUM(C2)+D2</f>
        <v>6.8900000000000006</v>
      </c>
      <c r="F2" s="12">
        <v>1.24</v>
      </c>
      <c r="G2" s="12">
        <f t="shared" ref="G2:G51" si="1">SUM(E2)*F2</f>
        <v>8.5436000000000014</v>
      </c>
      <c r="H2" s="12">
        <v>1.1214999999999999</v>
      </c>
      <c r="I2" s="12">
        <f t="shared" ref="I2:I51" si="2">SUM(G2)*H2</f>
        <v>9.5816474000000014</v>
      </c>
      <c r="J2" s="21">
        <v>0.41</v>
      </c>
      <c r="K2" s="12">
        <f t="shared" ref="K2:K51" si="3">SUM(I2)+J2</f>
        <v>9.9916474000000015</v>
      </c>
      <c r="L2" s="12">
        <v>9.99</v>
      </c>
    </row>
    <row r="3" spans="1:12" x14ac:dyDescent="0.2">
      <c r="A3" s="22" t="s">
        <v>422</v>
      </c>
      <c r="B3" s="22" t="s">
        <v>423</v>
      </c>
      <c r="C3" s="23">
        <v>7.8</v>
      </c>
      <c r="D3" s="23">
        <v>0.3</v>
      </c>
      <c r="E3" s="23">
        <f t="shared" si="0"/>
        <v>8.1</v>
      </c>
      <c r="F3" s="23">
        <v>1.24</v>
      </c>
      <c r="G3" s="23">
        <f t="shared" si="1"/>
        <v>10.043999999999999</v>
      </c>
      <c r="H3" s="23">
        <v>1.1214999999999999</v>
      </c>
      <c r="I3" s="23">
        <f t="shared" si="2"/>
        <v>11.264345999999998</v>
      </c>
      <c r="J3" s="24">
        <v>0.7</v>
      </c>
      <c r="K3" s="23">
        <f t="shared" si="3"/>
        <v>11.964345999999997</v>
      </c>
      <c r="L3" s="23">
        <v>11</v>
      </c>
    </row>
    <row r="4" spans="1:12" x14ac:dyDescent="0.2">
      <c r="A4" s="6" t="s">
        <v>424</v>
      </c>
      <c r="B4" s="6" t="s">
        <v>425</v>
      </c>
      <c r="C4" s="12">
        <v>13.26</v>
      </c>
      <c r="D4" s="12">
        <v>0.9</v>
      </c>
      <c r="E4" s="12">
        <f t="shared" si="0"/>
        <v>14.16</v>
      </c>
      <c r="F4" s="12">
        <v>1.24</v>
      </c>
      <c r="G4" s="12">
        <f t="shared" si="1"/>
        <v>17.558399999999999</v>
      </c>
      <c r="H4" s="12">
        <v>1.1214999999999999</v>
      </c>
      <c r="I4" s="12">
        <f t="shared" si="2"/>
        <v>19.691745599999997</v>
      </c>
      <c r="J4" s="21">
        <v>0.7</v>
      </c>
      <c r="K4" s="12">
        <f t="shared" si="3"/>
        <v>20.391745599999997</v>
      </c>
    </row>
    <row r="5" spans="1:12" x14ac:dyDescent="0.2">
      <c r="A5" s="6" t="s">
        <v>426</v>
      </c>
      <c r="B5" s="6" t="s">
        <v>427</v>
      </c>
      <c r="C5" s="12">
        <v>11.02</v>
      </c>
      <c r="D5" s="12">
        <v>0.9</v>
      </c>
      <c r="E5" s="12">
        <f t="shared" si="0"/>
        <v>11.92</v>
      </c>
      <c r="F5" s="12">
        <v>1.24</v>
      </c>
      <c r="G5" s="12">
        <f t="shared" si="1"/>
        <v>14.780799999999999</v>
      </c>
      <c r="H5" s="12">
        <v>1.1214999999999999</v>
      </c>
      <c r="I5" s="12">
        <f t="shared" si="2"/>
        <v>16.576667199999999</v>
      </c>
      <c r="J5" s="21">
        <v>0.7</v>
      </c>
      <c r="K5" s="12">
        <f t="shared" si="3"/>
        <v>17.276667199999999</v>
      </c>
    </row>
    <row r="6" spans="1:12" x14ac:dyDescent="0.2">
      <c r="A6" s="6" t="s">
        <v>428</v>
      </c>
      <c r="B6" s="6" t="s">
        <v>429</v>
      </c>
      <c r="C6" s="12">
        <v>10.56</v>
      </c>
      <c r="D6" s="12">
        <v>0.9</v>
      </c>
      <c r="E6" s="12">
        <f t="shared" si="0"/>
        <v>11.46</v>
      </c>
      <c r="F6" s="12">
        <v>1.24</v>
      </c>
      <c r="G6" s="12">
        <f t="shared" si="1"/>
        <v>14.210400000000002</v>
      </c>
      <c r="H6" s="12">
        <v>1.1214999999999999</v>
      </c>
      <c r="I6" s="12">
        <f t="shared" si="2"/>
        <v>15.9369636</v>
      </c>
      <c r="J6" s="21">
        <v>0.7</v>
      </c>
      <c r="K6" s="12">
        <f t="shared" si="3"/>
        <v>16.636963600000001</v>
      </c>
    </row>
    <row r="7" spans="1:12" x14ac:dyDescent="0.2">
      <c r="A7" s="6" t="s">
        <v>430</v>
      </c>
      <c r="B7" s="6" t="s">
        <v>431</v>
      </c>
      <c r="C7" s="12">
        <v>15.78</v>
      </c>
      <c r="D7" s="12">
        <v>0.9</v>
      </c>
      <c r="E7" s="12">
        <f t="shared" si="0"/>
        <v>16.68</v>
      </c>
      <c r="F7" s="12">
        <v>1.24</v>
      </c>
      <c r="G7" s="12">
        <f t="shared" si="1"/>
        <v>20.683199999999999</v>
      </c>
      <c r="H7" s="12">
        <v>1.1214999999999999</v>
      </c>
      <c r="I7" s="12">
        <f t="shared" si="2"/>
        <v>23.196208799999997</v>
      </c>
      <c r="J7" s="21">
        <v>0.7</v>
      </c>
      <c r="K7" s="12">
        <f t="shared" si="3"/>
        <v>23.896208799999997</v>
      </c>
    </row>
    <row r="8" spans="1:12" x14ac:dyDescent="0.2">
      <c r="A8" s="6" t="s">
        <v>432</v>
      </c>
      <c r="B8" s="6" t="s">
        <v>433</v>
      </c>
      <c r="C8" s="12">
        <v>11.76</v>
      </c>
      <c r="D8" s="12">
        <v>0.9</v>
      </c>
      <c r="E8" s="12">
        <f t="shared" si="0"/>
        <v>12.66</v>
      </c>
      <c r="F8" s="12">
        <v>1.24</v>
      </c>
      <c r="G8" s="12">
        <f t="shared" si="1"/>
        <v>15.698399999999999</v>
      </c>
      <c r="H8" s="12">
        <v>1.1214999999999999</v>
      </c>
      <c r="I8" s="12">
        <f t="shared" si="2"/>
        <v>17.605755599999998</v>
      </c>
      <c r="J8" s="21">
        <v>1.42</v>
      </c>
      <c r="K8" s="12">
        <f t="shared" si="3"/>
        <v>19.025755599999997</v>
      </c>
    </row>
    <row r="9" spans="1:12" x14ac:dyDescent="0.2">
      <c r="A9" s="6" t="s">
        <v>434</v>
      </c>
      <c r="B9" s="6" t="s">
        <v>435</v>
      </c>
      <c r="C9" s="12">
        <v>2.23</v>
      </c>
      <c r="D9" s="12">
        <v>0.4</v>
      </c>
      <c r="E9" s="12">
        <f t="shared" si="0"/>
        <v>2.63</v>
      </c>
      <c r="F9" s="12">
        <v>1.24</v>
      </c>
      <c r="G9" s="12">
        <f t="shared" si="1"/>
        <v>3.2611999999999997</v>
      </c>
      <c r="H9" s="12">
        <v>1.1214999999999999</v>
      </c>
      <c r="I9" s="12">
        <f t="shared" si="2"/>
        <v>3.6574357999999996</v>
      </c>
      <c r="J9" s="21">
        <v>0.25</v>
      </c>
      <c r="K9" s="12">
        <f t="shared" si="3"/>
        <v>3.9074357999999996</v>
      </c>
    </row>
    <row r="10" spans="1:12" x14ac:dyDescent="0.2">
      <c r="A10" s="6" t="s">
        <v>436</v>
      </c>
      <c r="B10" s="6" t="s">
        <v>437</v>
      </c>
      <c r="C10" s="12">
        <v>8.94</v>
      </c>
      <c r="D10" s="12">
        <v>0.9</v>
      </c>
      <c r="E10" s="12">
        <f t="shared" si="0"/>
        <v>9.84</v>
      </c>
      <c r="F10" s="12">
        <v>1.24</v>
      </c>
      <c r="G10" s="12">
        <f t="shared" si="1"/>
        <v>12.201599999999999</v>
      </c>
      <c r="H10" s="12">
        <v>1.1214999999999999</v>
      </c>
      <c r="I10" s="12">
        <f t="shared" si="2"/>
        <v>13.684094399999998</v>
      </c>
      <c r="J10" s="21">
        <v>0.7</v>
      </c>
      <c r="K10" s="12">
        <f t="shared" si="3"/>
        <v>14.384094399999997</v>
      </c>
    </row>
    <row r="11" spans="1:12" x14ac:dyDescent="0.2">
      <c r="A11" s="6" t="s">
        <v>438</v>
      </c>
      <c r="B11" s="6" t="s">
        <v>439</v>
      </c>
      <c r="C11" s="12">
        <v>16.66</v>
      </c>
      <c r="D11" s="12">
        <v>0.9</v>
      </c>
      <c r="E11" s="12">
        <f t="shared" si="0"/>
        <v>17.559999999999999</v>
      </c>
      <c r="F11" s="12">
        <v>1.24</v>
      </c>
      <c r="G11" s="12">
        <f t="shared" si="1"/>
        <v>21.7744</v>
      </c>
      <c r="H11" s="12">
        <v>1.1214999999999999</v>
      </c>
      <c r="I11" s="12">
        <f t="shared" si="2"/>
        <v>24.419989599999997</v>
      </c>
      <c r="J11" s="21">
        <v>0.7</v>
      </c>
      <c r="K11" s="12">
        <f t="shared" si="3"/>
        <v>25.119989599999997</v>
      </c>
    </row>
    <row r="12" spans="1:12" x14ac:dyDescent="0.2">
      <c r="A12" s="6" t="s">
        <v>440</v>
      </c>
      <c r="B12" s="6" t="s">
        <v>441</v>
      </c>
      <c r="C12" s="12">
        <v>14.78</v>
      </c>
      <c r="D12" s="12">
        <v>0.9</v>
      </c>
      <c r="E12" s="12">
        <f t="shared" si="0"/>
        <v>15.68</v>
      </c>
      <c r="F12" s="12">
        <v>1.24</v>
      </c>
      <c r="G12" s="12">
        <f t="shared" si="1"/>
        <v>19.443200000000001</v>
      </c>
      <c r="H12" s="12">
        <v>1.1214999999999999</v>
      </c>
      <c r="I12" s="12">
        <f t="shared" si="2"/>
        <v>21.8055488</v>
      </c>
      <c r="J12" s="21">
        <v>0.7</v>
      </c>
      <c r="K12" s="12">
        <f t="shared" si="3"/>
        <v>22.5055488</v>
      </c>
    </row>
    <row r="13" spans="1:12" x14ac:dyDescent="0.2">
      <c r="A13" s="6" t="s">
        <v>442</v>
      </c>
      <c r="B13" s="6" t="s">
        <v>443</v>
      </c>
      <c r="C13" s="12">
        <v>10.89</v>
      </c>
      <c r="D13" s="12">
        <v>0.9</v>
      </c>
      <c r="E13" s="12">
        <f t="shared" si="0"/>
        <v>11.790000000000001</v>
      </c>
      <c r="F13" s="12">
        <v>1.24</v>
      </c>
      <c r="G13" s="12">
        <f t="shared" si="1"/>
        <v>14.619600000000002</v>
      </c>
      <c r="H13" s="12">
        <v>1.1214999999999999</v>
      </c>
      <c r="I13" s="12">
        <f t="shared" si="2"/>
        <v>16.3958814</v>
      </c>
      <c r="J13" s="21">
        <v>0.7</v>
      </c>
      <c r="K13" s="12">
        <f t="shared" si="3"/>
        <v>17.0958814</v>
      </c>
    </row>
    <row r="14" spans="1:12" x14ac:dyDescent="0.2">
      <c r="A14" s="6" t="s">
        <v>444</v>
      </c>
      <c r="B14" s="6" t="s">
        <v>445</v>
      </c>
      <c r="C14" s="12">
        <v>7.86</v>
      </c>
      <c r="D14" s="12">
        <v>0.9</v>
      </c>
      <c r="E14" s="12">
        <f t="shared" si="0"/>
        <v>8.76</v>
      </c>
      <c r="F14" s="12">
        <v>1.24</v>
      </c>
      <c r="G14" s="12">
        <f t="shared" si="1"/>
        <v>10.862399999999999</v>
      </c>
      <c r="H14" s="12">
        <v>1.1214999999999999</v>
      </c>
      <c r="I14" s="12">
        <f t="shared" si="2"/>
        <v>12.182181599999998</v>
      </c>
      <c r="J14" s="21">
        <v>1.42</v>
      </c>
      <c r="K14" s="12">
        <f t="shared" si="3"/>
        <v>13.602181599999998</v>
      </c>
    </row>
    <row r="15" spans="1:12" x14ac:dyDescent="0.2">
      <c r="A15" s="6" t="s">
        <v>446</v>
      </c>
      <c r="B15" s="6" t="s">
        <v>447</v>
      </c>
      <c r="C15" s="12">
        <v>22</v>
      </c>
      <c r="D15" s="12">
        <v>0.9</v>
      </c>
      <c r="E15" s="12">
        <f t="shared" si="0"/>
        <v>22.9</v>
      </c>
      <c r="F15" s="12">
        <v>1.24</v>
      </c>
      <c r="G15" s="12">
        <f t="shared" si="1"/>
        <v>28.395999999999997</v>
      </c>
      <c r="H15" s="12">
        <v>1.1214999999999999</v>
      </c>
      <c r="I15" s="12">
        <f t="shared" si="2"/>
        <v>31.846113999999996</v>
      </c>
      <c r="J15" s="21">
        <v>0.7</v>
      </c>
      <c r="K15" s="12">
        <f t="shared" si="3"/>
        <v>32.546113999999996</v>
      </c>
    </row>
    <row r="16" spans="1:12" x14ac:dyDescent="0.2">
      <c r="A16" s="6" t="s">
        <v>448</v>
      </c>
      <c r="B16" s="6" t="s">
        <v>449</v>
      </c>
      <c r="C16" s="12">
        <v>16.010000000000002</v>
      </c>
      <c r="D16" s="12">
        <v>0.9</v>
      </c>
      <c r="E16" s="12">
        <f t="shared" si="0"/>
        <v>16.91</v>
      </c>
      <c r="F16" s="12">
        <v>1.24</v>
      </c>
      <c r="G16" s="12">
        <f t="shared" si="1"/>
        <v>20.968399999999999</v>
      </c>
      <c r="H16" s="12">
        <v>1.1214999999999999</v>
      </c>
      <c r="I16" s="12">
        <f t="shared" si="2"/>
        <v>23.516060599999999</v>
      </c>
      <c r="J16" s="21">
        <v>1.42</v>
      </c>
      <c r="K16" s="12">
        <f t="shared" si="3"/>
        <v>24.936060599999998</v>
      </c>
    </row>
    <row r="17" spans="1:11" x14ac:dyDescent="0.2">
      <c r="A17" s="6" t="s">
        <v>450</v>
      </c>
      <c r="B17" s="6" t="s">
        <v>451</v>
      </c>
      <c r="C17" s="12">
        <v>9.74</v>
      </c>
      <c r="D17" s="12">
        <v>0.9</v>
      </c>
      <c r="E17" s="12">
        <f t="shared" si="0"/>
        <v>10.64</v>
      </c>
      <c r="F17" s="12">
        <v>1.24</v>
      </c>
      <c r="G17" s="12">
        <f t="shared" si="1"/>
        <v>13.1936</v>
      </c>
      <c r="H17" s="12">
        <v>1.1214999999999999</v>
      </c>
      <c r="I17" s="12">
        <f t="shared" si="2"/>
        <v>14.796622399999999</v>
      </c>
      <c r="J17" s="21">
        <v>0.7</v>
      </c>
      <c r="K17" s="12">
        <f t="shared" si="3"/>
        <v>15.496622399999998</v>
      </c>
    </row>
    <row r="18" spans="1:11" x14ac:dyDescent="0.2">
      <c r="A18" s="6" t="s">
        <v>452</v>
      </c>
      <c r="B18" s="6" t="s">
        <v>453</v>
      </c>
      <c r="C18" s="12">
        <v>11.2</v>
      </c>
      <c r="D18" s="12">
        <v>0.9</v>
      </c>
      <c r="E18" s="12">
        <f t="shared" si="0"/>
        <v>12.1</v>
      </c>
      <c r="F18" s="12">
        <v>1.24</v>
      </c>
      <c r="G18" s="12">
        <f t="shared" si="1"/>
        <v>15.004</v>
      </c>
      <c r="H18" s="12">
        <v>1.1214999999999999</v>
      </c>
      <c r="I18" s="12">
        <f t="shared" si="2"/>
        <v>16.826985999999998</v>
      </c>
      <c r="J18" s="21">
        <v>1.42</v>
      </c>
      <c r="K18" s="12">
        <f t="shared" si="3"/>
        <v>18.246986</v>
      </c>
    </row>
    <row r="19" spans="1:11" x14ac:dyDescent="0.2">
      <c r="A19" s="6" t="s">
        <v>454</v>
      </c>
      <c r="B19" s="6" t="s">
        <v>455</v>
      </c>
      <c r="C19" s="12">
        <v>7.52</v>
      </c>
      <c r="D19" s="12">
        <v>0.05</v>
      </c>
      <c r="E19" s="12">
        <f t="shared" si="0"/>
        <v>7.5699999999999994</v>
      </c>
      <c r="F19" s="12">
        <v>1.24</v>
      </c>
      <c r="G19" s="12">
        <f t="shared" si="1"/>
        <v>9.3867999999999991</v>
      </c>
      <c r="H19" s="12">
        <v>1.1214999999999999</v>
      </c>
      <c r="I19" s="12">
        <f t="shared" si="2"/>
        <v>10.527296199999999</v>
      </c>
      <c r="J19" s="21">
        <v>0.7</v>
      </c>
      <c r="K19" s="12">
        <f t="shared" si="3"/>
        <v>11.227296199999998</v>
      </c>
    </row>
    <row r="20" spans="1:11" x14ac:dyDescent="0.2">
      <c r="A20" s="6" t="s">
        <v>456</v>
      </c>
      <c r="B20" s="6" t="s">
        <v>457</v>
      </c>
      <c r="C20" s="12">
        <v>5.14</v>
      </c>
      <c r="D20" s="12">
        <v>0.6</v>
      </c>
      <c r="E20" s="12">
        <f t="shared" si="0"/>
        <v>5.7399999999999993</v>
      </c>
      <c r="F20" s="12">
        <v>1.24</v>
      </c>
      <c r="G20" s="12">
        <f t="shared" si="1"/>
        <v>7.1175999999999995</v>
      </c>
      <c r="H20" s="12">
        <v>1.1214999999999999</v>
      </c>
      <c r="I20" s="12">
        <f t="shared" si="2"/>
        <v>7.9823883999999987</v>
      </c>
      <c r="J20" s="21">
        <v>0.43</v>
      </c>
      <c r="K20" s="12">
        <f t="shared" si="3"/>
        <v>8.4123883999999993</v>
      </c>
    </row>
    <row r="21" spans="1:11" x14ac:dyDescent="0.2">
      <c r="A21" s="6" t="s">
        <v>458</v>
      </c>
      <c r="B21" s="6" t="s">
        <v>459</v>
      </c>
      <c r="C21" s="12">
        <v>11.84</v>
      </c>
      <c r="D21" s="12">
        <v>0.9</v>
      </c>
      <c r="E21" s="12">
        <f t="shared" si="0"/>
        <v>12.74</v>
      </c>
      <c r="F21" s="12">
        <v>1.24</v>
      </c>
      <c r="G21" s="12">
        <f t="shared" si="1"/>
        <v>15.797600000000001</v>
      </c>
      <c r="H21" s="12">
        <v>1.1214999999999999</v>
      </c>
      <c r="I21" s="12">
        <f t="shared" si="2"/>
        <v>17.717008400000001</v>
      </c>
      <c r="J21" s="21">
        <v>0.7</v>
      </c>
      <c r="K21" s="12">
        <f t="shared" si="3"/>
        <v>18.4170084</v>
      </c>
    </row>
    <row r="22" spans="1:11" x14ac:dyDescent="0.2">
      <c r="A22" s="6" t="s">
        <v>460</v>
      </c>
      <c r="B22" s="6" t="s">
        <v>461</v>
      </c>
      <c r="C22" s="12">
        <v>5.44</v>
      </c>
      <c r="D22" s="12">
        <v>0.6</v>
      </c>
      <c r="E22" s="12">
        <f t="shared" si="0"/>
        <v>6.04</v>
      </c>
      <c r="F22" s="12">
        <v>1.24</v>
      </c>
      <c r="G22" s="12">
        <f t="shared" si="1"/>
        <v>7.4896000000000003</v>
      </c>
      <c r="H22" s="12">
        <v>1.1214999999999999</v>
      </c>
      <c r="I22" s="12">
        <f t="shared" si="2"/>
        <v>8.3995864000000005</v>
      </c>
      <c r="J22" s="21">
        <v>0.43</v>
      </c>
      <c r="K22" s="12">
        <f t="shared" si="3"/>
        <v>8.8295864000000002</v>
      </c>
    </row>
    <row r="23" spans="1:11" x14ac:dyDescent="0.2">
      <c r="A23" s="6" t="s">
        <v>462</v>
      </c>
      <c r="B23" s="6" t="s">
        <v>463</v>
      </c>
      <c r="C23" s="12">
        <v>5.95</v>
      </c>
      <c r="D23" s="12">
        <v>0.6</v>
      </c>
      <c r="E23" s="12">
        <f t="shared" si="0"/>
        <v>6.55</v>
      </c>
      <c r="F23" s="12">
        <v>1.24</v>
      </c>
      <c r="G23" s="12">
        <f t="shared" si="1"/>
        <v>8.1219999999999999</v>
      </c>
      <c r="H23" s="12">
        <v>1.1214999999999999</v>
      </c>
      <c r="I23" s="12">
        <f t="shared" si="2"/>
        <v>9.1088229999999992</v>
      </c>
      <c r="J23" s="21">
        <v>0.43</v>
      </c>
      <c r="K23" s="12">
        <f t="shared" si="3"/>
        <v>9.5388229999999989</v>
      </c>
    </row>
    <row r="24" spans="1:11" x14ac:dyDescent="0.2">
      <c r="A24" s="6" t="s">
        <v>464</v>
      </c>
      <c r="B24" s="6" t="s">
        <v>465</v>
      </c>
      <c r="C24" s="12">
        <v>12.33</v>
      </c>
      <c r="D24" s="12">
        <v>0.9</v>
      </c>
      <c r="E24" s="12">
        <f t="shared" si="0"/>
        <v>13.23</v>
      </c>
      <c r="F24" s="12">
        <v>1.24</v>
      </c>
      <c r="G24" s="12">
        <f t="shared" si="1"/>
        <v>16.405200000000001</v>
      </c>
      <c r="H24" s="12">
        <v>1.1214999999999999</v>
      </c>
      <c r="I24" s="12">
        <f t="shared" si="2"/>
        <v>18.398431800000001</v>
      </c>
      <c r="J24" s="21">
        <v>1.42</v>
      </c>
      <c r="K24" s="12">
        <f t="shared" si="3"/>
        <v>19.818431799999999</v>
      </c>
    </row>
    <row r="25" spans="1:11" x14ac:dyDescent="0.2">
      <c r="A25" s="6" t="s">
        <v>466</v>
      </c>
      <c r="B25" s="6" t="s">
        <v>467</v>
      </c>
      <c r="C25" s="12">
        <v>23.51</v>
      </c>
      <c r="D25" s="12">
        <v>0.9</v>
      </c>
      <c r="E25" s="12">
        <f t="shared" si="0"/>
        <v>24.41</v>
      </c>
      <c r="F25" s="12">
        <v>1.24</v>
      </c>
      <c r="G25" s="12">
        <f t="shared" si="1"/>
        <v>30.2684</v>
      </c>
      <c r="H25" s="12">
        <v>1.1214999999999999</v>
      </c>
      <c r="I25" s="12">
        <f t="shared" si="2"/>
        <v>33.946010600000001</v>
      </c>
      <c r="J25" s="21">
        <v>0.7</v>
      </c>
      <c r="K25" s="12">
        <f t="shared" si="3"/>
        <v>34.646010600000004</v>
      </c>
    </row>
    <row r="26" spans="1:11" x14ac:dyDescent="0.2">
      <c r="A26" s="6" t="s">
        <v>468</v>
      </c>
      <c r="B26" s="6" t="s">
        <v>469</v>
      </c>
      <c r="C26" s="12">
        <v>11.46</v>
      </c>
      <c r="D26" s="12">
        <v>0.9</v>
      </c>
      <c r="E26" s="12">
        <f t="shared" si="0"/>
        <v>12.360000000000001</v>
      </c>
      <c r="F26" s="12">
        <v>1.24</v>
      </c>
      <c r="G26" s="12">
        <f t="shared" si="1"/>
        <v>15.326400000000001</v>
      </c>
      <c r="H26" s="12">
        <v>1.1214999999999999</v>
      </c>
      <c r="I26" s="12">
        <f t="shared" si="2"/>
        <v>17.188557599999999</v>
      </c>
      <c r="J26" s="21">
        <v>0.7</v>
      </c>
      <c r="K26" s="12">
        <f t="shared" si="3"/>
        <v>17.888557599999999</v>
      </c>
    </row>
    <row r="27" spans="1:11" x14ac:dyDescent="0.2">
      <c r="A27" s="6" t="s">
        <v>470</v>
      </c>
      <c r="B27" s="6" t="s">
        <v>471</v>
      </c>
      <c r="C27" s="12">
        <v>20.239999999999998</v>
      </c>
      <c r="D27" s="12">
        <v>0.9</v>
      </c>
      <c r="E27" s="12">
        <f t="shared" si="0"/>
        <v>21.139999999999997</v>
      </c>
      <c r="F27" s="12">
        <v>1.24</v>
      </c>
      <c r="G27" s="12">
        <f t="shared" si="1"/>
        <v>26.213599999999996</v>
      </c>
      <c r="H27" s="12">
        <v>1.1214999999999999</v>
      </c>
      <c r="I27" s="12">
        <f t="shared" si="2"/>
        <v>29.398552399999993</v>
      </c>
      <c r="J27" s="21">
        <v>1.42</v>
      </c>
      <c r="K27" s="12">
        <f t="shared" si="3"/>
        <v>30.818552399999994</v>
      </c>
    </row>
    <row r="28" spans="1:11" x14ac:dyDescent="0.2">
      <c r="A28" s="6" t="s">
        <v>472</v>
      </c>
      <c r="B28" s="6" t="s">
        <v>473</v>
      </c>
      <c r="C28" s="12">
        <v>20.53</v>
      </c>
      <c r="D28" s="12">
        <v>0.9</v>
      </c>
      <c r="E28" s="12">
        <f t="shared" si="0"/>
        <v>21.43</v>
      </c>
      <c r="F28" s="12">
        <v>1.24</v>
      </c>
      <c r="G28" s="12">
        <f t="shared" si="1"/>
        <v>26.5732</v>
      </c>
      <c r="H28" s="12">
        <v>1.1214999999999999</v>
      </c>
      <c r="I28" s="12">
        <f t="shared" si="2"/>
        <v>29.801843799999997</v>
      </c>
      <c r="J28" s="21">
        <v>1.42</v>
      </c>
      <c r="K28" s="12">
        <f t="shared" si="3"/>
        <v>31.221843799999995</v>
      </c>
    </row>
    <row r="29" spans="1:11" x14ac:dyDescent="0.2">
      <c r="A29" s="6" t="s">
        <v>474</v>
      </c>
      <c r="B29" s="6" t="s">
        <v>475</v>
      </c>
      <c r="C29" s="12">
        <v>8.7899999999999991</v>
      </c>
      <c r="D29" s="12">
        <v>0.9</v>
      </c>
      <c r="E29" s="12">
        <f t="shared" si="0"/>
        <v>9.69</v>
      </c>
      <c r="F29" s="12">
        <v>1.24</v>
      </c>
      <c r="G29" s="12">
        <f t="shared" si="1"/>
        <v>12.015599999999999</v>
      </c>
      <c r="H29" s="12">
        <v>1.1214999999999999</v>
      </c>
      <c r="I29" s="12">
        <f t="shared" si="2"/>
        <v>13.475495399999998</v>
      </c>
      <c r="J29" s="21">
        <v>0.7</v>
      </c>
      <c r="K29" s="12">
        <f t="shared" si="3"/>
        <v>14.175495399999997</v>
      </c>
    </row>
    <row r="30" spans="1:11" x14ac:dyDescent="0.2">
      <c r="A30" s="6" t="s">
        <v>476</v>
      </c>
      <c r="B30" s="6" t="s">
        <v>477</v>
      </c>
      <c r="C30" s="12">
        <v>6.47</v>
      </c>
      <c r="D30" s="12">
        <v>0.41</v>
      </c>
      <c r="E30" s="12">
        <f t="shared" si="0"/>
        <v>6.88</v>
      </c>
      <c r="F30" s="12">
        <v>1.24</v>
      </c>
      <c r="G30" s="12">
        <f t="shared" si="1"/>
        <v>8.5312000000000001</v>
      </c>
      <c r="H30" s="12">
        <v>1.1214999999999999</v>
      </c>
      <c r="I30" s="12">
        <f t="shared" si="2"/>
        <v>9.5677407999999993</v>
      </c>
      <c r="J30" s="21">
        <v>0.43</v>
      </c>
      <c r="K30" s="12">
        <f t="shared" si="3"/>
        <v>9.997740799999999</v>
      </c>
    </row>
    <row r="31" spans="1:11" x14ac:dyDescent="0.2">
      <c r="A31" s="6" t="s">
        <v>478</v>
      </c>
      <c r="B31" s="6" t="s">
        <v>479</v>
      </c>
      <c r="C31" s="12">
        <v>5.87</v>
      </c>
      <c r="D31" s="12">
        <v>0.6</v>
      </c>
      <c r="E31" s="12">
        <f t="shared" si="0"/>
        <v>6.47</v>
      </c>
      <c r="F31" s="12">
        <v>1.24</v>
      </c>
      <c r="G31" s="12">
        <f t="shared" si="1"/>
        <v>8.0228000000000002</v>
      </c>
      <c r="H31" s="12">
        <v>1.1214999999999999</v>
      </c>
      <c r="I31" s="12">
        <f t="shared" si="2"/>
        <v>8.9975702000000002</v>
      </c>
      <c r="J31" s="21">
        <v>0.43</v>
      </c>
      <c r="K31" s="12">
        <f t="shared" si="3"/>
        <v>9.4275701999999999</v>
      </c>
    </row>
    <row r="32" spans="1:11" x14ac:dyDescent="0.2">
      <c r="A32" s="6" t="s">
        <v>480</v>
      </c>
      <c r="B32" s="6" t="s">
        <v>481</v>
      </c>
      <c r="C32" s="12">
        <v>10.52</v>
      </c>
      <c r="D32" s="12">
        <v>0.9</v>
      </c>
      <c r="E32" s="12">
        <f t="shared" si="0"/>
        <v>11.42</v>
      </c>
      <c r="F32" s="12">
        <v>1.24</v>
      </c>
      <c r="G32" s="12">
        <f t="shared" si="1"/>
        <v>14.1608</v>
      </c>
      <c r="H32" s="12">
        <v>1.1214999999999999</v>
      </c>
      <c r="I32" s="12">
        <f t="shared" si="2"/>
        <v>15.881337199999999</v>
      </c>
      <c r="J32" s="21">
        <v>1.42</v>
      </c>
      <c r="K32" s="12">
        <f t="shared" si="3"/>
        <v>17.301337199999999</v>
      </c>
    </row>
    <row r="33" spans="1:12" x14ac:dyDescent="0.2">
      <c r="A33" s="6" t="s">
        <v>482</v>
      </c>
      <c r="B33" s="6" t="s">
        <v>483</v>
      </c>
      <c r="C33" s="12">
        <v>10.84</v>
      </c>
      <c r="D33" s="12">
        <v>0.9</v>
      </c>
      <c r="E33" s="12">
        <f t="shared" si="0"/>
        <v>11.74</v>
      </c>
      <c r="F33" s="12">
        <v>1.24</v>
      </c>
      <c r="G33" s="12">
        <f t="shared" si="1"/>
        <v>14.557600000000001</v>
      </c>
      <c r="H33" s="12">
        <v>1.1214999999999999</v>
      </c>
      <c r="I33" s="12">
        <f t="shared" si="2"/>
        <v>16.326348400000001</v>
      </c>
      <c r="J33" s="12">
        <v>0.73999999999999899</v>
      </c>
      <c r="K33" s="12">
        <f t="shared" si="3"/>
        <v>17.066348399999999</v>
      </c>
    </row>
    <row r="34" spans="1:12" x14ac:dyDescent="0.2">
      <c r="A34" s="6" t="s">
        <v>484</v>
      </c>
      <c r="B34" s="6" t="s">
        <v>485</v>
      </c>
      <c r="C34" s="12">
        <v>8.19</v>
      </c>
      <c r="D34" s="12">
        <v>0.9</v>
      </c>
      <c r="E34" s="12">
        <f t="shared" si="0"/>
        <v>9.09</v>
      </c>
      <c r="F34" s="12">
        <v>1.24</v>
      </c>
      <c r="G34" s="12">
        <f t="shared" si="1"/>
        <v>11.271599999999999</v>
      </c>
      <c r="H34" s="12">
        <v>1.1214999999999999</v>
      </c>
      <c r="I34" s="12">
        <f t="shared" si="2"/>
        <v>12.641099399999998</v>
      </c>
      <c r="J34" s="12">
        <v>0.73999999999999899</v>
      </c>
      <c r="K34" s="12">
        <f t="shared" si="3"/>
        <v>13.381099399999997</v>
      </c>
    </row>
    <row r="35" spans="1:12" x14ac:dyDescent="0.2">
      <c r="A35" s="6" t="s">
        <v>486</v>
      </c>
      <c r="B35" s="6" t="s">
        <v>487</v>
      </c>
      <c r="C35" s="12">
        <v>4.8099999999999996</v>
      </c>
      <c r="D35" s="12">
        <v>0.6</v>
      </c>
      <c r="E35" s="12">
        <f t="shared" si="0"/>
        <v>5.4099999999999993</v>
      </c>
      <c r="F35" s="12">
        <v>1.24</v>
      </c>
      <c r="G35" s="12">
        <f t="shared" si="1"/>
        <v>6.7083999999999993</v>
      </c>
      <c r="H35" s="12">
        <v>1.1214999999999999</v>
      </c>
      <c r="I35" s="12">
        <f t="shared" si="2"/>
        <v>7.5234705999999987</v>
      </c>
      <c r="J35" s="12">
        <v>0.42</v>
      </c>
      <c r="K35" s="12">
        <f t="shared" si="3"/>
        <v>7.9434705999999986</v>
      </c>
    </row>
    <row r="36" spans="1:12" x14ac:dyDescent="0.2">
      <c r="A36" s="6" t="s">
        <v>488</v>
      </c>
      <c r="B36" s="6" t="s">
        <v>489</v>
      </c>
      <c r="C36" s="12">
        <v>8.06</v>
      </c>
      <c r="D36" s="12">
        <v>0.9</v>
      </c>
      <c r="E36" s="12">
        <f t="shared" si="0"/>
        <v>8.9600000000000009</v>
      </c>
      <c r="F36" s="12">
        <v>1.24</v>
      </c>
      <c r="G36" s="12">
        <f t="shared" si="1"/>
        <v>11.1104</v>
      </c>
      <c r="H36" s="12">
        <v>1.1214999999999999</v>
      </c>
      <c r="I36" s="12">
        <f t="shared" si="2"/>
        <v>12.460313599999999</v>
      </c>
      <c r="J36" s="12">
        <v>0.73999999999999899</v>
      </c>
      <c r="K36" s="12">
        <f t="shared" si="3"/>
        <v>13.200313599999998</v>
      </c>
    </row>
    <row r="37" spans="1:12" x14ac:dyDescent="0.2">
      <c r="A37" s="6" t="s">
        <v>490</v>
      </c>
      <c r="B37" s="6">
        <v>8033120250583</v>
      </c>
      <c r="C37" s="12">
        <v>12.49</v>
      </c>
      <c r="D37" s="12">
        <v>0.9</v>
      </c>
      <c r="E37" s="12">
        <f t="shared" si="0"/>
        <v>13.39</v>
      </c>
      <c r="F37" s="12">
        <v>1.24</v>
      </c>
      <c r="G37" s="12">
        <f t="shared" si="1"/>
        <v>16.6036</v>
      </c>
      <c r="H37" s="12">
        <v>1.1214999999999999</v>
      </c>
      <c r="I37" s="12">
        <f t="shared" si="2"/>
        <v>18.620937399999999</v>
      </c>
      <c r="J37" s="12">
        <v>0.73999999999999899</v>
      </c>
      <c r="K37" s="12">
        <f t="shared" si="3"/>
        <v>19.360937399999997</v>
      </c>
    </row>
    <row r="38" spans="1:12" x14ac:dyDescent="0.2">
      <c r="A38" s="6" t="s">
        <v>491</v>
      </c>
      <c r="B38" s="22">
        <v>8033120250231</v>
      </c>
      <c r="C38" s="23">
        <v>7.29</v>
      </c>
      <c r="D38" s="12">
        <v>0.3</v>
      </c>
      <c r="E38" s="12">
        <f t="shared" si="0"/>
        <v>7.59</v>
      </c>
      <c r="F38" s="12">
        <v>1.24</v>
      </c>
      <c r="G38" s="12">
        <f t="shared" si="1"/>
        <v>9.4116</v>
      </c>
      <c r="H38" s="12">
        <v>1.1214999999999999</v>
      </c>
      <c r="I38" s="12">
        <f t="shared" si="2"/>
        <v>10.555109399999999</v>
      </c>
      <c r="J38" s="12">
        <v>0.43</v>
      </c>
      <c r="K38" s="12">
        <f t="shared" si="3"/>
        <v>10.985109399999999</v>
      </c>
    </row>
    <row r="39" spans="1:12" x14ac:dyDescent="0.2">
      <c r="A39" s="6" t="s">
        <v>492</v>
      </c>
      <c r="B39" s="6">
        <v>5200119880486</v>
      </c>
      <c r="C39" s="12">
        <v>14.09</v>
      </c>
      <c r="D39" s="12">
        <v>0.9</v>
      </c>
      <c r="E39" s="12">
        <f t="shared" si="0"/>
        <v>14.99</v>
      </c>
      <c r="F39" s="12">
        <v>1.24</v>
      </c>
      <c r="G39" s="12">
        <f t="shared" si="1"/>
        <v>18.587600000000002</v>
      </c>
      <c r="H39" s="12">
        <v>1.1214999999999999</v>
      </c>
      <c r="I39" s="12">
        <f t="shared" si="2"/>
        <v>20.845993400000001</v>
      </c>
      <c r="J39" s="12">
        <v>1.42</v>
      </c>
      <c r="K39" s="12">
        <f t="shared" si="3"/>
        <v>22.265993399999999</v>
      </c>
    </row>
    <row r="40" spans="1:12" x14ac:dyDescent="0.2">
      <c r="A40" s="12" t="s">
        <v>493</v>
      </c>
      <c r="B40" s="12">
        <v>5200119882084</v>
      </c>
      <c r="C40" s="12">
        <v>8.94</v>
      </c>
      <c r="D40" s="12">
        <v>0.9</v>
      </c>
      <c r="E40" s="12">
        <f t="shared" si="0"/>
        <v>9.84</v>
      </c>
      <c r="F40" s="12">
        <v>1.24</v>
      </c>
      <c r="G40" s="12">
        <f t="shared" si="1"/>
        <v>12.201599999999999</v>
      </c>
      <c r="H40" s="12">
        <v>1.1214999999999999</v>
      </c>
      <c r="I40" s="12">
        <f t="shared" si="2"/>
        <v>13.684094399999998</v>
      </c>
      <c r="J40" s="12">
        <v>1.42</v>
      </c>
      <c r="K40" s="12">
        <f t="shared" si="3"/>
        <v>15.104094399999997</v>
      </c>
      <c r="L40" s="12">
        <v>15.41</v>
      </c>
    </row>
    <row r="41" spans="1:12" x14ac:dyDescent="0.2">
      <c r="A41" s="23" t="s">
        <v>494</v>
      </c>
      <c r="B41" s="23">
        <v>5200119884156</v>
      </c>
      <c r="C41" s="12">
        <v>0</v>
      </c>
      <c r="D41" s="12">
        <v>0.9</v>
      </c>
      <c r="E41" s="12">
        <f t="shared" si="0"/>
        <v>0.9</v>
      </c>
      <c r="F41" s="12">
        <v>1.24</v>
      </c>
      <c r="G41" s="12">
        <f t="shared" si="1"/>
        <v>1.1160000000000001</v>
      </c>
      <c r="H41" s="12">
        <v>1.1214999999999999</v>
      </c>
      <c r="I41" s="12">
        <f t="shared" si="2"/>
        <v>1.2515940000000001</v>
      </c>
      <c r="J41" s="12">
        <v>0.73999999999999899</v>
      </c>
      <c r="K41" s="12">
        <f t="shared" si="3"/>
        <v>1.9915939999999992</v>
      </c>
    </row>
    <row r="42" spans="1:12" x14ac:dyDescent="0.2">
      <c r="A42" s="12" t="s">
        <v>495</v>
      </c>
      <c r="B42" s="12">
        <v>5200119880714</v>
      </c>
      <c r="C42" s="12">
        <v>2</v>
      </c>
      <c r="D42" s="12">
        <v>0.9</v>
      </c>
      <c r="E42" s="12">
        <f t="shared" si="0"/>
        <v>2.9</v>
      </c>
      <c r="F42" s="12">
        <v>1.24</v>
      </c>
      <c r="G42" s="12">
        <f t="shared" si="1"/>
        <v>3.5960000000000001</v>
      </c>
      <c r="H42" s="12">
        <v>1.1214999999999999</v>
      </c>
      <c r="I42" s="12">
        <f t="shared" si="2"/>
        <v>4.0329139999999999</v>
      </c>
      <c r="J42" s="12">
        <v>0.25</v>
      </c>
      <c r="K42" s="12">
        <f t="shared" si="3"/>
        <v>4.2829139999999999</v>
      </c>
      <c r="L42" s="12">
        <v>4.49</v>
      </c>
    </row>
    <row r="43" spans="1:12" x14ac:dyDescent="0.2">
      <c r="C43" s="12">
        <v>0</v>
      </c>
      <c r="D43" s="12">
        <v>0.9</v>
      </c>
      <c r="E43" s="12">
        <f t="shared" si="0"/>
        <v>0.9</v>
      </c>
      <c r="F43" s="12">
        <v>1.24</v>
      </c>
      <c r="G43" s="12">
        <f t="shared" si="1"/>
        <v>1.1160000000000001</v>
      </c>
      <c r="H43" s="12">
        <v>1.1214999999999999</v>
      </c>
      <c r="I43" s="12">
        <f t="shared" si="2"/>
        <v>1.2515940000000001</v>
      </c>
      <c r="J43" s="12">
        <v>0.73999999999999899</v>
      </c>
      <c r="K43" s="12">
        <f t="shared" si="3"/>
        <v>1.9915939999999992</v>
      </c>
    </row>
    <row r="44" spans="1:12" x14ac:dyDescent="0.2">
      <c r="C44" s="12">
        <v>0</v>
      </c>
      <c r="D44" s="12">
        <v>0.9</v>
      </c>
      <c r="E44" s="12">
        <f t="shared" si="0"/>
        <v>0.9</v>
      </c>
      <c r="F44" s="12">
        <v>1.24</v>
      </c>
      <c r="G44" s="12">
        <f t="shared" si="1"/>
        <v>1.1160000000000001</v>
      </c>
      <c r="H44" s="12">
        <v>1.1214999999999999</v>
      </c>
      <c r="I44" s="12">
        <f t="shared" si="2"/>
        <v>1.2515940000000001</v>
      </c>
      <c r="J44" s="12">
        <v>0.73999999999999899</v>
      </c>
      <c r="K44" s="12">
        <f t="shared" si="3"/>
        <v>1.9915939999999992</v>
      </c>
    </row>
    <row r="45" spans="1:12" x14ac:dyDescent="0.2">
      <c r="C45" s="12">
        <v>0</v>
      </c>
      <c r="D45" s="12">
        <v>0.9</v>
      </c>
      <c r="E45" s="12">
        <f t="shared" si="0"/>
        <v>0.9</v>
      </c>
      <c r="F45" s="12">
        <v>1.24</v>
      </c>
      <c r="G45" s="12">
        <f t="shared" si="1"/>
        <v>1.1160000000000001</v>
      </c>
      <c r="H45" s="12">
        <v>1.1214999999999999</v>
      </c>
      <c r="I45" s="12">
        <f t="shared" si="2"/>
        <v>1.2515940000000001</v>
      </c>
      <c r="J45" s="12">
        <v>0.73999999999999899</v>
      </c>
      <c r="K45" s="12">
        <f t="shared" si="3"/>
        <v>1.9915939999999992</v>
      </c>
    </row>
    <row r="46" spans="1:12" x14ac:dyDescent="0.2">
      <c r="C46" s="12">
        <v>0</v>
      </c>
      <c r="D46" s="12">
        <v>0.9</v>
      </c>
      <c r="E46" s="12">
        <f t="shared" si="0"/>
        <v>0.9</v>
      </c>
      <c r="F46" s="12">
        <v>1.24</v>
      </c>
      <c r="G46" s="12">
        <f t="shared" si="1"/>
        <v>1.1160000000000001</v>
      </c>
      <c r="H46" s="12">
        <v>1.1214999999999999</v>
      </c>
      <c r="I46" s="12">
        <f t="shared" si="2"/>
        <v>1.2515940000000001</v>
      </c>
      <c r="J46" s="12">
        <v>0.73999999999999899</v>
      </c>
      <c r="K46" s="12">
        <f t="shared" si="3"/>
        <v>1.9915939999999992</v>
      </c>
    </row>
    <row r="47" spans="1:12" x14ac:dyDescent="0.2">
      <c r="C47" s="12">
        <v>12.33</v>
      </c>
      <c r="D47" s="12">
        <v>0.9</v>
      </c>
      <c r="E47" s="12">
        <f t="shared" si="0"/>
        <v>13.23</v>
      </c>
      <c r="F47" s="12">
        <v>1.24</v>
      </c>
      <c r="G47" s="12">
        <f t="shared" si="1"/>
        <v>16.405200000000001</v>
      </c>
      <c r="H47" s="12">
        <v>1.1214999999999999</v>
      </c>
      <c r="I47" s="12">
        <f t="shared" si="2"/>
        <v>18.398431800000001</v>
      </c>
      <c r="J47" s="12">
        <v>0.73999999999999899</v>
      </c>
      <c r="K47" s="12">
        <f t="shared" si="3"/>
        <v>19.138431799999999</v>
      </c>
    </row>
    <row r="48" spans="1:12" x14ac:dyDescent="0.2">
      <c r="C48" s="12">
        <v>0</v>
      </c>
      <c r="D48" s="12">
        <v>0.9</v>
      </c>
      <c r="E48" s="12">
        <f t="shared" si="0"/>
        <v>0.9</v>
      </c>
      <c r="F48" s="12">
        <v>1.24</v>
      </c>
      <c r="G48" s="12">
        <f t="shared" si="1"/>
        <v>1.1160000000000001</v>
      </c>
      <c r="H48" s="12">
        <v>1.1214999999999999</v>
      </c>
      <c r="I48" s="12">
        <f t="shared" si="2"/>
        <v>1.2515940000000001</v>
      </c>
      <c r="J48" s="12">
        <v>0.73999999999999899</v>
      </c>
      <c r="K48" s="12">
        <f t="shared" si="3"/>
        <v>1.9915939999999992</v>
      </c>
    </row>
    <row r="49" spans="3:11" x14ac:dyDescent="0.2">
      <c r="C49" s="12">
        <v>0</v>
      </c>
      <c r="D49" s="12">
        <v>0.9</v>
      </c>
      <c r="E49" s="12">
        <f t="shared" si="0"/>
        <v>0.9</v>
      </c>
      <c r="F49" s="12">
        <v>1.24</v>
      </c>
      <c r="G49" s="12">
        <f t="shared" si="1"/>
        <v>1.1160000000000001</v>
      </c>
      <c r="H49" s="12">
        <v>1.1214999999999999</v>
      </c>
      <c r="I49" s="12">
        <f t="shared" si="2"/>
        <v>1.2515940000000001</v>
      </c>
      <c r="J49" s="12">
        <v>0.73999999999999899</v>
      </c>
      <c r="K49" s="12">
        <f t="shared" si="3"/>
        <v>1.9915939999999992</v>
      </c>
    </row>
    <row r="50" spans="3:11" x14ac:dyDescent="0.2">
      <c r="C50" s="12">
        <v>0</v>
      </c>
      <c r="D50" s="12">
        <v>0.9</v>
      </c>
      <c r="E50" s="12">
        <f t="shared" si="0"/>
        <v>0.9</v>
      </c>
      <c r="F50" s="12">
        <v>1.24</v>
      </c>
      <c r="G50" s="12">
        <f t="shared" si="1"/>
        <v>1.1160000000000001</v>
      </c>
      <c r="H50" s="12">
        <v>1.1214999999999999</v>
      </c>
      <c r="I50" s="12">
        <f t="shared" si="2"/>
        <v>1.2515940000000001</v>
      </c>
      <c r="J50" s="12">
        <v>0.73999999999999899</v>
      </c>
      <c r="K50" s="12">
        <f t="shared" si="3"/>
        <v>1.9915939999999992</v>
      </c>
    </row>
    <row r="51" spans="3:11" x14ac:dyDescent="0.2">
      <c r="C51" s="12">
        <v>0</v>
      </c>
      <c r="D51" s="12">
        <v>0.9</v>
      </c>
      <c r="E51" s="12">
        <f t="shared" si="0"/>
        <v>0.9</v>
      </c>
      <c r="F51" s="12">
        <v>1.24</v>
      </c>
      <c r="G51" s="12">
        <f t="shared" si="1"/>
        <v>1.1160000000000001</v>
      </c>
      <c r="H51" s="12">
        <v>1.1214999999999999</v>
      </c>
      <c r="I51" s="12">
        <f t="shared" si="2"/>
        <v>1.2515940000000001</v>
      </c>
      <c r="J51" s="12">
        <v>0.73999999999999899</v>
      </c>
      <c r="K51" s="12">
        <f t="shared" si="3"/>
        <v>1.9915939999999992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62"/>
  <sheetViews>
    <sheetView workbookViewId="0"/>
  </sheetViews>
  <sheetFormatPr defaultColWidth="12.5703125" defaultRowHeight="15.75" customHeight="1" x14ac:dyDescent="0.2"/>
  <cols>
    <col min="1" max="1" width="29.42578125" customWidth="1"/>
  </cols>
  <sheetData>
    <row r="1" spans="1:12" ht="17.25" customHeight="1" x14ac:dyDescent="0.2">
      <c r="A1" s="12"/>
      <c r="B1" s="25"/>
      <c r="C1" s="12" t="s">
        <v>496</v>
      </c>
      <c r="D1" s="12"/>
      <c r="E1" s="12" t="s">
        <v>497</v>
      </c>
      <c r="F1" s="12" t="s">
        <v>498</v>
      </c>
      <c r="G1" s="12" t="s">
        <v>497</v>
      </c>
      <c r="H1" s="12" t="s">
        <v>499</v>
      </c>
      <c r="I1" s="12" t="s">
        <v>497</v>
      </c>
      <c r="J1" s="12" t="s">
        <v>500</v>
      </c>
      <c r="K1" s="12" t="s">
        <v>497</v>
      </c>
    </row>
    <row r="2" spans="1:12" ht="12.75" x14ac:dyDescent="0.2">
      <c r="A2" s="12"/>
      <c r="B2" s="25"/>
    </row>
    <row r="3" spans="1:12" ht="12.75" x14ac:dyDescent="0.2">
      <c r="A3" s="12" t="s">
        <v>501</v>
      </c>
      <c r="B3" s="25">
        <v>5207201001095</v>
      </c>
      <c r="C3" s="12">
        <v>5.2</v>
      </c>
      <c r="D3" s="12">
        <v>0.9</v>
      </c>
      <c r="E3" s="12">
        <f t="shared" ref="E3:E7" si="0">SUM(C3)+D3</f>
        <v>6.1000000000000005</v>
      </c>
      <c r="F3" s="12">
        <v>1.24</v>
      </c>
      <c r="G3" s="12">
        <f t="shared" ref="G3:G7" si="1">SUM(E3)*F3</f>
        <v>7.5640000000000009</v>
      </c>
      <c r="H3" s="12">
        <v>1.1214999999999999</v>
      </c>
      <c r="I3" s="12">
        <f t="shared" ref="I3:I7" si="2">SUM(G3)*H3</f>
        <v>8.4830260000000006</v>
      </c>
      <c r="J3" s="12">
        <v>0.73999999999999899</v>
      </c>
      <c r="K3" s="12">
        <f t="shared" ref="K3:K7" si="3">SUM(I3)+J3</f>
        <v>9.2230259999999991</v>
      </c>
      <c r="L3" s="12">
        <v>12.9</v>
      </c>
    </row>
    <row r="4" spans="1:12" ht="12.75" x14ac:dyDescent="0.2">
      <c r="A4" s="12" t="s">
        <v>502</v>
      </c>
      <c r="B4" s="25">
        <v>5207201000678</v>
      </c>
      <c r="C4" s="12">
        <v>9.43</v>
      </c>
      <c r="D4" s="12">
        <v>0.9</v>
      </c>
      <c r="E4" s="12">
        <f t="shared" si="0"/>
        <v>10.33</v>
      </c>
      <c r="F4" s="12">
        <v>1.24</v>
      </c>
      <c r="G4" s="12">
        <f t="shared" si="1"/>
        <v>12.809200000000001</v>
      </c>
      <c r="H4" s="12">
        <v>1.1214999999999999</v>
      </c>
      <c r="I4" s="12">
        <f t="shared" si="2"/>
        <v>14.365517799999999</v>
      </c>
      <c r="J4" s="12">
        <v>0.73999999999999899</v>
      </c>
      <c r="K4" s="12">
        <f t="shared" si="3"/>
        <v>15.105517799999998</v>
      </c>
      <c r="L4" s="12">
        <v>17.5</v>
      </c>
    </row>
    <row r="5" spans="1:12" ht="12.75" x14ac:dyDescent="0.2">
      <c r="A5" s="12" t="s">
        <v>503</v>
      </c>
      <c r="B5" s="25">
        <v>5207201000630</v>
      </c>
      <c r="C5" s="12">
        <v>8.57</v>
      </c>
      <c r="D5" s="12">
        <v>0.9</v>
      </c>
      <c r="E5" s="12">
        <f t="shared" si="0"/>
        <v>9.4700000000000006</v>
      </c>
      <c r="F5" s="12">
        <v>1.24</v>
      </c>
      <c r="G5" s="12">
        <f t="shared" si="1"/>
        <v>11.742800000000001</v>
      </c>
      <c r="H5" s="12">
        <v>1.1214999999999999</v>
      </c>
      <c r="I5" s="12">
        <f t="shared" si="2"/>
        <v>13.1695502</v>
      </c>
      <c r="J5" s="12">
        <v>0.73999999999999899</v>
      </c>
      <c r="K5" s="12">
        <f t="shared" si="3"/>
        <v>13.909550199999998</v>
      </c>
      <c r="L5" s="12">
        <v>21.9</v>
      </c>
    </row>
    <row r="6" spans="1:12" ht="12.75" x14ac:dyDescent="0.2">
      <c r="A6" s="6" t="s">
        <v>504</v>
      </c>
      <c r="B6" s="25">
        <v>5207201000081</v>
      </c>
      <c r="C6" s="12">
        <v>6</v>
      </c>
      <c r="D6" s="12">
        <v>0.9</v>
      </c>
      <c r="E6" s="12">
        <f t="shared" si="0"/>
        <v>6.9</v>
      </c>
      <c r="F6" s="12">
        <v>1.24</v>
      </c>
      <c r="G6" s="12">
        <f t="shared" si="1"/>
        <v>8.5560000000000009</v>
      </c>
      <c r="H6" s="12">
        <v>1.1214999999999999</v>
      </c>
      <c r="I6" s="12">
        <f t="shared" si="2"/>
        <v>9.5955539999999999</v>
      </c>
      <c r="J6" s="12">
        <v>1.49</v>
      </c>
      <c r="K6" s="12">
        <f t="shared" si="3"/>
        <v>11.085554</v>
      </c>
      <c r="L6" s="12">
        <v>14.9</v>
      </c>
    </row>
    <row r="7" spans="1:12" ht="12.75" x14ac:dyDescent="0.2">
      <c r="A7" s="6" t="s">
        <v>505</v>
      </c>
      <c r="B7" s="25">
        <v>5207201000005</v>
      </c>
      <c r="C7" s="12">
        <v>6</v>
      </c>
      <c r="D7" s="12">
        <v>0.9</v>
      </c>
      <c r="E7" s="12">
        <f t="shared" si="0"/>
        <v>6.9</v>
      </c>
      <c r="F7" s="12">
        <v>1.24</v>
      </c>
      <c r="G7" s="12">
        <f t="shared" si="1"/>
        <v>8.5560000000000009</v>
      </c>
      <c r="H7" s="12">
        <v>1.1214999999999999</v>
      </c>
      <c r="I7" s="12">
        <f t="shared" si="2"/>
        <v>9.5955539999999999</v>
      </c>
      <c r="J7" s="12">
        <v>0.74</v>
      </c>
      <c r="K7" s="12">
        <f t="shared" si="3"/>
        <v>10.335554</v>
      </c>
      <c r="L7" s="12">
        <v>14.9</v>
      </c>
    </row>
    <row r="8" spans="1:12" ht="12.75" x14ac:dyDescent="0.2">
      <c r="A8" s="12" t="s">
        <v>506</v>
      </c>
      <c r="B8" s="12">
        <v>5207201000012</v>
      </c>
      <c r="C8" s="12">
        <v>7.2</v>
      </c>
      <c r="D8" s="12">
        <v>0.9</v>
      </c>
      <c r="E8" s="12">
        <v>8.1</v>
      </c>
      <c r="F8" s="12">
        <v>1.24</v>
      </c>
      <c r="G8" s="12">
        <v>10.043999999999999</v>
      </c>
      <c r="H8" s="12">
        <v>1.1214999999999999</v>
      </c>
      <c r="I8" s="12">
        <v>11.264345999999998</v>
      </c>
      <c r="J8" s="12">
        <v>0.74</v>
      </c>
      <c r="K8" s="12">
        <v>12.754345999999998</v>
      </c>
      <c r="L8" s="12">
        <v>17.899999999999999</v>
      </c>
    </row>
    <row r="9" spans="1:12" ht="12.75" x14ac:dyDescent="0.2">
      <c r="A9" s="12" t="s">
        <v>507</v>
      </c>
      <c r="B9" s="25">
        <v>5207201000654</v>
      </c>
      <c r="C9" s="12">
        <v>8.8000000000000007</v>
      </c>
      <c r="D9" s="12">
        <v>0.9</v>
      </c>
      <c r="E9" s="12">
        <f t="shared" ref="E9:E17" si="4">SUM(C9)+D9</f>
        <v>9.7000000000000011</v>
      </c>
      <c r="F9" s="12">
        <v>1.24</v>
      </c>
      <c r="G9" s="12">
        <f t="shared" ref="G9:G17" si="5">SUM(E9)*F9</f>
        <v>12.028</v>
      </c>
      <c r="H9" s="12">
        <v>1.1214999999999999</v>
      </c>
      <c r="I9" s="12">
        <f t="shared" ref="I9:I17" si="6">SUM(G9)*H9</f>
        <v>13.489402</v>
      </c>
      <c r="J9" s="12">
        <v>0.73999999999999899</v>
      </c>
      <c r="K9" s="12">
        <f t="shared" ref="K9:K17" si="7">SUM(I9)+J9</f>
        <v>14.229401999999999</v>
      </c>
      <c r="L9" s="12">
        <v>21.9</v>
      </c>
    </row>
    <row r="10" spans="1:12" ht="12.75" x14ac:dyDescent="0.2">
      <c r="A10" s="12" t="s">
        <v>508</v>
      </c>
      <c r="B10" s="25">
        <v>5207201000647</v>
      </c>
      <c r="C10" s="12">
        <v>8.8000000000000007</v>
      </c>
      <c r="D10" s="12">
        <v>0.9</v>
      </c>
      <c r="E10" s="12">
        <f t="shared" si="4"/>
        <v>9.7000000000000011</v>
      </c>
      <c r="F10" s="12">
        <v>1.24</v>
      </c>
      <c r="G10" s="12">
        <f t="shared" si="5"/>
        <v>12.028</v>
      </c>
      <c r="H10" s="12">
        <v>1.1214999999999999</v>
      </c>
      <c r="I10" s="12">
        <f t="shared" si="6"/>
        <v>13.489402</v>
      </c>
      <c r="J10" s="12">
        <v>0.73999999999999899</v>
      </c>
      <c r="K10" s="12">
        <f t="shared" si="7"/>
        <v>14.229401999999999</v>
      </c>
      <c r="L10" s="12">
        <v>21.9</v>
      </c>
    </row>
    <row r="11" spans="1:12" ht="12.75" x14ac:dyDescent="0.2">
      <c r="A11" s="12" t="s">
        <v>509</v>
      </c>
      <c r="B11" s="25">
        <v>5207201001101</v>
      </c>
      <c r="C11" s="12">
        <v>12.94</v>
      </c>
      <c r="D11" s="12">
        <v>0.9</v>
      </c>
      <c r="E11" s="12">
        <f t="shared" si="4"/>
        <v>13.84</v>
      </c>
      <c r="F11" s="12">
        <v>1.24</v>
      </c>
      <c r="G11" s="12">
        <f t="shared" si="5"/>
        <v>17.1616</v>
      </c>
      <c r="H11" s="12">
        <v>1.1214999999999999</v>
      </c>
      <c r="I11" s="12">
        <f t="shared" si="6"/>
        <v>19.246734399999998</v>
      </c>
      <c r="J11" s="12">
        <v>0.73999999999999899</v>
      </c>
      <c r="K11" s="12">
        <f t="shared" si="7"/>
        <v>19.986734399999996</v>
      </c>
      <c r="L11" s="12">
        <v>29.9</v>
      </c>
    </row>
    <row r="12" spans="1:12" ht="12.75" x14ac:dyDescent="0.2">
      <c r="A12" s="12" t="s">
        <v>510</v>
      </c>
      <c r="B12" s="25">
        <v>5207201001071</v>
      </c>
      <c r="C12" s="12">
        <v>3.94</v>
      </c>
      <c r="D12" s="12">
        <v>0.9</v>
      </c>
      <c r="E12" s="12">
        <f t="shared" si="4"/>
        <v>4.84</v>
      </c>
      <c r="F12" s="12">
        <v>1.24</v>
      </c>
      <c r="G12" s="12">
        <f t="shared" si="5"/>
        <v>6.0015999999999998</v>
      </c>
      <c r="H12" s="12">
        <v>1.1214999999999999</v>
      </c>
      <c r="I12" s="12">
        <f t="shared" si="6"/>
        <v>6.7307943999999997</v>
      </c>
      <c r="J12" s="12">
        <v>0.73999999999999899</v>
      </c>
      <c r="K12" s="12">
        <f t="shared" si="7"/>
        <v>7.4707943999999991</v>
      </c>
      <c r="L12" s="12">
        <v>12.9</v>
      </c>
    </row>
    <row r="13" spans="1:12" ht="12.75" x14ac:dyDescent="0.2">
      <c r="A13" s="12" t="s">
        <v>511</v>
      </c>
      <c r="B13" s="25">
        <v>5207201000036</v>
      </c>
      <c r="C13" s="12">
        <v>6</v>
      </c>
      <c r="D13" s="12">
        <v>0.9</v>
      </c>
      <c r="E13" s="12">
        <f t="shared" si="4"/>
        <v>6.9</v>
      </c>
      <c r="F13" s="12">
        <v>1.24</v>
      </c>
      <c r="G13" s="12">
        <f t="shared" si="5"/>
        <v>8.5560000000000009</v>
      </c>
      <c r="H13" s="12">
        <v>1.1214999999999999</v>
      </c>
      <c r="I13" s="12">
        <f t="shared" si="6"/>
        <v>9.5955539999999999</v>
      </c>
      <c r="J13" s="12">
        <v>0.73999999999999899</v>
      </c>
      <c r="K13" s="12">
        <f t="shared" si="7"/>
        <v>10.335553999999998</v>
      </c>
      <c r="L13" s="12">
        <v>14.9</v>
      </c>
    </row>
    <row r="14" spans="1:12" ht="12.75" x14ac:dyDescent="0.2">
      <c r="A14" s="12" t="s">
        <v>512</v>
      </c>
      <c r="B14" s="25">
        <v>5207201001040</v>
      </c>
      <c r="C14" s="12">
        <v>6.06</v>
      </c>
      <c r="D14" s="12">
        <v>0.9</v>
      </c>
      <c r="E14" s="12">
        <f t="shared" si="4"/>
        <v>6.96</v>
      </c>
      <c r="F14" s="12">
        <v>1.24</v>
      </c>
      <c r="G14" s="12">
        <f t="shared" si="5"/>
        <v>8.6303999999999998</v>
      </c>
      <c r="H14" s="12">
        <v>1.1214999999999999</v>
      </c>
      <c r="I14" s="12">
        <f t="shared" si="6"/>
        <v>9.6789936000000001</v>
      </c>
      <c r="J14" s="12">
        <v>0.73999999999999899</v>
      </c>
      <c r="K14" s="12">
        <f t="shared" si="7"/>
        <v>10.418993599999999</v>
      </c>
      <c r="L14" s="12">
        <v>19.899999999999999</v>
      </c>
    </row>
    <row r="15" spans="1:12" ht="12.75" x14ac:dyDescent="0.2">
      <c r="A15" s="12" t="s">
        <v>513</v>
      </c>
      <c r="B15" s="25">
        <v>5207201001347</v>
      </c>
      <c r="C15" s="12">
        <v>4.38</v>
      </c>
      <c r="D15" s="12">
        <v>0.9</v>
      </c>
      <c r="E15" s="12">
        <f t="shared" si="4"/>
        <v>5.28</v>
      </c>
      <c r="F15" s="12">
        <v>1.24</v>
      </c>
      <c r="G15" s="12">
        <f t="shared" si="5"/>
        <v>6.5472000000000001</v>
      </c>
      <c r="H15" s="12">
        <v>1.1214999999999999</v>
      </c>
      <c r="I15" s="12">
        <f t="shared" si="6"/>
        <v>7.3426847999999998</v>
      </c>
      <c r="J15" s="12">
        <v>0.74</v>
      </c>
      <c r="K15" s="12">
        <f t="shared" si="7"/>
        <v>8.0826847999999991</v>
      </c>
      <c r="L15" s="12">
        <v>10.9</v>
      </c>
    </row>
    <row r="16" spans="1:12" ht="12.75" x14ac:dyDescent="0.2">
      <c r="A16" s="12" t="s">
        <v>514</v>
      </c>
      <c r="B16" s="25">
        <v>5207201001354</v>
      </c>
      <c r="C16" s="12">
        <v>4.6900000000000004</v>
      </c>
      <c r="D16" s="12">
        <v>0.9</v>
      </c>
      <c r="E16" s="12">
        <f t="shared" si="4"/>
        <v>5.5900000000000007</v>
      </c>
      <c r="F16" s="12">
        <v>1.24</v>
      </c>
      <c r="G16" s="12">
        <f t="shared" si="5"/>
        <v>6.9316000000000013</v>
      </c>
      <c r="H16" s="12">
        <v>1.1214999999999999</v>
      </c>
      <c r="I16" s="12">
        <f t="shared" si="6"/>
        <v>7.773789400000001</v>
      </c>
      <c r="J16" s="12">
        <v>0.73999999999999899</v>
      </c>
      <c r="K16" s="12">
        <f t="shared" si="7"/>
        <v>8.5137894000000003</v>
      </c>
      <c r="L16" s="12">
        <v>10.9</v>
      </c>
    </row>
    <row r="17" spans="1:12" ht="12.75" x14ac:dyDescent="0.2">
      <c r="A17" s="12" t="s">
        <v>515</v>
      </c>
      <c r="B17" s="25">
        <v>5207201001323</v>
      </c>
      <c r="C17" s="12">
        <v>4.2699999999999996</v>
      </c>
      <c r="D17" s="12">
        <v>0.9</v>
      </c>
      <c r="E17" s="12">
        <f t="shared" si="4"/>
        <v>5.17</v>
      </c>
      <c r="F17" s="12">
        <v>1.24</v>
      </c>
      <c r="G17" s="12">
        <f t="shared" si="5"/>
        <v>6.4108000000000001</v>
      </c>
      <c r="H17" s="12">
        <v>1.1214999999999999</v>
      </c>
      <c r="I17" s="12">
        <f t="shared" si="6"/>
        <v>7.1897121999999998</v>
      </c>
      <c r="J17" s="12">
        <v>0.73999999999999899</v>
      </c>
      <c r="K17" s="12">
        <f t="shared" si="7"/>
        <v>7.9297121999999991</v>
      </c>
      <c r="L17" s="12">
        <v>9.9</v>
      </c>
    </row>
    <row r="18" spans="1:12" ht="12.75" x14ac:dyDescent="0.2">
      <c r="A18" s="12" t="s">
        <v>516</v>
      </c>
      <c r="B18" s="12">
        <v>52072001000043</v>
      </c>
      <c r="C18" s="12">
        <v>6</v>
      </c>
      <c r="D18" s="12">
        <v>0.9</v>
      </c>
      <c r="E18" s="12">
        <v>6.9</v>
      </c>
      <c r="F18" s="12">
        <v>1.24</v>
      </c>
      <c r="G18" s="12">
        <v>8.5560000000000009</v>
      </c>
      <c r="H18" s="12">
        <v>1.1214999999999999</v>
      </c>
      <c r="I18" s="12">
        <v>9.5955539999999999</v>
      </c>
      <c r="J18" s="12">
        <v>1.49</v>
      </c>
      <c r="K18" s="12">
        <v>11.085554</v>
      </c>
      <c r="L18" s="12">
        <v>14.9</v>
      </c>
    </row>
    <row r="19" spans="1:12" ht="12.75" x14ac:dyDescent="0.2">
      <c r="A19" s="12" t="s">
        <v>517</v>
      </c>
      <c r="B19" s="12">
        <v>5207201000029</v>
      </c>
      <c r="C19" s="12">
        <v>6</v>
      </c>
      <c r="D19" s="12">
        <v>0.9</v>
      </c>
      <c r="E19" s="12">
        <f t="shared" ref="E19:E62" si="8">SUM(C19)+D19</f>
        <v>6.9</v>
      </c>
      <c r="F19" s="12">
        <v>1.24</v>
      </c>
      <c r="G19" s="12">
        <f t="shared" ref="G19:G62" si="9">SUM(E19)*F19</f>
        <v>8.5560000000000009</v>
      </c>
      <c r="H19" s="12">
        <v>1.1214999999999999</v>
      </c>
      <c r="I19" s="12">
        <f t="shared" ref="I19:I62" si="10">SUM(G19)*H19</f>
        <v>9.5955539999999999</v>
      </c>
      <c r="J19" s="12">
        <v>0.73999999999999899</v>
      </c>
      <c r="K19" s="12">
        <f t="shared" ref="K19:K62" si="11">SUM(I19)+J19</f>
        <v>10.335553999999998</v>
      </c>
      <c r="L19" s="12">
        <v>14.9</v>
      </c>
    </row>
    <row r="20" spans="1:12" ht="12.75" x14ac:dyDescent="0.2">
      <c r="A20" s="12" t="s">
        <v>518</v>
      </c>
      <c r="B20" s="12">
        <v>5207201000661</v>
      </c>
      <c r="C20" s="12">
        <v>8</v>
      </c>
      <c r="D20" s="12">
        <v>0.9</v>
      </c>
      <c r="E20" s="12">
        <f t="shared" si="8"/>
        <v>8.9</v>
      </c>
      <c r="F20" s="12">
        <v>1.24</v>
      </c>
      <c r="G20" s="12">
        <f t="shared" si="9"/>
        <v>11.036</v>
      </c>
      <c r="H20" s="12">
        <v>1.1214999999999999</v>
      </c>
      <c r="I20" s="12">
        <f t="shared" si="10"/>
        <v>12.376873999999999</v>
      </c>
      <c r="J20" s="12">
        <v>0.73999999999999899</v>
      </c>
      <c r="K20" s="12">
        <f t="shared" si="11"/>
        <v>13.116873999999997</v>
      </c>
      <c r="L20" s="12">
        <v>14.9</v>
      </c>
    </row>
    <row r="21" spans="1:12" ht="12.75" x14ac:dyDescent="0.2">
      <c r="A21" s="12" t="s">
        <v>519</v>
      </c>
      <c r="B21" s="12">
        <v>5207201000289</v>
      </c>
      <c r="C21" s="12">
        <v>6.57</v>
      </c>
      <c r="D21" s="12">
        <v>0.9</v>
      </c>
      <c r="E21" s="12">
        <f t="shared" si="8"/>
        <v>7.4700000000000006</v>
      </c>
      <c r="F21" s="12">
        <v>1.24</v>
      </c>
      <c r="G21" s="12">
        <f t="shared" si="9"/>
        <v>9.2628000000000004</v>
      </c>
      <c r="H21" s="12">
        <v>1.1214999999999999</v>
      </c>
      <c r="I21" s="12">
        <f t="shared" si="10"/>
        <v>10.388230200000001</v>
      </c>
      <c r="J21" s="12">
        <v>1.49</v>
      </c>
      <c r="K21" s="12">
        <f t="shared" si="11"/>
        <v>11.878230200000001</v>
      </c>
      <c r="L21" s="12">
        <v>17.899999999999999</v>
      </c>
    </row>
    <row r="22" spans="1:12" ht="12.75" x14ac:dyDescent="0.2">
      <c r="A22" s="12" t="s">
        <v>520</v>
      </c>
      <c r="B22" s="12">
        <v>5207201000623</v>
      </c>
      <c r="C22" s="12">
        <v>8</v>
      </c>
      <c r="D22" s="12">
        <v>0.9</v>
      </c>
      <c r="E22" s="12">
        <f t="shared" si="8"/>
        <v>8.9</v>
      </c>
      <c r="F22" s="12">
        <v>1.24</v>
      </c>
      <c r="G22" s="12">
        <f t="shared" si="9"/>
        <v>11.036</v>
      </c>
      <c r="H22" s="12">
        <v>1.1214999999999999</v>
      </c>
      <c r="I22" s="12">
        <f t="shared" si="10"/>
        <v>12.376873999999999</v>
      </c>
      <c r="J22" s="12">
        <v>0.73999999999999899</v>
      </c>
      <c r="K22" s="12">
        <f t="shared" si="11"/>
        <v>13.116873999999997</v>
      </c>
      <c r="L22" s="12">
        <v>21.9</v>
      </c>
    </row>
    <row r="23" spans="1:12" ht="12.75" x14ac:dyDescent="0.2">
      <c r="A23" s="12" t="s">
        <v>521</v>
      </c>
      <c r="B23" s="12">
        <v>5207201000456</v>
      </c>
      <c r="C23" s="12">
        <v>8.14</v>
      </c>
      <c r="D23" s="12">
        <v>0.9</v>
      </c>
      <c r="E23" s="12">
        <f t="shared" si="8"/>
        <v>9.0400000000000009</v>
      </c>
      <c r="F23" s="12">
        <v>1.24</v>
      </c>
      <c r="G23" s="12">
        <f t="shared" si="9"/>
        <v>11.209600000000002</v>
      </c>
      <c r="H23" s="12">
        <v>1.1214999999999999</v>
      </c>
      <c r="I23" s="12">
        <f t="shared" si="10"/>
        <v>12.571566400000002</v>
      </c>
      <c r="J23" s="12">
        <v>0.74</v>
      </c>
      <c r="K23" s="12">
        <f t="shared" si="11"/>
        <v>13.311566400000002</v>
      </c>
      <c r="L23" s="12">
        <v>16.899999999999999</v>
      </c>
    </row>
    <row r="24" spans="1:12" ht="12.75" x14ac:dyDescent="0.2">
      <c r="A24" s="12" t="s">
        <v>522</v>
      </c>
      <c r="B24" s="12">
        <v>5207201000906</v>
      </c>
      <c r="C24" s="12">
        <v>12.86</v>
      </c>
      <c r="D24" s="12">
        <v>0.9</v>
      </c>
      <c r="E24" s="12">
        <f t="shared" si="8"/>
        <v>13.76</v>
      </c>
      <c r="F24" s="12">
        <v>1.24</v>
      </c>
      <c r="G24" s="12">
        <f t="shared" si="9"/>
        <v>17.0624</v>
      </c>
      <c r="H24" s="12">
        <v>1.1214999999999999</v>
      </c>
      <c r="I24" s="12">
        <f t="shared" si="10"/>
        <v>19.135481599999999</v>
      </c>
      <c r="J24" s="12">
        <v>0.73999999999999899</v>
      </c>
      <c r="K24" s="12">
        <f t="shared" si="11"/>
        <v>19.875481599999997</v>
      </c>
      <c r="L24" s="12">
        <v>29.9</v>
      </c>
    </row>
    <row r="25" spans="1:12" ht="12.75" x14ac:dyDescent="0.2">
      <c r="A25" s="12" t="s">
        <v>523</v>
      </c>
      <c r="B25" s="12">
        <v>5207201001002</v>
      </c>
      <c r="C25" s="12">
        <v>5.14</v>
      </c>
      <c r="D25" s="12">
        <v>0.9</v>
      </c>
      <c r="E25" s="12">
        <f t="shared" si="8"/>
        <v>6.04</v>
      </c>
      <c r="F25" s="12">
        <v>1.24</v>
      </c>
      <c r="G25" s="12">
        <f t="shared" si="9"/>
        <v>7.4896000000000003</v>
      </c>
      <c r="H25" s="12">
        <v>1.1214999999999999</v>
      </c>
      <c r="I25" s="12">
        <f t="shared" si="10"/>
        <v>8.3995864000000005</v>
      </c>
      <c r="J25" s="12">
        <v>0.74</v>
      </c>
      <c r="K25" s="12">
        <f t="shared" si="11"/>
        <v>9.1395864000000007</v>
      </c>
      <c r="L25" s="12">
        <v>9.8800000000000008</v>
      </c>
    </row>
    <row r="26" spans="1:12" ht="12.75" x14ac:dyDescent="0.2">
      <c r="A26" s="12" t="s">
        <v>524</v>
      </c>
      <c r="B26" s="12">
        <v>5207201000463</v>
      </c>
      <c r="C26" s="12">
        <v>7.71</v>
      </c>
      <c r="D26" s="12">
        <v>0.9</v>
      </c>
      <c r="E26" s="12">
        <f t="shared" si="8"/>
        <v>8.61</v>
      </c>
      <c r="F26" s="12">
        <v>1.24</v>
      </c>
      <c r="G26" s="12">
        <f t="shared" si="9"/>
        <v>10.676399999999999</v>
      </c>
      <c r="H26" s="12">
        <v>1.1214999999999999</v>
      </c>
      <c r="I26" s="12">
        <f t="shared" si="10"/>
        <v>11.973582599999999</v>
      </c>
      <c r="J26" s="12">
        <v>0.73999999999999899</v>
      </c>
      <c r="K26" s="18">
        <f t="shared" si="11"/>
        <v>12.713582599999997</v>
      </c>
      <c r="L26" s="18">
        <v>11.99</v>
      </c>
    </row>
    <row r="27" spans="1:12" ht="12.75" x14ac:dyDescent="0.2">
      <c r="A27" s="12" t="s">
        <v>525</v>
      </c>
      <c r="B27" s="12">
        <v>5207201000609</v>
      </c>
      <c r="C27" s="12">
        <v>8.14</v>
      </c>
      <c r="D27" s="12">
        <v>0.9</v>
      </c>
      <c r="E27" s="12">
        <f t="shared" si="8"/>
        <v>9.0400000000000009</v>
      </c>
      <c r="F27" s="12">
        <v>1.24</v>
      </c>
      <c r="G27" s="12">
        <f t="shared" si="9"/>
        <v>11.209600000000002</v>
      </c>
      <c r="H27" s="12">
        <v>1.1214999999999999</v>
      </c>
      <c r="I27" s="12">
        <f t="shared" si="10"/>
        <v>12.571566400000002</v>
      </c>
      <c r="J27" s="12">
        <v>0.73999999999999899</v>
      </c>
      <c r="K27" s="18">
        <f t="shared" si="11"/>
        <v>13.3115664</v>
      </c>
      <c r="L27" s="18">
        <v>12.5</v>
      </c>
    </row>
    <row r="28" spans="1:12" ht="12.75" x14ac:dyDescent="0.2">
      <c r="A28" s="12" t="s">
        <v>526</v>
      </c>
      <c r="B28" s="12">
        <v>5207201001118</v>
      </c>
      <c r="C28" s="12">
        <v>12.94</v>
      </c>
      <c r="D28" s="12">
        <v>0.9</v>
      </c>
      <c r="E28" s="12">
        <f t="shared" si="8"/>
        <v>13.84</v>
      </c>
      <c r="F28" s="12">
        <v>1.24</v>
      </c>
      <c r="G28" s="12">
        <f t="shared" si="9"/>
        <v>17.1616</v>
      </c>
      <c r="H28" s="12">
        <v>1.1214999999999999</v>
      </c>
      <c r="I28" s="12">
        <f t="shared" si="10"/>
        <v>19.246734399999998</v>
      </c>
      <c r="J28" s="12">
        <v>0.73999999999999899</v>
      </c>
      <c r="K28" s="12">
        <f t="shared" si="11"/>
        <v>19.986734399999996</v>
      </c>
      <c r="L28" s="12">
        <v>29.9</v>
      </c>
    </row>
    <row r="29" spans="1:12" ht="12.75" x14ac:dyDescent="0.2">
      <c r="A29" s="12" t="s">
        <v>527</v>
      </c>
      <c r="B29" s="12">
        <v>5207201001026</v>
      </c>
      <c r="C29" s="12">
        <v>5.15</v>
      </c>
      <c r="D29" s="12">
        <v>0.9</v>
      </c>
      <c r="E29" s="12">
        <f t="shared" si="8"/>
        <v>6.0500000000000007</v>
      </c>
      <c r="F29" s="12">
        <v>1.24</v>
      </c>
      <c r="G29" s="12">
        <f t="shared" si="9"/>
        <v>7.5020000000000007</v>
      </c>
      <c r="H29" s="12">
        <v>1.1214999999999999</v>
      </c>
      <c r="I29" s="12">
        <f t="shared" si="10"/>
        <v>8.4134930000000008</v>
      </c>
      <c r="J29" s="12">
        <v>1.49</v>
      </c>
      <c r="K29" s="12">
        <f t="shared" si="11"/>
        <v>9.903493000000001</v>
      </c>
      <c r="L29" s="12">
        <v>11.9</v>
      </c>
    </row>
    <row r="30" spans="1:12" ht="12.75" x14ac:dyDescent="0.2">
      <c r="A30" s="12" t="s">
        <v>528</v>
      </c>
      <c r="B30" s="12">
        <v>5207201001781</v>
      </c>
      <c r="C30" s="12">
        <v>4.71</v>
      </c>
      <c r="D30" s="12">
        <v>0.9</v>
      </c>
      <c r="E30" s="12">
        <f t="shared" si="8"/>
        <v>5.61</v>
      </c>
      <c r="F30" s="12">
        <v>1.24</v>
      </c>
      <c r="G30" s="12">
        <f t="shared" si="9"/>
        <v>6.9564000000000004</v>
      </c>
      <c r="H30" s="12">
        <v>1.1214999999999999</v>
      </c>
      <c r="I30" s="12">
        <f t="shared" si="10"/>
        <v>7.8016025999999998</v>
      </c>
      <c r="J30" s="12">
        <v>1.49</v>
      </c>
      <c r="K30" s="12">
        <f t="shared" si="11"/>
        <v>9.2916025999999992</v>
      </c>
    </row>
    <row r="31" spans="1:12" ht="12.75" x14ac:dyDescent="0.2">
      <c r="A31" s="12" t="s">
        <v>529</v>
      </c>
      <c r="B31" s="12">
        <v>5207201001774</v>
      </c>
      <c r="C31" s="12">
        <v>5.14</v>
      </c>
      <c r="D31" s="12">
        <v>0.9</v>
      </c>
      <c r="E31" s="12">
        <f t="shared" si="8"/>
        <v>6.04</v>
      </c>
      <c r="F31" s="12">
        <v>1.24</v>
      </c>
      <c r="G31" s="12">
        <f t="shared" si="9"/>
        <v>7.4896000000000003</v>
      </c>
      <c r="H31" s="12">
        <v>1.1214999999999999</v>
      </c>
      <c r="I31" s="12">
        <f t="shared" si="10"/>
        <v>8.3995864000000005</v>
      </c>
      <c r="J31" s="12">
        <v>1.49</v>
      </c>
      <c r="K31" s="12">
        <f t="shared" si="11"/>
        <v>9.8895864000000007</v>
      </c>
      <c r="L31" s="12">
        <v>10.7</v>
      </c>
    </row>
    <row r="32" spans="1:12" ht="12.75" x14ac:dyDescent="0.2">
      <c r="A32" s="12" t="s">
        <v>530</v>
      </c>
      <c r="B32" s="12">
        <v>5207201000920</v>
      </c>
      <c r="C32" s="12">
        <v>8.44</v>
      </c>
      <c r="D32" s="12">
        <v>0.9</v>
      </c>
      <c r="E32" s="12">
        <f t="shared" si="8"/>
        <v>9.34</v>
      </c>
      <c r="F32" s="12">
        <v>1.24</v>
      </c>
      <c r="G32" s="12">
        <f t="shared" si="9"/>
        <v>11.5816</v>
      </c>
      <c r="H32" s="12">
        <v>1.1214999999999999</v>
      </c>
      <c r="I32" s="12">
        <f t="shared" si="10"/>
        <v>12.988764399999999</v>
      </c>
      <c r="J32" s="12">
        <v>0.73999999999999899</v>
      </c>
      <c r="K32" s="12">
        <f t="shared" si="11"/>
        <v>13.728764399999998</v>
      </c>
      <c r="L32" s="12">
        <v>29.9</v>
      </c>
    </row>
    <row r="33" spans="1:12" ht="12.75" x14ac:dyDescent="0.2">
      <c r="A33" s="12" t="s">
        <v>531</v>
      </c>
      <c r="B33" s="12">
        <v>5207201000975</v>
      </c>
      <c r="C33" s="12">
        <v>5.14</v>
      </c>
      <c r="D33" s="12">
        <v>0.9</v>
      </c>
      <c r="E33" s="12">
        <f t="shared" si="8"/>
        <v>6.04</v>
      </c>
      <c r="F33" s="12">
        <v>1.24</v>
      </c>
      <c r="G33" s="12">
        <f t="shared" si="9"/>
        <v>7.4896000000000003</v>
      </c>
      <c r="H33" s="12">
        <v>1.1214999999999999</v>
      </c>
      <c r="I33" s="12">
        <f t="shared" si="10"/>
        <v>8.3995864000000005</v>
      </c>
      <c r="J33" s="12">
        <v>0.73999999999999899</v>
      </c>
      <c r="K33" s="12">
        <f t="shared" si="11"/>
        <v>9.1395863999999989</v>
      </c>
      <c r="L33" s="12">
        <v>11.9</v>
      </c>
    </row>
    <row r="34" spans="1:12" ht="12.75" x14ac:dyDescent="0.2">
      <c r="A34" s="12" t="s">
        <v>532</v>
      </c>
      <c r="B34" s="12">
        <v>5207201000227</v>
      </c>
      <c r="C34" s="12">
        <v>12.86</v>
      </c>
      <c r="D34" s="12">
        <v>0.9</v>
      </c>
      <c r="E34" s="12">
        <f t="shared" si="8"/>
        <v>13.76</v>
      </c>
      <c r="F34" s="12">
        <v>1.24</v>
      </c>
      <c r="G34" s="12">
        <f t="shared" si="9"/>
        <v>17.0624</v>
      </c>
      <c r="H34" s="12">
        <v>1.1214999999999999</v>
      </c>
      <c r="I34" s="12">
        <f t="shared" si="10"/>
        <v>19.135481599999999</v>
      </c>
      <c r="J34" s="12">
        <v>0.73999999999999899</v>
      </c>
      <c r="K34" s="12">
        <f t="shared" si="11"/>
        <v>19.875481599999997</v>
      </c>
      <c r="L34" s="12">
        <v>29.9</v>
      </c>
    </row>
    <row r="35" spans="1:12" ht="12.75" x14ac:dyDescent="0.2">
      <c r="A35" s="12" t="s">
        <v>533</v>
      </c>
      <c r="B35" s="12">
        <v>5207201000098</v>
      </c>
      <c r="C35" s="12">
        <v>6</v>
      </c>
      <c r="D35" s="12">
        <v>0.9</v>
      </c>
      <c r="E35" s="12">
        <f t="shared" si="8"/>
        <v>6.9</v>
      </c>
      <c r="F35" s="12">
        <v>1.24</v>
      </c>
      <c r="G35" s="12">
        <f t="shared" si="9"/>
        <v>8.5560000000000009</v>
      </c>
      <c r="H35" s="12">
        <v>1.1214999999999999</v>
      </c>
      <c r="I35" s="12">
        <f t="shared" si="10"/>
        <v>9.5955539999999999</v>
      </c>
      <c r="J35" s="12">
        <v>0.73999999999999899</v>
      </c>
      <c r="K35" s="12">
        <f t="shared" si="11"/>
        <v>10.335553999999998</v>
      </c>
      <c r="L35" s="12">
        <v>14.9</v>
      </c>
    </row>
    <row r="36" spans="1:12" ht="12.75" x14ac:dyDescent="0.2">
      <c r="A36" s="12" t="s">
        <v>534</v>
      </c>
      <c r="B36" s="12">
        <v>5207201001163</v>
      </c>
      <c r="C36" s="12">
        <v>6.59</v>
      </c>
      <c r="D36" s="12">
        <v>0.9</v>
      </c>
      <c r="E36" s="12">
        <f t="shared" si="8"/>
        <v>7.49</v>
      </c>
      <c r="F36" s="12">
        <v>1.24</v>
      </c>
      <c r="G36" s="12">
        <f t="shared" si="9"/>
        <v>9.2875999999999994</v>
      </c>
      <c r="H36" s="12">
        <v>1.1214999999999999</v>
      </c>
      <c r="I36" s="12">
        <f t="shared" si="10"/>
        <v>10.4160434</v>
      </c>
      <c r="J36" s="12">
        <v>0.73999999999999899</v>
      </c>
      <c r="K36" s="12">
        <f t="shared" si="11"/>
        <v>11.156043399999998</v>
      </c>
      <c r="L36" s="12">
        <v>15</v>
      </c>
    </row>
    <row r="37" spans="1:12" ht="12.75" x14ac:dyDescent="0.2">
      <c r="A37" s="12" t="s">
        <v>535</v>
      </c>
      <c r="B37" s="12">
        <v>5207201001019</v>
      </c>
      <c r="C37" s="12">
        <v>4.8</v>
      </c>
      <c r="D37" s="12">
        <v>0.9</v>
      </c>
      <c r="E37" s="12">
        <f t="shared" si="8"/>
        <v>5.7</v>
      </c>
      <c r="F37" s="12">
        <v>1.24</v>
      </c>
      <c r="G37" s="12">
        <f t="shared" si="9"/>
        <v>7.0680000000000005</v>
      </c>
      <c r="H37" s="12">
        <v>1.1214999999999999</v>
      </c>
      <c r="I37" s="12">
        <f t="shared" si="10"/>
        <v>7.9267620000000001</v>
      </c>
      <c r="J37" s="12">
        <v>0.73999999999999899</v>
      </c>
      <c r="K37" s="12">
        <f t="shared" si="11"/>
        <v>8.6667619999999985</v>
      </c>
      <c r="L37" s="12">
        <v>11.9</v>
      </c>
    </row>
    <row r="38" spans="1:12" ht="12.75" x14ac:dyDescent="0.2">
      <c r="A38" s="12" t="s">
        <v>536</v>
      </c>
      <c r="B38" s="12">
        <v>5207201000364</v>
      </c>
      <c r="C38" s="12">
        <v>8.14</v>
      </c>
      <c r="D38" s="12">
        <v>0.9</v>
      </c>
      <c r="E38" s="12">
        <f t="shared" si="8"/>
        <v>9.0400000000000009</v>
      </c>
      <c r="F38" s="12">
        <v>1.24</v>
      </c>
      <c r="G38" s="12">
        <f t="shared" si="9"/>
        <v>11.209600000000002</v>
      </c>
      <c r="H38" s="12">
        <v>1.1214999999999999</v>
      </c>
      <c r="I38" s="12">
        <f t="shared" si="10"/>
        <v>12.571566400000002</v>
      </c>
      <c r="J38" s="12">
        <v>0.73999999999999899</v>
      </c>
      <c r="K38" s="12">
        <f t="shared" si="11"/>
        <v>13.3115664</v>
      </c>
      <c r="L38" s="12">
        <v>16.899999999999999</v>
      </c>
    </row>
    <row r="39" spans="1:12" ht="12.75" x14ac:dyDescent="0.2">
      <c r="A39" s="12" t="s">
        <v>537</v>
      </c>
      <c r="B39" s="12">
        <v>5207201000760</v>
      </c>
      <c r="C39" s="12">
        <v>11.2</v>
      </c>
      <c r="D39" s="12">
        <v>0.9</v>
      </c>
      <c r="E39" s="12">
        <f t="shared" si="8"/>
        <v>12.1</v>
      </c>
      <c r="F39" s="12">
        <v>1.24</v>
      </c>
      <c r="G39" s="12">
        <f t="shared" si="9"/>
        <v>15.004</v>
      </c>
      <c r="H39" s="12">
        <v>1.1214999999999999</v>
      </c>
      <c r="I39" s="12">
        <f t="shared" si="10"/>
        <v>16.826985999999998</v>
      </c>
      <c r="J39" s="12">
        <v>0.73999999999999899</v>
      </c>
      <c r="K39" s="12">
        <f t="shared" si="11"/>
        <v>17.566985999999996</v>
      </c>
      <c r="L39" s="12">
        <v>23.96</v>
      </c>
    </row>
    <row r="40" spans="1:12" ht="12.75" x14ac:dyDescent="0.2">
      <c r="A40" s="26" t="s">
        <v>538</v>
      </c>
      <c r="B40" s="26" t="s">
        <v>539</v>
      </c>
      <c r="C40" s="12">
        <v>6.8</v>
      </c>
      <c r="D40" s="12">
        <v>0.9</v>
      </c>
      <c r="E40" s="12">
        <f t="shared" si="8"/>
        <v>7.7</v>
      </c>
      <c r="F40" s="12">
        <v>1.24</v>
      </c>
      <c r="G40" s="12">
        <f t="shared" si="9"/>
        <v>9.548</v>
      </c>
      <c r="H40" s="12">
        <v>1.1214999999999999</v>
      </c>
      <c r="I40" s="12">
        <f t="shared" si="10"/>
        <v>10.708081999999999</v>
      </c>
      <c r="J40" s="12">
        <v>0.73999999999999899</v>
      </c>
      <c r="K40" s="12">
        <f t="shared" si="11"/>
        <v>11.448081999999998</v>
      </c>
      <c r="L40" s="12">
        <v>12</v>
      </c>
    </row>
    <row r="41" spans="1:12" ht="12.75" x14ac:dyDescent="0.2">
      <c r="A41" s="12" t="s">
        <v>540</v>
      </c>
      <c r="B41" s="12">
        <v>5207201001156</v>
      </c>
      <c r="C41" s="12">
        <v>7.18</v>
      </c>
      <c r="D41" s="12">
        <v>0.9</v>
      </c>
      <c r="E41" s="12">
        <f t="shared" si="8"/>
        <v>8.08</v>
      </c>
      <c r="F41" s="12">
        <v>1.24</v>
      </c>
      <c r="G41" s="12">
        <f t="shared" si="9"/>
        <v>10.0192</v>
      </c>
      <c r="H41" s="12">
        <v>1.1214999999999999</v>
      </c>
      <c r="I41" s="12">
        <f t="shared" si="10"/>
        <v>11.236532799999999</v>
      </c>
      <c r="J41" s="12">
        <v>0.73999999999999899</v>
      </c>
      <c r="K41" s="12">
        <f t="shared" si="11"/>
        <v>11.976532799999998</v>
      </c>
    </row>
    <row r="42" spans="1:12" ht="12.75" x14ac:dyDescent="0.2">
      <c r="A42" s="12" t="s">
        <v>541</v>
      </c>
      <c r="B42" s="12">
        <v>5207201001798</v>
      </c>
      <c r="C42" s="12">
        <v>12.94</v>
      </c>
      <c r="D42" s="12">
        <v>0.9</v>
      </c>
      <c r="E42" s="12">
        <f t="shared" si="8"/>
        <v>13.84</v>
      </c>
      <c r="F42" s="12">
        <v>1.24</v>
      </c>
      <c r="G42" s="12">
        <f t="shared" si="9"/>
        <v>17.1616</v>
      </c>
      <c r="H42" s="12">
        <v>1.1214999999999999</v>
      </c>
      <c r="I42" s="12">
        <f t="shared" si="10"/>
        <v>19.246734399999998</v>
      </c>
      <c r="J42" s="12">
        <v>0.73999999999999899</v>
      </c>
      <c r="K42" s="12">
        <f t="shared" si="11"/>
        <v>19.986734399999996</v>
      </c>
      <c r="L42" s="12">
        <v>24</v>
      </c>
    </row>
    <row r="43" spans="1:12" ht="12.75" x14ac:dyDescent="0.2">
      <c r="C43" s="12">
        <v>0</v>
      </c>
      <c r="D43" s="12">
        <v>0.9</v>
      </c>
      <c r="E43" s="12">
        <f t="shared" si="8"/>
        <v>0.9</v>
      </c>
      <c r="F43" s="12">
        <v>1.24</v>
      </c>
      <c r="G43" s="12">
        <f t="shared" si="9"/>
        <v>1.1160000000000001</v>
      </c>
      <c r="H43" s="12">
        <v>1.1214999999999999</v>
      </c>
      <c r="I43" s="12">
        <f t="shared" si="10"/>
        <v>1.2515940000000001</v>
      </c>
      <c r="J43" s="12">
        <v>0.73999999999999899</v>
      </c>
      <c r="K43" s="12">
        <f t="shared" si="11"/>
        <v>1.9915939999999992</v>
      </c>
    </row>
    <row r="44" spans="1:12" ht="12.75" x14ac:dyDescent="0.2">
      <c r="C44" s="12">
        <v>0</v>
      </c>
      <c r="D44" s="12">
        <v>0.9</v>
      </c>
      <c r="E44" s="12">
        <f t="shared" si="8"/>
        <v>0.9</v>
      </c>
      <c r="F44" s="12">
        <v>1.24</v>
      </c>
      <c r="G44" s="12">
        <f t="shared" si="9"/>
        <v>1.1160000000000001</v>
      </c>
      <c r="H44" s="12">
        <v>1.1214999999999999</v>
      </c>
      <c r="I44" s="12">
        <f t="shared" si="10"/>
        <v>1.2515940000000001</v>
      </c>
      <c r="J44" s="12">
        <v>0.73999999999999899</v>
      </c>
      <c r="K44" s="12">
        <f t="shared" si="11"/>
        <v>1.9915939999999992</v>
      </c>
    </row>
    <row r="45" spans="1:12" ht="12.75" x14ac:dyDescent="0.2">
      <c r="C45" s="12">
        <v>0</v>
      </c>
      <c r="D45" s="12">
        <v>0.9</v>
      </c>
      <c r="E45" s="12">
        <f t="shared" si="8"/>
        <v>0.9</v>
      </c>
      <c r="F45" s="12">
        <v>1.24</v>
      </c>
      <c r="G45" s="12">
        <f t="shared" si="9"/>
        <v>1.1160000000000001</v>
      </c>
      <c r="H45" s="12">
        <v>1.1214999999999999</v>
      </c>
      <c r="I45" s="12">
        <f t="shared" si="10"/>
        <v>1.2515940000000001</v>
      </c>
      <c r="J45" s="12">
        <v>0.73999999999999899</v>
      </c>
      <c r="K45" s="12">
        <f t="shared" si="11"/>
        <v>1.9915939999999992</v>
      </c>
    </row>
    <row r="46" spans="1:12" ht="12.75" x14ac:dyDescent="0.2">
      <c r="C46" s="12">
        <v>0</v>
      </c>
      <c r="D46" s="12">
        <v>0.9</v>
      </c>
      <c r="E46" s="12">
        <f t="shared" si="8"/>
        <v>0.9</v>
      </c>
      <c r="F46" s="12">
        <v>1.24</v>
      </c>
      <c r="G46" s="12">
        <f t="shared" si="9"/>
        <v>1.1160000000000001</v>
      </c>
      <c r="H46" s="12">
        <v>1.1214999999999999</v>
      </c>
      <c r="I46" s="12">
        <f t="shared" si="10"/>
        <v>1.2515940000000001</v>
      </c>
      <c r="J46" s="12">
        <v>0.73999999999999899</v>
      </c>
      <c r="K46" s="12">
        <f t="shared" si="11"/>
        <v>1.9915939999999992</v>
      </c>
    </row>
    <row r="47" spans="1:12" ht="12.75" x14ac:dyDescent="0.2">
      <c r="C47" s="12">
        <v>0</v>
      </c>
      <c r="D47" s="12">
        <v>0.9</v>
      </c>
      <c r="E47" s="12">
        <f t="shared" si="8"/>
        <v>0.9</v>
      </c>
      <c r="F47" s="12">
        <v>1.24</v>
      </c>
      <c r="G47" s="12">
        <f t="shared" si="9"/>
        <v>1.1160000000000001</v>
      </c>
      <c r="H47" s="12">
        <v>1.1214999999999999</v>
      </c>
      <c r="I47" s="12">
        <f t="shared" si="10"/>
        <v>1.2515940000000001</v>
      </c>
      <c r="J47" s="12">
        <v>0.73999999999999899</v>
      </c>
      <c r="K47" s="12">
        <f t="shared" si="11"/>
        <v>1.9915939999999992</v>
      </c>
    </row>
    <row r="48" spans="1:12" ht="12.75" x14ac:dyDescent="0.2">
      <c r="C48" s="12">
        <v>0</v>
      </c>
      <c r="D48" s="12">
        <v>0.9</v>
      </c>
      <c r="E48" s="12">
        <f t="shared" si="8"/>
        <v>0.9</v>
      </c>
      <c r="F48" s="12">
        <v>1.24</v>
      </c>
      <c r="G48" s="12">
        <f t="shared" si="9"/>
        <v>1.1160000000000001</v>
      </c>
      <c r="H48" s="12">
        <v>1.1214999999999999</v>
      </c>
      <c r="I48" s="12">
        <f t="shared" si="10"/>
        <v>1.2515940000000001</v>
      </c>
      <c r="J48" s="12">
        <v>0.73999999999999899</v>
      </c>
      <c r="K48" s="12">
        <f t="shared" si="11"/>
        <v>1.9915939999999992</v>
      </c>
    </row>
    <row r="49" spans="3:11" ht="12.75" x14ac:dyDescent="0.2">
      <c r="C49" s="12">
        <v>0</v>
      </c>
      <c r="D49" s="12">
        <v>0.9</v>
      </c>
      <c r="E49" s="12">
        <f t="shared" si="8"/>
        <v>0.9</v>
      </c>
      <c r="F49" s="12">
        <v>1.24</v>
      </c>
      <c r="G49" s="12">
        <f t="shared" si="9"/>
        <v>1.1160000000000001</v>
      </c>
      <c r="H49" s="12">
        <v>1.1214999999999999</v>
      </c>
      <c r="I49" s="12">
        <f t="shared" si="10"/>
        <v>1.2515940000000001</v>
      </c>
      <c r="J49" s="12">
        <v>0.73999999999999899</v>
      </c>
      <c r="K49" s="12">
        <f t="shared" si="11"/>
        <v>1.9915939999999992</v>
      </c>
    </row>
    <row r="50" spans="3:11" ht="12.75" x14ac:dyDescent="0.2">
      <c r="C50" s="12">
        <v>0</v>
      </c>
      <c r="D50" s="12">
        <v>0.9</v>
      </c>
      <c r="E50" s="12">
        <f t="shared" si="8"/>
        <v>0.9</v>
      </c>
      <c r="F50" s="12">
        <v>1.24</v>
      </c>
      <c r="G50" s="12">
        <f t="shared" si="9"/>
        <v>1.1160000000000001</v>
      </c>
      <c r="H50" s="12">
        <v>1.1214999999999999</v>
      </c>
      <c r="I50" s="12">
        <f t="shared" si="10"/>
        <v>1.2515940000000001</v>
      </c>
      <c r="J50" s="12">
        <v>0.73999999999999899</v>
      </c>
      <c r="K50" s="12">
        <f t="shared" si="11"/>
        <v>1.9915939999999992</v>
      </c>
    </row>
    <row r="51" spans="3:11" ht="12.75" x14ac:dyDescent="0.2">
      <c r="C51" s="12">
        <v>0</v>
      </c>
      <c r="D51" s="12">
        <v>0.9</v>
      </c>
      <c r="E51" s="12">
        <f t="shared" si="8"/>
        <v>0.9</v>
      </c>
      <c r="F51" s="12">
        <v>1.24</v>
      </c>
      <c r="G51" s="12">
        <f t="shared" si="9"/>
        <v>1.1160000000000001</v>
      </c>
      <c r="H51" s="12">
        <v>1.1214999999999999</v>
      </c>
      <c r="I51" s="12">
        <f t="shared" si="10"/>
        <v>1.2515940000000001</v>
      </c>
      <c r="J51" s="12">
        <v>0.73999999999999899</v>
      </c>
      <c r="K51" s="12">
        <f t="shared" si="11"/>
        <v>1.9915939999999992</v>
      </c>
    </row>
    <row r="52" spans="3:11" ht="12.75" x14ac:dyDescent="0.2">
      <c r="C52" s="12">
        <v>50.9</v>
      </c>
      <c r="D52" s="12">
        <v>0.9</v>
      </c>
      <c r="E52" s="12">
        <f t="shared" si="8"/>
        <v>51.8</v>
      </c>
      <c r="F52" s="12">
        <v>1.24</v>
      </c>
      <c r="G52" s="12">
        <f t="shared" si="9"/>
        <v>64.231999999999999</v>
      </c>
      <c r="H52" s="12">
        <v>1.1214999999999999</v>
      </c>
      <c r="I52" s="12">
        <f t="shared" si="10"/>
        <v>72.036187999999996</v>
      </c>
      <c r="J52" s="12">
        <v>0.73999999999999899</v>
      </c>
      <c r="K52" s="12">
        <f t="shared" si="11"/>
        <v>72.776187999999991</v>
      </c>
    </row>
    <row r="53" spans="3:11" ht="12.75" x14ac:dyDescent="0.2">
      <c r="C53" s="12">
        <v>0</v>
      </c>
      <c r="D53" s="12">
        <v>0.9</v>
      </c>
      <c r="E53" s="12">
        <f t="shared" si="8"/>
        <v>0.9</v>
      </c>
      <c r="F53" s="12">
        <v>1.24</v>
      </c>
      <c r="G53" s="12">
        <f t="shared" si="9"/>
        <v>1.1160000000000001</v>
      </c>
      <c r="H53" s="12">
        <v>1.1214999999999999</v>
      </c>
      <c r="I53" s="12">
        <f t="shared" si="10"/>
        <v>1.2515940000000001</v>
      </c>
      <c r="J53" s="12">
        <v>0.73999999999999899</v>
      </c>
      <c r="K53" s="12">
        <f t="shared" si="11"/>
        <v>1.9915939999999992</v>
      </c>
    </row>
    <row r="54" spans="3:11" ht="12.75" x14ac:dyDescent="0.2">
      <c r="C54" s="12">
        <v>0</v>
      </c>
      <c r="D54" s="12">
        <v>0.9</v>
      </c>
      <c r="E54" s="12">
        <f t="shared" si="8"/>
        <v>0.9</v>
      </c>
      <c r="F54" s="12">
        <v>1.24</v>
      </c>
      <c r="G54" s="12">
        <f t="shared" si="9"/>
        <v>1.1160000000000001</v>
      </c>
      <c r="H54" s="12">
        <v>1.1214999999999999</v>
      </c>
      <c r="I54" s="12">
        <f t="shared" si="10"/>
        <v>1.2515940000000001</v>
      </c>
      <c r="J54" s="12">
        <v>0.73999999999999899</v>
      </c>
      <c r="K54" s="12">
        <f t="shared" si="11"/>
        <v>1.9915939999999992</v>
      </c>
    </row>
    <row r="55" spans="3:11" ht="12.75" x14ac:dyDescent="0.2">
      <c r="C55" s="12">
        <v>0</v>
      </c>
      <c r="D55" s="12">
        <v>0.9</v>
      </c>
      <c r="E55" s="12">
        <f t="shared" si="8"/>
        <v>0.9</v>
      </c>
      <c r="F55" s="12">
        <v>1.24</v>
      </c>
      <c r="G55" s="12">
        <f t="shared" si="9"/>
        <v>1.1160000000000001</v>
      </c>
      <c r="H55" s="12">
        <v>1.1214999999999999</v>
      </c>
      <c r="I55" s="12">
        <f t="shared" si="10"/>
        <v>1.2515940000000001</v>
      </c>
      <c r="J55" s="12">
        <v>0.73999999999999899</v>
      </c>
      <c r="K55" s="12">
        <f t="shared" si="11"/>
        <v>1.9915939999999992</v>
      </c>
    </row>
    <row r="56" spans="3:11" ht="12.75" x14ac:dyDescent="0.2">
      <c r="C56" s="12">
        <v>0</v>
      </c>
      <c r="D56" s="12">
        <v>0.9</v>
      </c>
      <c r="E56" s="12">
        <f t="shared" si="8"/>
        <v>0.9</v>
      </c>
      <c r="F56" s="12">
        <v>1.24</v>
      </c>
      <c r="G56" s="12">
        <f t="shared" si="9"/>
        <v>1.1160000000000001</v>
      </c>
      <c r="H56" s="12">
        <v>1.1214999999999999</v>
      </c>
      <c r="I56" s="12">
        <f t="shared" si="10"/>
        <v>1.2515940000000001</v>
      </c>
      <c r="J56" s="12">
        <v>0.73999999999999899</v>
      </c>
      <c r="K56" s="12">
        <f t="shared" si="11"/>
        <v>1.9915939999999992</v>
      </c>
    </row>
    <row r="57" spans="3:11" ht="12.75" x14ac:dyDescent="0.2">
      <c r="C57" s="12">
        <v>0</v>
      </c>
      <c r="D57" s="12">
        <v>0.9</v>
      </c>
      <c r="E57" s="12">
        <f t="shared" si="8"/>
        <v>0.9</v>
      </c>
      <c r="F57" s="12">
        <v>1.24</v>
      </c>
      <c r="G57" s="12">
        <f t="shared" si="9"/>
        <v>1.1160000000000001</v>
      </c>
      <c r="H57" s="12">
        <v>1.1214999999999999</v>
      </c>
      <c r="I57" s="12">
        <f t="shared" si="10"/>
        <v>1.2515940000000001</v>
      </c>
      <c r="J57" s="12">
        <v>0.73999999999999899</v>
      </c>
      <c r="K57" s="12">
        <f t="shared" si="11"/>
        <v>1.9915939999999992</v>
      </c>
    </row>
    <row r="58" spans="3:11" ht="12.75" x14ac:dyDescent="0.2">
      <c r="C58" s="12">
        <v>0</v>
      </c>
      <c r="D58" s="12">
        <v>0.9</v>
      </c>
      <c r="E58" s="12">
        <f t="shared" si="8"/>
        <v>0.9</v>
      </c>
      <c r="F58" s="12">
        <v>1.24</v>
      </c>
      <c r="G58" s="12">
        <f t="shared" si="9"/>
        <v>1.1160000000000001</v>
      </c>
      <c r="H58" s="12">
        <v>1.1214999999999999</v>
      </c>
      <c r="I58" s="12">
        <f t="shared" si="10"/>
        <v>1.2515940000000001</v>
      </c>
      <c r="J58" s="12">
        <v>0.73999999999999899</v>
      </c>
      <c r="K58" s="12">
        <f t="shared" si="11"/>
        <v>1.9915939999999992</v>
      </c>
    </row>
    <row r="59" spans="3:11" ht="12.75" x14ac:dyDescent="0.2">
      <c r="C59" s="12">
        <v>0</v>
      </c>
      <c r="D59" s="12">
        <v>0.9</v>
      </c>
      <c r="E59" s="12">
        <f t="shared" si="8"/>
        <v>0.9</v>
      </c>
      <c r="F59" s="12">
        <v>1.24</v>
      </c>
      <c r="G59" s="12">
        <f t="shared" si="9"/>
        <v>1.1160000000000001</v>
      </c>
      <c r="H59" s="12">
        <v>1.1214999999999999</v>
      </c>
      <c r="I59" s="12">
        <f t="shared" si="10"/>
        <v>1.2515940000000001</v>
      </c>
      <c r="J59" s="12">
        <v>0.73999999999999899</v>
      </c>
      <c r="K59" s="12">
        <f t="shared" si="11"/>
        <v>1.9915939999999992</v>
      </c>
    </row>
    <row r="60" spans="3:11" ht="12.75" x14ac:dyDescent="0.2">
      <c r="C60" s="12">
        <v>0</v>
      </c>
      <c r="D60" s="12">
        <v>0.9</v>
      </c>
      <c r="E60" s="12">
        <f t="shared" si="8"/>
        <v>0.9</v>
      </c>
      <c r="F60" s="12">
        <v>1.24</v>
      </c>
      <c r="G60" s="12">
        <f t="shared" si="9"/>
        <v>1.1160000000000001</v>
      </c>
      <c r="H60" s="12">
        <v>1.1214999999999999</v>
      </c>
      <c r="I60" s="12">
        <f t="shared" si="10"/>
        <v>1.2515940000000001</v>
      </c>
      <c r="J60" s="12">
        <v>0.73999999999999899</v>
      </c>
      <c r="K60" s="12">
        <f t="shared" si="11"/>
        <v>1.9915939999999992</v>
      </c>
    </row>
    <row r="61" spans="3:11" ht="12.75" x14ac:dyDescent="0.2">
      <c r="C61" s="12">
        <v>0</v>
      </c>
      <c r="D61" s="12">
        <v>0.9</v>
      </c>
      <c r="E61" s="12">
        <f t="shared" si="8"/>
        <v>0.9</v>
      </c>
      <c r="F61" s="12">
        <v>1.24</v>
      </c>
      <c r="G61" s="12">
        <f t="shared" si="9"/>
        <v>1.1160000000000001</v>
      </c>
      <c r="H61" s="12">
        <v>1.1214999999999999</v>
      </c>
      <c r="I61" s="12">
        <f t="shared" si="10"/>
        <v>1.2515940000000001</v>
      </c>
      <c r="J61" s="12">
        <v>0.73999999999999899</v>
      </c>
      <c r="K61" s="12">
        <f t="shared" si="11"/>
        <v>1.9915939999999992</v>
      </c>
    </row>
    <row r="62" spans="3:11" ht="12.75" x14ac:dyDescent="0.2">
      <c r="C62" s="12">
        <v>0</v>
      </c>
      <c r="D62" s="12">
        <v>0.9</v>
      </c>
      <c r="E62" s="12">
        <f t="shared" si="8"/>
        <v>0.9</v>
      </c>
      <c r="F62" s="12">
        <v>1.24</v>
      </c>
      <c r="G62" s="12">
        <f t="shared" si="9"/>
        <v>1.1160000000000001</v>
      </c>
      <c r="H62" s="12">
        <v>1.1214999999999999</v>
      </c>
      <c r="I62" s="12">
        <f t="shared" si="10"/>
        <v>1.2515940000000001</v>
      </c>
      <c r="J62" s="12">
        <v>0.73999999999999899</v>
      </c>
      <c r="K62" s="12">
        <f t="shared" si="11"/>
        <v>1.9915939999999992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C999"/>
  <sheetViews>
    <sheetView workbookViewId="0"/>
  </sheetViews>
  <sheetFormatPr defaultColWidth="12.5703125" defaultRowHeight="15.75" customHeight="1" x14ac:dyDescent="0.2"/>
  <cols>
    <col min="1" max="1" width="42.42578125" customWidth="1"/>
    <col min="2" max="2" width="10.5703125" customWidth="1"/>
  </cols>
  <sheetData>
    <row r="1" spans="1:29" ht="17.25" customHeight="1" x14ac:dyDescent="0.2">
      <c r="A1" s="12"/>
      <c r="B1" s="27"/>
      <c r="C1" s="12" t="s">
        <v>542</v>
      </c>
      <c r="D1" s="12"/>
      <c r="E1" s="12" t="s">
        <v>497</v>
      </c>
      <c r="F1" s="12" t="s">
        <v>498</v>
      </c>
      <c r="G1" s="12" t="s">
        <v>497</v>
      </c>
      <c r="H1" s="12" t="s">
        <v>499</v>
      </c>
      <c r="I1" s="12" t="s">
        <v>497</v>
      </c>
      <c r="J1" s="12" t="s">
        <v>500</v>
      </c>
      <c r="K1" s="12" t="s">
        <v>497</v>
      </c>
    </row>
    <row r="2" spans="1:29" ht="12.75" x14ac:dyDescent="0.2">
      <c r="A2" s="12"/>
      <c r="B2" s="27"/>
    </row>
    <row r="3" spans="1:29" ht="12.75" x14ac:dyDescent="0.2">
      <c r="A3" s="13" t="s">
        <v>543</v>
      </c>
      <c r="B3" s="15">
        <v>5200309854075</v>
      </c>
      <c r="C3" s="15">
        <v>5.68</v>
      </c>
      <c r="D3" s="15">
        <v>0.9</v>
      </c>
      <c r="E3" s="15">
        <f t="shared" ref="E3:E39" si="0">SUM(C3)+D3</f>
        <v>6.58</v>
      </c>
      <c r="F3" s="15">
        <v>1.24</v>
      </c>
      <c r="G3" s="15">
        <f t="shared" ref="G3:G39" si="1">SUM(E3)*F3</f>
        <v>8.1592000000000002</v>
      </c>
      <c r="H3" s="15">
        <v>1.1214999999999999</v>
      </c>
      <c r="I3" s="15">
        <f t="shared" ref="I3:I39" si="2">SUM(G3)*H3</f>
        <v>9.1505428000000002</v>
      </c>
      <c r="J3" s="15">
        <v>0.74</v>
      </c>
      <c r="K3" s="15">
        <f t="shared" ref="K3:K39" si="3">SUM(I3)+J3</f>
        <v>9.8905428000000004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29" ht="13.5" customHeight="1" x14ac:dyDescent="0.2">
      <c r="A4" s="13" t="s">
        <v>544</v>
      </c>
      <c r="B4" s="15">
        <v>5200309855195</v>
      </c>
      <c r="C4" s="15">
        <v>11.4</v>
      </c>
      <c r="D4" s="15">
        <v>0.9</v>
      </c>
      <c r="E4" s="15">
        <f t="shared" si="0"/>
        <v>12.3</v>
      </c>
      <c r="F4" s="15">
        <v>1.24</v>
      </c>
      <c r="G4" s="15">
        <f t="shared" si="1"/>
        <v>15.252000000000001</v>
      </c>
      <c r="H4" s="15">
        <v>1.1214999999999999</v>
      </c>
      <c r="I4" s="15">
        <f t="shared" si="2"/>
        <v>17.105118000000001</v>
      </c>
      <c r="J4" s="15">
        <v>1.49</v>
      </c>
      <c r="K4" s="15">
        <f t="shared" si="3"/>
        <v>18.595117999999999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29" ht="12.75" x14ac:dyDescent="0.2">
      <c r="A5" s="13" t="s">
        <v>545</v>
      </c>
      <c r="B5" s="15">
        <v>5200309851852</v>
      </c>
      <c r="C5" s="15">
        <v>8.19</v>
      </c>
      <c r="D5" s="15">
        <v>0.6</v>
      </c>
      <c r="E5" s="15">
        <f t="shared" si="0"/>
        <v>8.7899999999999991</v>
      </c>
      <c r="F5" s="15">
        <v>1.24</v>
      </c>
      <c r="G5" s="15">
        <f t="shared" si="1"/>
        <v>10.8996</v>
      </c>
      <c r="H5" s="15">
        <v>1.1214999999999999</v>
      </c>
      <c r="I5" s="15">
        <f t="shared" si="2"/>
        <v>12.223901399999999</v>
      </c>
      <c r="J5" s="15">
        <v>0.74</v>
      </c>
      <c r="K5" s="15">
        <f t="shared" si="3"/>
        <v>12.963901399999999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1:29" ht="12.75" x14ac:dyDescent="0.2">
      <c r="A6" s="13" t="s">
        <v>546</v>
      </c>
      <c r="B6" s="15">
        <v>5200309854129</v>
      </c>
      <c r="C6" s="15">
        <v>6.86</v>
      </c>
      <c r="D6" s="15">
        <v>0.9</v>
      </c>
      <c r="E6" s="15">
        <f t="shared" si="0"/>
        <v>7.7600000000000007</v>
      </c>
      <c r="F6" s="15">
        <v>1.24</v>
      </c>
      <c r="G6" s="15">
        <f t="shared" si="1"/>
        <v>9.6224000000000007</v>
      </c>
      <c r="H6" s="15">
        <v>1.1214999999999999</v>
      </c>
      <c r="I6" s="15">
        <f t="shared" si="2"/>
        <v>10.791521599999999</v>
      </c>
      <c r="J6" s="15">
        <v>0.74</v>
      </c>
      <c r="K6" s="15">
        <f t="shared" si="3"/>
        <v>11.5315216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spans="1:29" ht="12.75" x14ac:dyDescent="0.2">
      <c r="A7" s="13" t="s">
        <v>547</v>
      </c>
      <c r="B7" s="15">
        <v>5200309854136</v>
      </c>
      <c r="C7" s="15">
        <v>6.52</v>
      </c>
      <c r="D7" s="15">
        <v>0.9</v>
      </c>
      <c r="E7" s="15">
        <f t="shared" si="0"/>
        <v>7.42</v>
      </c>
      <c r="F7" s="15">
        <v>1.24</v>
      </c>
      <c r="G7" s="15">
        <f t="shared" si="1"/>
        <v>9.2007999999999992</v>
      </c>
      <c r="H7" s="15">
        <v>1.1214999999999999</v>
      </c>
      <c r="I7" s="15">
        <f t="shared" si="2"/>
        <v>10.318697199999999</v>
      </c>
      <c r="J7" s="15">
        <v>0.74</v>
      </c>
      <c r="K7" s="15">
        <f t="shared" si="3"/>
        <v>11.058697199999999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29" ht="12.75" x14ac:dyDescent="0.2">
      <c r="A8" s="13" t="s">
        <v>548</v>
      </c>
      <c r="B8" s="15">
        <v>5200309854112</v>
      </c>
      <c r="C8" s="15">
        <v>7.78</v>
      </c>
      <c r="D8" s="15">
        <v>0.6</v>
      </c>
      <c r="E8" s="15">
        <f t="shared" si="0"/>
        <v>8.3800000000000008</v>
      </c>
      <c r="F8" s="15">
        <v>1.24</v>
      </c>
      <c r="G8" s="15">
        <f t="shared" si="1"/>
        <v>10.391200000000001</v>
      </c>
      <c r="H8" s="15">
        <v>1.1214999999999999</v>
      </c>
      <c r="I8" s="15">
        <f t="shared" si="2"/>
        <v>11.653730800000002</v>
      </c>
      <c r="J8" s="15">
        <v>0.74</v>
      </c>
      <c r="K8" s="15">
        <f t="shared" si="3"/>
        <v>12.393730800000002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29" ht="12.75" x14ac:dyDescent="0.2">
      <c r="A9" s="13" t="s">
        <v>549</v>
      </c>
      <c r="B9" s="15">
        <v>5200309854099</v>
      </c>
      <c r="C9" s="15">
        <v>6.36</v>
      </c>
      <c r="D9" s="15">
        <v>0.9</v>
      </c>
      <c r="E9" s="15">
        <f t="shared" si="0"/>
        <v>7.2600000000000007</v>
      </c>
      <c r="F9" s="15">
        <v>1.24</v>
      </c>
      <c r="G9" s="15">
        <f t="shared" si="1"/>
        <v>9.0024000000000015</v>
      </c>
      <c r="H9" s="15">
        <v>1.1214999999999999</v>
      </c>
      <c r="I9" s="15">
        <f t="shared" si="2"/>
        <v>10.096191600000001</v>
      </c>
      <c r="J9" s="15">
        <v>0.74</v>
      </c>
      <c r="K9" s="15">
        <f t="shared" si="3"/>
        <v>10.836191600000001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29" ht="12.75" x14ac:dyDescent="0.2">
      <c r="A10" s="13" t="s">
        <v>550</v>
      </c>
      <c r="B10" s="15">
        <v>5200309851951</v>
      </c>
      <c r="C10" s="15">
        <v>4.66</v>
      </c>
      <c r="D10" s="15">
        <v>0.9</v>
      </c>
      <c r="E10" s="15">
        <f t="shared" si="0"/>
        <v>5.5600000000000005</v>
      </c>
      <c r="F10" s="15">
        <v>1.24</v>
      </c>
      <c r="G10" s="15">
        <f t="shared" si="1"/>
        <v>6.894400000000001</v>
      </c>
      <c r="H10" s="15">
        <v>1.1214999999999999</v>
      </c>
      <c r="I10" s="15">
        <f t="shared" si="2"/>
        <v>7.7320696000000009</v>
      </c>
      <c r="J10" s="15">
        <v>0.74</v>
      </c>
      <c r="K10" s="15">
        <f t="shared" si="3"/>
        <v>8.4720696000000011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spans="1:29" ht="12.75" x14ac:dyDescent="0.2">
      <c r="A11" s="13" t="s">
        <v>551</v>
      </c>
      <c r="B11" s="15">
        <v>5200309851036</v>
      </c>
      <c r="C11" s="15">
        <v>2.98</v>
      </c>
      <c r="D11" s="15">
        <v>0.9</v>
      </c>
      <c r="E11" s="15">
        <f t="shared" si="0"/>
        <v>3.88</v>
      </c>
      <c r="F11" s="15">
        <v>1.24</v>
      </c>
      <c r="G11" s="15">
        <f t="shared" si="1"/>
        <v>4.8111999999999995</v>
      </c>
      <c r="H11" s="15">
        <v>1.1214999999999999</v>
      </c>
      <c r="I11" s="15">
        <f t="shared" si="2"/>
        <v>5.3957607999999988</v>
      </c>
      <c r="J11" s="15">
        <v>0.25</v>
      </c>
      <c r="K11" s="15">
        <f t="shared" si="3"/>
        <v>5.6457607999999988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29" ht="12.75" x14ac:dyDescent="0.2">
      <c r="A12" s="13" t="s">
        <v>552</v>
      </c>
      <c r="B12" s="15">
        <v>5200309851821</v>
      </c>
      <c r="C12" s="15">
        <v>4.82</v>
      </c>
      <c r="D12" s="15">
        <v>0.6</v>
      </c>
      <c r="E12" s="15">
        <f t="shared" si="0"/>
        <v>5.42</v>
      </c>
      <c r="F12" s="15">
        <v>1.24</v>
      </c>
      <c r="G12" s="15">
        <f t="shared" si="1"/>
        <v>6.7207999999999997</v>
      </c>
      <c r="H12" s="15">
        <v>1.1214999999999999</v>
      </c>
      <c r="I12" s="15">
        <f t="shared" si="2"/>
        <v>7.537377199999999</v>
      </c>
      <c r="J12" s="15">
        <v>0.43</v>
      </c>
      <c r="K12" s="15">
        <f t="shared" si="3"/>
        <v>7.9673771999999987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29" ht="12.75" x14ac:dyDescent="0.2">
      <c r="A13" s="13" t="s">
        <v>553</v>
      </c>
      <c r="B13" s="15">
        <v>5200309851920</v>
      </c>
      <c r="C13" s="15">
        <v>7.2</v>
      </c>
      <c r="D13" s="15">
        <v>0.9</v>
      </c>
      <c r="E13" s="15">
        <f t="shared" si="0"/>
        <v>8.1</v>
      </c>
      <c r="F13" s="15">
        <v>1.24</v>
      </c>
      <c r="G13" s="15">
        <f t="shared" si="1"/>
        <v>10.043999999999999</v>
      </c>
      <c r="H13" s="15">
        <v>1.1214999999999999</v>
      </c>
      <c r="I13" s="15">
        <f t="shared" si="2"/>
        <v>11.264345999999998</v>
      </c>
      <c r="J13" s="15">
        <v>0.73999999999999899</v>
      </c>
      <c r="K13" s="15">
        <f t="shared" si="3"/>
        <v>12.004345999999996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spans="1:29" ht="12.75" x14ac:dyDescent="0.2">
      <c r="A14" s="13" t="s">
        <v>554</v>
      </c>
      <c r="B14" s="15">
        <v>5200309854082</v>
      </c>
      <c r="C14" s="15">
        <v>7.42</v>
      </c>
      <c r="D14" s="15">
        <v>0.9</v>
      </c>
      <c r="E14" s="15">
        <f t="shared" si="0"/>
        <v>8.32</v>
      </c>
      <c r="F14" s="15">
        <v>1.24</v>
      </c>
      <c r="G14" s="15">
        <f t="shared" si="1"/>
        <v>10.316800000000001</v>
      </c>
      <c r="H14" s="15">
        <v>1.1214999999999999</v>
      </c>
      <c r="I14" s="15">
        <f t="shared" si="2"/>
        <v>11.5702912</v>
      </c>
      <c r="J14" s="15">
        <v>0.73999999999999899</v>
      </c>
      <c r="K14" s="15">
        <f t="shared" si="3"/>
        <v>12.310291199999998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spans="1:29" ht="12.75" x14ac:dyDescent="0.2">
      <c r="A15" s="13" t="s">
        <v>555</v>
      </c>
      <c r="B15" s="15">
        <v>5200309855249</v>
      </c>
      <c r="C15" s="15">
        <v>9.35</v>
      </c>
      <c r="D15" s="15">
        <v>0.3</v>
      </c>
      <c r="E15" s="15">
        <f t="shared" si="0"/>
        <v>9.65</v>
      </c>
      <c r="F15" s="15">
        <v>1.24</v>
      </c>
      <c r="G15" s="15">
        <f t="shared" si="1"/>
        <v>11.966000000000001</v>
      </c>
      <c r="H15" s="15">
        <v>1.1214999999999999</v>
      </c>
      <c r="I15" s="15">
        <f t="shared" si="2"/>
        <v>13.419869</v>
      </c>
      <c r="J15" s="15">
        <v>0.73999999999999899</v>
      </c>
      <c r="K15" s="15">
        <f t="shared" si="3"/>
        <v>14.159868999999999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spans="1:29" ht="12.75" x14ac:dyDescent="0.2">
      <c r="A16" s="13" t="s">
        <v>556</v>
      </c>
      <c r="B16" s="15">
        <v>5200309851913</v>
      </c>
      <c r="C16" s="15">
        <v>4.72</v>
      </c>
      <c r="D16" s="15">
        <v>0.7</v>
      </c>
      <c r="E16" s="15">
        <f t="shared" si="0"/>
        <v>5.42</v>
      </c>
      <c r="F16" s="15">
        <v>1.24</v>
      </c>
      <c r="G16" s="15">
        <f t="shared" si="1"/>
        <v>6.7207999999999997</v>
      </c>
      <c r="H16" s="15">
        <v>1.1214999999999999</v>
      </c>
      <c r="I16" s="15">
        <f t="shared" si="2"/>
        <v>7.537377199999999</v>
      </c>
      <c r="J16" s="15">
        <v>0.43</v>
      </c>
      <c r="K16" s="15">
        <f t="shared" si="3"/>
        <v>7.9673771999999987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spans="1:29" ht="12.75" x14ac:dyDescent="0.2">
      <c r="A17" s="13" t="s">
        <v>557</v>
      </c>
      <c r="B17" s="15">
        <v>5200309851364</v>
      </c>
      <c r="C17" s="15">
        <v>10.58</v>
      </c>
      <c r="D17" s="15">
        <v>0.9</v>
      </c>
      <c r="E17" s="15">
        <f t="shared" si="0"/>
        <v>11.48</v>
      </c>
      <c r="F17" s="15">
        <v>1.24</v>
      </c>
      <c r="G17" s="15">
        <f t="shared" si="1"/>
        <v>14.235200000000001</v>
      </c>
      <c r="H17" s="15">
        <v>1.1214999999999999</v>
      </c>
      <c r="I17" s="15">
        <f t="shared" si="2"/>
        <v>15.964776799999999</v>
      </c>
      <c r="J17" s="15">
        <v>0.73999999999999899</v>
      </c>
      <c r="K17" s="15">
        <f t="shared" si="3"/>
        <v>16.704776799999998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spans="1:29" ht="12.75" x14ac:dyDescent="0.2">
      <c r="A18" s="13" t="s">
        <v>558</v>
      </c>
      <c r="B18" s="15">
        <v>5200309851043</v>
      </c>
      <c r="C18" s="15">
        <v>5.79</v>
      </c>
      <c r="D18" s="15">
        <v>0.9</v>
      </c>
      <c r="E18" s="15">
        <f t="shared" si="0"/>
        <v>6.69</v>
      </c>
      <c r="F18" s="15">
        <v>1.24</v>
      </c>
      <c r="G18" s="15">
        <f t="shared" si="1"/>
        <v>8.2956000000000003</v>
      </c>
      <c r="H18" s="15">
        <v>1.1214999999999999</v>
      </c>
      <c r="I18" s="15">
        <f t="shared" si="2"/>
        <v>9.3035154000000002</v>
      </c>
      <c r="J18" s="15">
        <v>0.73999999999999899</v>
      </c>
      <c r="K18" s="15">
        <f t="shared" si="3"/>
        <v>10.043515399999999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spans="1:29" ht="12.75" x14ac:dyDescent="0.2">
      <c r="A19" s="12" t="s">
        <v>559</v>
      </c>
      <c r="B19" s="15">
        <v>5200309851777</v>
      </c>
      <c r="C19" s="15">
        <v>6.19</v>
      </c>
      <c r="D19" s="15">
        <v>0.9</v>
      </c>
      <c r="E19" s="15">
        <f t="shared" si="0"/>
        <v>7.0900000000000007</v>
      </c>
      <c r="F19" s="15">
        <v>1.24</v>
      </c>
      <c r="G19" s="15">
        <f t="shared" si="1"/>
        <v>8.7916000000000007</v>
      </c>
      <c r="H19" s="15">
        <v>1.1214999999999999</v>
      </c>
      <c r="I19" s="15">
        <f t="shared" si="2"/>
        <v>9.8597794000000007</v>
      </c>
      <c r="J19" s="15">
        <v>1.49</v>
      </c>
      <c r="K19" s="15">
        <f t="shared" si="3"/>
        <v>11.349779400000001</v>
      </c>
    </row>
    <row r="20" spans="1:29" ht="12.75" x14ac:dyDescent="0.2">
      <c r="A20" s="12" t="s">
        <v>560</v>
      </c>
      <c r="B20" s="15">
        <v>5200309851814</v>
      </c>
      <c r="C20" s="15">
        <v>5.6</v>
      </c>
      <c r="D20" s="15">
        <v>0.6</v>
      </c>
      <c r="E20" s="15">
        <f t="shared" si="0"/>
        <v>6.1999999999999993</v>
      </c>
      <c r="F20" s="15">
        <v>1.06</v>
      </c>
      <c r="G20" s="15">
        <f t="shared" si="1"/>
        <v>6.5719999999999992</v>
      </c>
      <c r="H20" s="15">
        <v>1.1214999999999999</v>
      </c>
      <c r="I20" s="15">
        <f t="shared" si="2"/>
        <v>7.3704979999999987</v>
      </c>
      <c r="J20" s="15">
        <v>0.43</v>
      </c>
      <c r="K20" s="15">
        <f t="shared" si="3"/>
        <v>7.8004979999999984</v>
      </c>
    </row>
    <row r="21" spans="1:29" ht="12.75" x14ac:dyDescent="0.2">
      <c r="A21" s="12" t="s">
        <v>561</v>
      </c>
      <c r="B21" s="15">
        <v>5200309851753</v>
      </c>
      <c r="C21" s="15">
        <v>7.44</v>
      </c>
      <c r="D21" s="15">
        <v>0.9</v>
      </c>
      <c r="E21" s="15">
        <f t="shared" si="0"/>
        <v>8.34</v>
      </c>
      <c r="F21" s="15">
        <v>1.24</v>
      </c>
      <c r="G21" s="15">
        <f t="shared" si="1"/>
        <v>10.3416</v>
      </c>
      <c r="H21" s="15">
        <v>1.1214999999999999</v>
      </c>
      <c r="I21" s="15">
        <f t="shared" si="2"/>
        <v>11.598104399999999</v>
      </c>
      <c r="J21" s="15">
        <v>0.74</v>
      </c>
      <c r="K21" s="15">
        <f t="shared" si="3"/>
        <v>12.338104399999999</v>
      </c>
    </row>
    <row r="22" spans="1:29" ht="12.75" x14ac:dyDescent="0.2">
      <c r="A22" s="12" t="s">
        <v>562</v>
      </c>
      <c r="B22" s="15">
        <v>5200309851784</v>
      </c>
      <c r="C22" s="15">
        <v>10.42</v>
      </c>
      <c r="D22" s="15">
        <v>0.6</v>
      </c>
      <c r="E22" s="15">
        <f t="shared" si="0"/>
        <v>11.02</v>
      </c>
      <c r="F22" s="15">
        <v>1.24</v>
      </c>
      <c r="G22" s="15">
        <f t="shared" si="1"/>
        <v>13.6648</v>
      </c>
      <c r="H22" s="15">
        <v>1.1214999999999999</v>
      </c>
      <c r="I22" s="15">
        <f t="shared" si="2"/>
        <v>15.325073199999999</v>
      </c>
      <c r="J22" s="15">
        <v>0.73999999999999899</v>
      </c>
      <c r="K22" s="15">
        <f t="shared" si="3"/>
        <v>16.065073199999997</v>
      </c>
    </row>
    <row r="23" spans="1:29" ht="12.75" x14ac:dyDescent="0.2">
      <c r="A23" s="12" t="s">
        <v>561</v>
      </c>
      <c r="B23" s="15">
        <v>5200309851746</v>
      </c>
      <c r="C23" s="15">
        <v>7.47</v>
      </c>
      <c r="D23" s="15">
        <v>0.9</v>
      </c>
      <c r="E23" s="15">
        <f t="shared" si="0"/>
        <v>8.3699999999999992</v>
      </c>
      <c r="F23" s="15">
        <v>1.24</v>
      </c>
      <c r="G23" s="15">
        <f t="shared" si="1"/>
        <v>10.378799999999998</v>
      </c>
      <c r="H23" s="15">
        <v>1.1214999999999999</v>
      </c>
      <c r="I23" s="15">
        <f t="shared" si="2"/>
        <v>11.639824199999998</v>
      </c>
      <c r="J23" s="15">
        <v>0.74</v>
      </c>
      <c r="K23" s="15">
        <f t="shared" si="3"/>
        <v>12.379824199999998</v>
      </c>
    </row>
    <row r="24" spans="1:29" ht="12.75" x14ac:dyDescent="0.2">
      <c r="A24" s="12" t="s">
        <v>563</v>
      </c>
      <c r="B24" s="15">
        <v>5200309852194</v>
      </c>
      <c r="C24" s="15">
        <v>10.78</v>
      </c>
      <c r="D24" s="15">
        <v>0.9</v>
      </c>
      <c r="E24" s="15">
        <f t="shared" si="0"/>
        <v>11.68</v>
      </c>
      <c r="F24" s="15">
        <v>1.24</v>
      </c>
      <c r="G24" s="15">
        <f t="shared" si="1"/>
        <v>14.4832</v>
      </c>
      <c r="H24" s="15">
        <v>1.1214999999999999</v>
      </c>
      <c r="I24" s="15">
        <f t="shared" si="2"/>
        <v>16.242908799999999</v>
      </c>
      <c r="J24" s="15">
        <v>0.73999999999999899</v>
      </c>
      <c r="K24" s="15">
        <f t="shared" si="3"/>
        <v>16.982908799999997</v>
      </c>
    </row>
    <row r="25" spans="1:29" ht="12.75" x14ac:dyDescent="0.2">
      <c r="A25" s="6" t="s">
        <v>564</v>
      </c>
      <c r="B25" s="15" t="s">
        <v>565</v>
      </c>
      <c r="C25" s="15">
        <v>8.4499999999999993</v>
      </c>
      <c r="D25" s="15">
        <v>0.9</v>
      </c>
      <c r="E25" s="15">
        <f t="shared" si="0"/>
        <v>9.35</v>
      </c>
      <c r="F25" s="15">
        <v>1.24</v>
      </c>
      <c r="G25" s="15">
        <f t="shared" si="1"/>
        <v>11.593999999999999</v>
      </c>
      <c r="H25" s="15">
        <v>1.1214999999999999</v>
      </c>
      <c r="I25" s="15">
        <f t="shared" si="2"/>
        <v>13.002670999999999</v>
      </c>
      <c r="J25" s="15">
        <v>0.73999999999999899</v>
      </c>
      <c r="K25" s="15">
        <f t="shared" si="3"/>
        <v>13.742670999999998</v>
      </c>
    </row>
    <row r="26" spans="1:29" ht="12.75" x14ac:dyDescent="0.2">
      <c r="A26" s="12" t="s">
        <v>566</v>
      </c>
      <c r="B26" s="15">
        <v>5200309852163</v>
      </c>
      <c r="C26" s="15">
        <v>5.07</v>
      </c>
      <c r="D26" s="15">
        <v>0.9</v>
      </c>
      <c r="E26" s="15">
        <f t="shared" si="0"/>
        <v>5.9700000000000006</v>
      </c>
      <c r="F26" s="15">
        <v>1.24</v>
      </c>
      <c r="G26" s="15">
        <f t="shared" si="1"/>
        <v>7.4028000000000009</v>
      </c>
      <c r="H26" s="15">
        <v>1.1214999999999999</v>
      </c>
      <c r="I26" s="15">
        <f t="shared" si="2"/>
        <v>8.3022402</v>
      </c>
      <c r="J26" s="15">
        <v>1.49</v>
      </c>
      <c r="K26" s="15">
        <f t="shared" si="3"/>
        <v>9.7922402000000002</v>
      </c>
    </row>
    <row r="27" spans="1:29" ht="12.75" x14ac:dyDescent="0.2">
      <c r="A27" s="12" t="s">
        <v>567</v>
      </c>
      <c r="B27" s="15">
        <v>5200309852156</v>
      </c>
      <c r="C27" s="15">
        <v>5.07</v>
      </c>
      <c r="D27" s="15">
        <v>0.9</v>
      </c>
      <c r="E27" s="15">
        <f t="shared" si="0"/>
        <v>5.9700000000000006</v>
      </c>
      <c r="F27" s="15">
        <v>1.24</v>
      </c>
      <c r="G27" s="15">
        <f t="shared" si="1"/>
        <v>7.4028000000000009</v>
      </c>
      <c r="H27" s="15">
        <v>1.1214999999999999</v>
      </c>
      <c r="I27" s="15">
        <f t="shared" si="2"/>
        <v>8.3022402</v>
      </c>
      <c r="J27" s="15">
        <v>1.49</v>
      </c>
      <c r="K27" s="15">
        <f t="shared" si="3"/>
        <v>9.7922402000000002</v>
      </c>
    </row>
    <row r="28" spans="1:29" ht="12.75" x14ac:dyDescent="0.2">
      <c r="A28" s="12" t="s">
        <v>81</v>
      </c>
      <c r="B28" s="15">
        <v>5200309854105</v>
      </c>
      <c r="C28" s="15">
        <v>7.89</v>
      </c>
      <c r="D28" s="15">
        <v>0.9</v>
      </c>
      <c r="E28" s="15">
        <f t="shared" si="0"/>
        <v>8.7899999999999991</v>
      </c>
      <c r="F28" s="15">
        <v>1.24</v>
      </c>
      <c r="G28" s="15">
        <f t="shared" si="1"/>
        <v>10.8996</v>
      </c>
      <c r="H28" s="15">
        <v>1.1214999999999999</v>
      </c>
      <c r="I28" s="15">
        <f t="shared" si="2"/>
        <v>12.223901399999999</v>
      </c>
      <c r="J28" s="15">
        <v>0.73999999999999899</v>
      </c>
      <c r="K28" s="15">
        <f t="shared" si="3"/>
        <v>12.963901399999997</v>
      </c>
    </row>
    <row r="29" spans="1:29" ht="12.75" x14ac:dyDescent="0.2">
      <c r="A29" s="12" t="s">
        <v>568</v>
      </c>
      <c r="B29" s="15">
        <v>5200309854150</v>
      </c>
      <c r="C29" s="15">
        <v>7.42</v>
      </c>
      <c r="D29" s="15">
        <v>0.9</v>
      </c>
      <c r="E29" s="15">
        <f t="shared" si="0"/>
        <v>8.32</v>
      </c>
      <c r="F29" s="15">
        <v>1.24</v>
      </c>
      <c r="G29" s="15">
        <f t="shared" si="1"/>
        <v>10.316800000000001</v>
      </c>
      <c r="H29" s="15">
        <v>1.1214999999999999</v>
      </c>
      <c r="I29" s="15">
        <f t="shared" si="2"/>
        <v>11.5702912</v>
      </c>
      <c r="J29" s="15">
        <v>0.73999999999999899</v>
      </c>
      <c r="K29" s="15">
        <f t="shared" si="3"/>
        <v>12.310291199999998</v>
      </c>
    </row>
    <row r="30" spans="1:29" ht="12.75" x14ac:dyDescent="0.2">
      <c r="A30" s="12" t="s">
        <v>569</v>
      </c>
      <c r="B30" s="15">
        <v>5200309851869</v>
      </c>
      <c r="C30" s="15">
        <v>13.99</v>
      </c>
      <c r="D30" s="15">
        <v>0.9</v>
      </c>
      <c r="E30" s="15">
        <f t="shared" si="0"/>
        <v>14.89</v>
      </c>
      <c r="F30" s="15">
        <v>1.24</v>
      </c>
      <c r="G30" s="15">
        <f t="shared" si="1"/>
        <v>18.4636</v>
      </c>
      <c r="H30" s="15">
        <v>1.1214999999999999</v>
      </c>
      <c r="I30" s="15">
        <f t="shared" si="2"/>
        <v>20.706927399999998</v>
      </c>
      <c r="J30" s="15">
        <v>0.74</v>
      </c>
      <c r="K30" s="15">
        <f t="shared" si="3"/>
        <v>21.446927399999996</v>
      </c>
    </row>
    <row r="31" spans="1:29" ht="12.75" x14ac:dyDescent="0.2">
      <c r="A31" s="12" t="s">
        <v>570</v>
      </c>
      <c r="B31" s="15">
        <v>5200309852200</v>
      </c>
      <c r="C31" s="15">
        <v>18.59</v>
      </c>
      <c r="D31" s="15">
        <v>0.9</v>
      </c>
      <c r="E31" s="15">
        <f t="shared" si="0"/>
        <v>19.489999999999998</v>
      </c>
      <c r="F31" s="15">
        <v>1.24</v>
      </c>
      <c r="G31" s="15">
        <f t="shared" si="1"/>
        <v>24.167599999999997</v>
      </c>
      <c r="H31" s="15">
        <v>1.1214999999999999</v>
      </c>
      <c r="I31" s="15">
        <f t="shared" si="2"/>
        <v>27.103963399999994</v>
      </c>
      <c r="J31" s="15">
        <v>0.73999999999999899</v>
      </c>
      <c r="K31" s="15">
        <f t="shared" si="3"/>
        <v>27.843963399999993</v>
      </c>
    </row>
    <row r="32" spans="1:29" ht="12.75" x14ac:dyDescent="0.2">
      <c r="A32" s="12" t="s">
        <v>571</v>
      </c>
      <c r="B32" s="15">
        <v>5200309855287</v>
      </c>
      <c r="C32" s="15">
        <v>16.37</v>
      </c>
      <c r="D32" s="15">
        <v>0.9</v>
      </c>
      <c r="E32" s="15">
        <f t="shared" si="0"/>
        <v>17.27</v>
      </c>
      <c r="F32" s="15">
        <v>1.24</v>
      </c>
      <c r="G32" s="15">
        <f t="shared" si="1"/>
        <v>21.4148</v>
      </c>
      <c r="H32" s="15">
        <v>1.1214999999999999</v>
      </c>
      <c r="I32" s="15">
        <f t="shared" si="2"/>
        <v>24.016698199999997</v>
      </c>
      <c r="J32" s="15">
        <v>1.49</v>
      </c>
      <c r="K32" s="15">
        <f t="shared" si="3"/>
        <v>25.506698199999995</v>
      </c>
    </row>
    <row r="33" spans="1:12" ht="12.75" x14ac:dyDescent="0.2">
      <c r="A33" s="6" t="s">
        <v>572</v>
      </c>
      <c r="B33" s="6" t="s">
        <v>573</v>
      </c>
      <c r="C33" s="15">
        <v>7.84</v>
      </c>
      <c r="D33" s="15">
        <v>0.9</v>
      </c>
      <c r="E33" s="15">
        <f t="shared" si="0"/>
        <v>8.74</v>
      </c>
      <c r="F33" s="15">
        <v>1.24</v>
      </c>
      <c r="G33" s="15">
        <f t="shared" si="1"/>
        <v>10.8376</v>
      </c>
      <c r="H33" s="15">
        <v>1.1214999999999999</v>
      </c>
      <c r="I33" s="15">
        <f t="shared" si="2"/>
        <v>12.154368399999999</v>
      </c>
      <c r="J33" s="15">
        <v>0.73999999999999899</v>
      </c>
      <c r="K33" s="15">
        <f t="shared" si="3"/>
        <v>12.894368399999998</v>
      </c>
      <c r="L33" s="12">
        <v>13.9</v>
      </c>
    </row>
    <row r="34" spans="1:12" ht="12.75" x14ac:dyDescent="0.2">
      <c r="A34" s="6" t="s">
        <v>574</v>
      </c>
      <c r="B34" s="6" t="s">
        <v>575</v>
      </c>
      <c r="C34" s="15">
        <v>10.56</v>
      </c>
      <c r="D34" s="15">
        <v>0.6</v>
      </c>
      <c r="E34" s="15">
        <f t="shared" si="0"/>
        <v>11.16</v>
      </c>
      <c r="F34" s="15">
        <v>1.24</v>
      </c>
      <c r="G34" s="15">
        <f t="shared" si="1"/>
        <v>13.8384</v>
      </c>
      <c r="H34" s="15">
        <v>1.1214999999999999</v>
      </c>
      <c r="I34" s="15">
        <f t="shared" si="2"/>
        <v>15.519765599999999</v>
      </c>
      <c r="J34" s="15">
        <v>0.73999999999999899</v>
      </c>
      <c r="K34" s="15">
        <f t="shared" si="3"/>
        <v>16.259765599999998</v>
      </c>
    </row>
    <row r="35" spans="1:12" ht="12.75" x14ac:dyDescent="0.2">
      <c r="B35" s="15"/>
      <c r="C35" s="15">
        <v>0</v>
      </c>
      <c r="D35" s="15">
        <v>0.9</v>
      </c>
      <c r="E35" s="15">
        <f t="shared" si="0"/>
        <v>0.9</v>
      </c>
      <c r="F35" s="15">
        <v>1.24</v>
      </c>
      <c r="G35" s="15">
        <f t="shared" si="1"/>
        <v>1.1160000000000001</v>
      </c>
      <c r="H35" s="15">
        <v>1.1214999999999999</v>
      </c>
      <c r="I35" s="15">
        <f t="shared" si="2"/>
        <v>1.2515940000000001</v>
      </c>
      <c r="J35" s="15">
        <v>0.73999999999999899</v>
      </c>
      <c r="K35" s="15">
        <f t="shared" si="3"/>
        <v>1.9915939999999992</v>
      </c>
    </row>
    <row r="36" spans="1:12" ht="12.75" x14ac:dyDescent="0.2">
      <c r="B36" s="15"/>
      <c r="C36" s="15">
        <v>0</v>
      </c>
      <c r="D36" s="15">
        <v>0.9</v>
      </c>
      <c r="E36" s="15">
        <f t="shared" si="0"/>
        <v>0.9</v>
      </c>
      <c r="F36" s="15">
        <v>1.24</v>
      </c>
      <c r="G36" s="15">
        <f t="shared" si="1"/>
        <v>1.1160000000000001</v>
      </c>
      <c r="H36" s="15">
        <v>1.1214999999999999</v>
      </c>
      <c r="I36" s="15">
        <f t="shared" si="2"/>
        <v>1.2515940000000001</v>
      </c>
      <c r="J36" s="15">
        <v>0.73999999999999899</v>
      </c>
      <c r="K36" s="15">
        <f t="shared" si="3"/>
        <v>1.9915939999999992</v>
      </c>
    </row>
    <row r="37" spans="1:12" ht="12.75" x14ac:dyDescent="0.2">
      <c r="B37" s="15"/>
      <c r="C37" s="15">
        <v>0</v>
      </c>
      <c r="D37" s="15">
        <v>0.9</v>
      </c>
      <c r="E37" s="15">
        <f t="shared" si="0"/>
        <v>0.9</v>
      </c>
      <c r="F37" s="15">
        <v>1.24</v>
      </c>
      <c r="G37" s="15">
        <f t="shared" si="1"/>
        <v>1.1160000000000001</v>
      </c>
      <c r="H37" s="15">
        <v>1.1214999999999999</v>
      </c>
      <c r="I37" s="15">
        <f t="shared" si="2"/>
        <v>1.2515940000000001</v>
      </c>
      <c r="J37" s="15">
        <v>0.73999999999999899</v>
      </c>
      <c r="K37" s="15">
        <f t="shared" si="3"/>
        <v>1.9915939999999992</v>
      </c>
    </row>
    <row r="38" spans="1:12" ht="12.75" x14ac:dyDescent="0.2">
      <c r="B38" s="15"/>
      <c r="C38" s="15">
        <v>0</v>
      </c>
      <c r="D38" s="15">
        <v>0.9</v>
      </c>
      <c r="E38" s="15">
        <f t="shared" si="0"/>
        <v>0.9</v>
      </c>
      <c r="F38" s="15">
        <v>1.24</v>
      </c>
      <c r="G38" s="15">
        <f t="shared" si="1"/>
        <v>1.1160000000000001</v>
      </c>
      <c r="H38" s="15">
        <v>1.1214999999999999</v>
      </c>
      <c r="I38" s="15">
        <f t="shared" si="2"/>
        <v>1.2515940000000001</v>
      </c>
      <c r="J38" s="15">
        <v>0.73999999999999899</v>
      </c>
      <c r="K38" s="15">
        <f t="shared" si="3"/>
        <v>1.9915939999999992</v>
      </c>
    </row>
    <row r="39" spans="1:12" ht="12.75" x14ac:dyDescent="0.2">
      <c r="B39" s="15"/>
      <c r="C39" s="15">
        <v>12.34</v>
      </c>
      <c r="D39" s="15">
        <v>0.9</v>
      </c>
      <c r="E39" s="15">
        <f t="shared" si="0"/>
        <v>13.24</v>
      </c>
      <c r="F39" s="15">
        <v>1.24</v>
      </c>
      <c r="G39" s="15">
        <f t="shared" si="1"/>
        <v>16.4176</v>
      </c>
      <c r="H39" s="15">
        <v>1.1214999999999999</v>
      </c>
      <c r="I39" s="15">
        <f t="shared" si="2"/>
        <v>18.412338399999999</v>
      </c>
      <c r="J39" s="15">
        <v>0.73999999999999899</v>
      </c>
      <c r="K39" s="15">
        <f t="shared" si="3"/>
        <v>19.152338399999998</v>
      </c>
    </row>
    <row r="40" spans="1:12" ht="12.75" x14ac:dyDescent="0.2">
      <c r="B40" s="15"/>
    </row>
    <row r="41" spans="1:12" ht="12.75" x14ac:dyDescent="0.2">
      <c r="B41" s="15"/>
    </row>
    <row r="42" spans="1:12" ht="12.75" x14ac:dyDescent="0.2">
      <c r="B42" s="15"/>
    </row>
    <row r="43" spans="1:12" ht="12.75" x14ac:dyDescent="0.2">
      <c r="B43" s="15"/>
    </row>
    <row r="44" spans="1:12" ht="12.75" x14ac:dyDescent="0.2">
      <c r="B44" s="15"/>
    </row>
    <row r="45" spans="1:12" ht="12.75" x14ac:dyDescent="0.2">
      <c r="B45" s="15"/>
    </row>
    <row r="46" spans="1:12" ht="12.75" x14ac:dyDescent="0.2">
      <c r="B46" s="15"/>
    </row>
    <row r="47" spans="1:12" ht="12.75" x14ac:dyDescent="0.2">
      <c r="B47" s="15"/>
    </row>
    <row r="48" spans="1:12" ht="12.75" x14ac:dyDescent="0.2">
      <c r="B48" s="15"/>
    </row>
    <row r="49" spans="2:2" ht="12.75" x14ac:dyDescent="0.2">
      <c r="B49" s="15"/>
    </row>
    <row r="50" spans="2:2" ht="12.75" x14ac:dyDescent="0.2">
      <c r="B50" s="15"/>
    </row>
    <row r="51" spans="2:2" ht="12.75" x14ac:dyDescent="0.2">
      <c r="B51" s="15"/>
    </row>
    <row r="52" spans="2:2" ht="12.75" x14ac:dyDescent="0.2">
      <c r="B52" s="15"/>
    </row>
    <row r="53" spans="2:2" ht="12.75" x14ac:dyDescent="0.2">
      <c r="B53" s="15"/>
    </row>
    <row r="54" spans="2:2" ht="12.75" x14ac:dyDescent="0.2">
      <c r="B54" s="15"/>
    </row>
    <row r="55" spans="2:2" ht="12.75" x14ac:dyDescent="0.2">
      <c r="B55" s="15"/>
    </row>
    <row r="56" spans="2:2" ht="12.75" x14ac:dyDescent="0.2">
      <c r="B56" s="15"/>
    </row>
    <row r="57" spans="2:2" ht="12.75" x14ac:dyDescent="0.2">
      <c r="B57" s="15"/>
    </row>
    <row r="58" spans="2:2" ht="12.75" x14ac:dyDescent="0.2">
      <c r="B58" s="15"/>
    </row>
    <row r="59" spans="2:2" ht="12.75" x14ac:dyDescent="0.2">
      <c r="B59" s="15"/>
    </row>
    <row r="60" spans="2:2" ht="12.75" x14ac:dyDescent="0.2">
      <c r="B60" s="15"/>
    </row>
    <row r="61" spans="2:2" ht="12.75" x14ac:dyDescent="0.2">
      <c r="B61" s="15"/>
    </row>
    <row r="62" spans="2:2" ht="12.75" x14ac:dyDescent="0.2">
      <c r="B62" s="15"/>
    </row>
    <row r="63" spans="2:2" ht="12.75" x14ac:dyDescent="0.2">
      <c r="B63" s="15"/>
    </row>
    <row r="64" spans="2:2" ht="12.75" x14ac:dyDescent="0.2">
      <c r="B64" s="15"/>
    </row>
    <row r="65" spans="2:2" ht="12.75" x14ac:dyDescent="0.2">
      <c r="B65" s="15"/>
    </row>
    <row r="66" spans="2:2" ht="12.75" x14ac:dyDescent="0.2">
      <c r="B66" s="15"/>
    </row>
    <row r="67" spans="2:2" ht="12.75" x14ac:dyDescent="0.2">
      <c r="B67" s="15"/>
    </row>
    <row r="68" spans="2:2" ht="12.75" x14ac:dyDescent="0.2">
      <c r="B68" s="15"/>
    </row>
    <row r="69" spans="2:2" ht="12.75" x14ac:dyDescent="0.2">
      <c r="B69" s="15"/>
    </row>
    <row r="70" spans="2:2" ht="12.75" x14ac:dyDescent="0.2">
      <c r="B70" s="15"/>
    </row>
    <row r="71" spans="2:2" ht="12.75" x14ac:dyDescent="0.2">
      <c r="B71" s="15"/>
    </row>
    <row r="72" spans="2:2" ht="12.75" x14ac:dyDescent="0.2">
      <c r="B72" s="15"/>
    </row>
    <row r="73" spans="2:2" ht="12.75" x14ac:dyDescent="0.2">
      <c r="B73" s="15"/>
    </row>
    <row r="74" spans="2:2" ht="12.75" x14ac:dyDescent="0.2">
      <c r="B74" s="15"/>
    </row>
    <row r="75" spans="2:2" ht="12.75" x14ac:dyDescent="0.2">
      <c r="B75" s="15"/>
    </row>
    <row r="76" spans="2:2" ht="12.75" x14ac:dyDescent="0.2">
      <c r="B76" s="15"/>
    </row>
    <row r="77" spans="2:2" ht="12.75" x14ac:dyDescent="0.2">
      <c r="B77" s="15"/>
    </row>
    <row r="78" spans="2:2" ht="12.75" x14ac:dyDescent="0.2">
      <c r="B78" s="15"/>
    </row>
    <row r="79" spans="2:2" ht="12.75" x14ac:dyDescent="0.2">
      <c r="B79" s="15"/>
    </row>
    <row r="80" spans="2:2" ht="12.75" x14ac:dyDescent="0.2">
      <c r="B80" s="15"/>
    </row>
    <row r="81" spans="2:2" ht="12.75" x14ac:dyDescent="0.2">
      <c r="B81" s="15"/>
    </row>
    <row r="82" spans="2:2" ht="12.75" x14ac:dyDescent="0.2">
      <c r="B82" s="15"/>
    </row>
    <row r="83" spans="2:2" ht="12.75" x14ac:dyDescent="0.2">
      <c r="B83" s="15"/>
    </row>
    <row r="84" spans="2:2" ht="12.75" x14ac:dyDescent="0.2">
      <c r="B84" s="15"/>
    </row>
    <row r="85" spans="2:2" ht="12.75" x14ac:dyDescent="0.2">
      <c r="B85" s="15"/>
    </row>
    <row r="86" spans="2:2" ht="12.75" x14ac:dyDescent="0.2">
      <c r="B86" s="15"/>
    </row>
    <row r="87" spans="2:2" ht="12.75" x14ac:dyDescent="0.2">
      <c r="B87" s="15"/>
    </row>
    <row r="88" spans="2:2" ht="12.75" x14ac:dyDescent="0.2">
      <c r="B88" s="15"/>
    </row>
    <row r="89" spans="2:2" ht="12.75" x14ac:dyDescent="0.2">
      <c r="B89" s="15"/>
    </row>
    <row r="90" spans="2:2" ht="12.75" x14ac:dyDescent="0.2">
      <c r="B90" s="15"/>
    </row>
    <row r="91" spans="2:2" ht="12.75" x14ac:dyDescent="0.2">
      <c r="B91" s="15"/>
    </row>
    <row r="92" spans="2:2" ht="12.75" x14ac:dyDescent="0.2">
      <c r="B92" s="15"/>
    </row>
    <row r="93" spans="2:2" ht="12.75" x14ac:dyDescent="0.2">
      <c r="B93" s="15"/>
    </row>
    <row r="94" spans="2:2" ht="12.75" x14ac:dyDescent="0.2">
      <c r="B94" s="15"/>
    </row>
    <row r="95" spans="2:2" ht="12.75" x14ac:dyDescent="0.2">
      <c r="B95" s="15"/>
    </row>
    <row r="96" spans="2:2" ht="12.75" x14ac:dyDescent="0.2">
      <c r="B96" s="15"/>
    </row>
    <row r="97" spans="2:2" ht="12.75" x14ac:dyDescent="0.2">
      <c r="B97" s="15"/>
    </row>
    <row r="98" spans="2:2" ht="12.75" x14ac:dyDescent="0.2">
      <c r="B98" s="15"/>
    </row>
    <row r="99" spans="2:2" ht="12.75" x14ac:dyDescent="0.2">
      <c r="B99" s="15"/>
    </row>
    <row r="100" spans="2:2" ht="12.75" x14ac:dyDescent="0.2">
      <c r="B100" s="15"/>
    </row>
    <row r="101" spans="2:2" ht="12.75" x14ac:dyDescent="0.2">
      <c r="B101" s="15"/>
    </row>
    <row r="102" spans="2:2" ht="12.75" x14ac:dyDescent="0.2">
      <c r="B102" s="15"/>
    </row>
    <row r="103" spans="2:2" ht="12.75" x14ac:dyDescent="0.2">
      <c r="B103" s="15"/>
    </row>
    <row r="104" spans="2:2" ht="12.75" x14ac:dyDescent="0.2">
      <c r="B104" s="15"/>
    </row>
    <row r="105" spans="2:2" ht="12.75" x14ac:dyDescent="0.2">
      <c r="B105" s="15"/>
    </row>
    <row r="106" spans="2:2" ht="12.75" x14ac:dyDescent="0.2">
      <c r="B106" s="15"/>
    </row>
    <row r="107" spans="2:2" ht="12.75" x14ac:dyDescent="0.2">
      <c r="B107" s="15"/>
    </row>
    <row r="108" spans="2:2" ht="12.75" x14ac:dyDescent="0.2">
      <c r="B108" s="15"/>
    </row>
    <row r="109" spans="2:2" ht="12.75" x14ac:dyDescent="0.2">
      <c r="B109" s="15"/>
    </row>
    <row r="110" spans="2:2" ht="12.75" x14ac:dyDescent="0.2">
      <c r="B110" s="15"/>
    </row>
    <row r="111" spans="2:2" ht="12.75" x14ac:dyDescent="0.2">
      <c r="B111" s="15"/>
    </row>
    <row r="112" spans="2:2" ht="12.75" x14ac:dyDescent="0.2">
      <c r="B112" s="15"/>
    </row>
    <row r="113" spans="2:2" ht="12.75" x14ac:dyDescent="0.2">
      <c r="B113" s="15"/>
    </row>
    <row r="114" spans="2:2" ht="12.75" x14ac:dyDescent="0.2">
      <c r="B114" s="15"/>
    </row>
    <row r="115" spans="2:2" ht="12.75" x14ac:dyDescent="0.2">
      <c r="B115" s="15"/>
    </row>
    <row r="116" spans="2:2" ht="12.75" x14ac:dyDescent="0.2">
      <c r="B116" s="15"/>
    </row>
    <row r="117" spans="2:2" ht="12.75" x14ac:dyDescent="0.2">
      <c r="B117" s="15"/>
    </row>
    <row r="118" spans="2:2" ht="12.75" x14ac:dyDescent="0.2">
      <c r="B118" s="15"/>
    </row>
    <row r="119" spans="2:2" ht="12.75" x14ac:dyDescent="0.2">
      <c r="B119" s="15"/>
    </row>
    <row r="120" spans="2:2" ht="12.75" x14ac:dyDescent="0.2">
      <c r="B120" s="15"/>
    </row>
    <row r="121" spans="2:2" ht="12.75" x14ac:dyDescent="0.2">
      <c r="B121" s="15"/>
    </row>
    <row r="122" spans="2:2" ht="12.75" x14ac:dyDescent="0.2">
      <c r="B122" s="15"/>
    </row>
    <row r="123" spans="2:2" ht="12.75" x14ac:dyDescent="0.2">
      <c r="B123" s="15"/>
    </row>
    <row r="124" spans="2:2" ht="12.75" x14ac:dyDescent="0.2">
      <c r="B124" s="15"/>
    </row>
    <row r="125" spans="2:2" ht="12.75" x14ac:dyDescent="0.2">
      <c r="B125" s="15"/>
    </row>
    <row r="126" spans="2:2" ht="12.75" x14ac:dyDescent="0.2">
      <c r="B126" s="15"/>
    </row>
    <row r="127" spans="2:2" ht="12.75" x14ac:dyDescent="0.2">
      <c r="B127" s="15"/>
    </row>
    <row r="128" spans="2:2" ht="12.75" x14ac:dyDescent="0.2">
      <c r="B128" s="15"/>
    </row>
    <row r="129" spans="2:2" ht="12.75" x14ac:dyDescent="0.2">
      <c r="B129" s="15"/>
    </row>
    <row r="130" spans="2:2" ht="12.75" x14ac:dyDescent="0.2">
      <c r="B130" s="15"/>
    </row>
    <row r="131" spans="2:2" ht="12.75" x14ac:dyDescent="0.2">
      <c r="B131" s="15"/>
    </row>
    <row r="132" spans="2:2" ht="12.75" x14ac:dyDescent="0.2">
      <c r="B132" s="15"/>
    </row>
    <row r="133" spans="2:2" ht="12.75" x14ac:dyDescent="0.2">
      <c r="B133" s="15"/>
    </row>
    <row r="134" spans="2:2" ht="12.75" x14ac:dyDescent="0.2">
      <c r="B134" s="15"/>
    </row>
    <row r="135" spans="2:2" ht="12.75" x14ac:dyDescent="0.2">
      <c r="B135" s="15"/>
    </row>
    <row r="136" spans="2:2" ht="12.75" x14ac:dyDescent="0.2">
      <c r="B136" s="15"/>
    </row>
    <row r="137" spans="2:2" ht="12.75" x14ac:dyDescent="0.2">
      <c r="B137" s="15"/>
    </row>
    <row r="138" spans="2:2" ht="12.75" x14ac:dyDescent="0.2">
      <c r="B138" s="15"/>
    </row>
    <row r="139" spans="2:2" ht="12.75" x14ac:dyDescent="0.2">
      <c r="B139" s="15"/>
    </row>
    <row r="140" spans="2:2" ht="12.75" x14ac:dyDescent="0.2">
      <c r="B140" s="15"/>
    </row>
    <row r="141" spans="2:2" ht="12.75" x14ac:dyDescent="0.2">
      <c r="B141" s="15"/>
    </row>
    <row r="142" spans="2:2" ht="12.75" x14ac:dyDescent="0.2">
      <c r="B142" s="15"/>
    </row>
    <row r="143" spans="2:2" ht="12.75" x14ac:dyDescent="0.2">
      <c r="B143" s="15"/>
    </row>
    <row r="144" spans="2:2" ht="12.75" x14ac:dyDescent="0.2">
      <c r="B144" s="15"/>
    </row>
    <row r="145" spans="2:2" ht="12.75" x14ac:dyDescent="0.2">
      <c r="B145" s="15"/>
    </row>
    <row r="146" spans="2:2" ht="12.75" x14ac:dyDescent="0.2">
      <c r="B146" s="15"/>
    </row>
    <row r="147" spans="2:2" ht="12.75" x14ac:dyDescent="0.2">
      <c r="B147" s="15"/>
    </row>
    <row r="148" spans="2:2" ht="12.75" x14ac:dyDescent="0.2">
      <c r="B148" s="15"/>
    </row>
    <row r="149" spans="2:2" ht="12.75" x14ac:dyDescent="0.2">
      <c r="B149" s="15"/>
    </row>
    <row r="150" spans="2:2" ht="12.75" x14ac:dyDescent="0.2">
      <c r="B150" s="15"/>
    </row>
    <row r="151" spans="2:2" ht="12.75" x14ac:dyDescent="0.2">
      <c r="B151" s="15"/>
    </row>
    <row r="152" spans="2:2" ht="12.75" x14ac:dyDescent="0.2">
      <c r="B152" s="15"/>
    </row>
    <row r="153" spans="2:2" ht="12.75" x14ac:dyDescent="0.2">
      <c r="B153" s="15"/>
    </row>
    <row r="154" spans="2:2" ht="12.75" x14ac:dyDescent="0.2">
      <c r="B154" s="15"/>
    </row>
    <row r="155" spans="2:2" ht="12.75" x14ac:dyDescent="0.2">
      <c r="B155" s="15"/>
    </row>
    <row r="156" spans="2:2" ht="12.75" x14ac:dyDescent="0.2">
      <c r="B156" s="15"/>
    </row>
    <row r="157" spans="2:2" ht="12.75" x14ac:dyDescent="0.2">
      <c r="B157" s="15"/>
    </row>
    <row r="158" spans="2:2" ht="12.75" x14ac:dyDescent="0.2">
      <c r="B158" s="15"/>
    </row>
    <row r="159" spans="2:2" ht="12.75" x14ac:dyDescent="0.2">
      <c r="B159" s="15"/>
    </row>
    <row r="160" spans="2:2" ht="12.75" x14ac:dyDescent="0.2">
      <c r="B160" s="15"/>
    </row>
    <row r="161" spans="2:2" ht="12.75" x14ac:dyDescent="0.2">
      <c r="B161" s="15"/>
    </row>
    <row r="162" spans="2:2" ht="12.75" x14ac:dyDescent="0.2">
      <c r="B162" s="15"/>
    </row>
    <row r="163" spans="2:2" ht="12.75" x14ac:dyDescent="0.2">
      <c r="B163" s="15"/>
    </row>
    <row r="164" spans="2:2" ht="12.75" x14ac:dyDescent="0.2">
      <c r="B164" s="15"/>
    </row>
    <row r="165" spans="2:2" ht="12.75" x14ac:dyDescent="0.2">
      <c r="B165" s="15"/>
    </row>
    <row r="166" spans="2:2" ht="12.75" x14ac:dyDescent="0.2">
      <c r="B166" s="15"/>
    </row>
    <row r="167" spans="2:2" ht="12.75" x14ac:dyDescent="0.2">
      <c r="B167" s="15"/>
    </row>
    <row r="168" spans="2:2" ht="12.75" x14ac:dyDescent="0.2">
      <c r="B168" s="15"/>
    </row>
    <row r="169" spans="2:2" ht="12.75" x14ac:dyDescent="0.2">
      <c r="B169" s="15"/>
    </row>
    <row r="170" spans="2:2" ht="12.75" x14ac:dyDescent="0.2">
      <c r="B170" s="15"/>
    </row>
    <row r="171" spans="2:2" ht="12.75" x14ac:dyDescent="0.2">
      <c r="B171" s="15"/>
    </row>
    <row r="172" spans="2:2" ht="12.75" x14ac:dyDescent="0.2">
      <c r="B172" s="15"/>
    </row>
    <row r="173" spans="2:2" ht="12.75" x14ac:dyDescent="0.2">
      <c r="B173" s="15"/>
    </row>
    <row r="174" spans="2:2" ht="12.75" x14ac:dyDescent="0.2">
      <c r="B174" s="15"/>
    </row>
    <row r="175" spans="2:2" ht="12.75" x14ac:dyDescent="0.2">
      <c r="B175" s="15"/>
    </row>
    <row r="176" spans="2:2" ht="12.75" x14ac:dyDescent="0.2">
      <c r="B176" s="15"/>
    </row>
    <row r="177" spans="2:2" ht="12.75" x14ac:dyDescent="0.2">
      <c r="B177" s="15"/>
    </row>
    <row r="178" spans="2:2" ht="12.75" x14ac:dyDescent="0.2">
      <c r="B178" s="15"/>
    </row>
    <row r="179" spans="2:2" ht="12.75" x14ac:dyDescent="0.2">
      <c r="B179" s="15"/>
    </row>
    <row r="180" spans="2:2" ht="12.75" x14ac:dyDescent="0.2">
      <c r="B180" s="15"/>
    </row>
    <row r="181" spans="2:2" ht="12.75" x14ac:dyDescent="0.2">
      <c r="B181" s="15"/>
    </row>
    <row r="182" spans="2:2" ht="12.75" x14ac:dyDescent="0.2">
      <c r="B182" s="15"/>
    </row>
    <row r="183" spans="2:2" ht="12.75" x14ac:dyDescent="0.2">
      <c r="B183" s="15"/>
    </row>
    <row r="184" spans="2:2" ht="12.75" x14ac:dyDescent="0.2">
      <c r="B184" s="15"/>
    </row>
    <row r="185" spans="2:2" ht="12.75" x14ac:dyDescent="0.2">
      <c r="B185" s="15"/>
    </row>
    <row r="186" spans="2:2" ht="12.75" x14ac:dyDescent="0.2">
      <c r="B186" s="15"/>
    </row>
    <row r="187" spans="2:2" ht="12.75" x14ac:dyDescent="0.2">
      <c r="B187" s="15"/>
    </row>
    <row r="188" spans="2:2" ht="12.75" x14ac:dyDescent="0.2">
      <c r="B188" s="15"/>
    </row>
    <row r="189" spans="2:2" ht="12.75" x14ac:dyDescent="0.2">
      <c r="B189" s="15"/>
    </row>
    <row r="190" spans="2:2" ht="12.75" x14ac:dyDescent="0.2">
      <c r="B190" s="15"/>
    </row>
    <row r="191" spans="2:2" ht="12.75" x14ac:dyDescent="0.2">
      <c r="B191" s="15"/>
    </row>
    <row r="192" spans="2:2" ht="12.75" x14ac:dyDescent="0.2">
      <c r="B192" s="15"/>
    </row>
    <row r="193" spans="2:2" ht="12.75" x14ac:dyDescent="0.2">
      <c r="B193" s="15"/>
    </row>
    <row r="194" spans="2:2" ht="12.75" x14ac:dyDescent="0.2">
      <c r="B194" s="15"/>
    </row>
    <row r="195" spans="2:2" ht="12.75" x14ac:dyDescent="0.2">
      <c r="B195" s="15"/>
    </row>
    <row r="196" spans="2:2" ht="12.75" x14ac:dyDescent="0.2">
      <c r="B196" s="15"/>
    </row>
    <row r="197" spans="2:2" ht="12.75" x14ac:dyDescent="0.2">
      <c r="B197" s="15"/>
    </row>
    <row r="198" spans="2:2" ht="12.75" x14ac:dyDescent="0.2">
      <c r="B198" s="15"/>
    </row>
    <row r="199" spans="2:2" ht="12.75" x14ac:dyDescent="0.2">
      <c r="B199" s="15"/>
    </row>
    <row r="200" spans="2:2" ht="12.75" x14ac:dyDescent="0.2">
      <c r="B200" s="15"/>
    </row>
    <row r="201" spans="2:2" ht="12.75" x14ac:dyDescent="0.2">
      <c r="B201" s="15"/>
    </row>
    <row r="202" spans="2:2" ht="12.75" x14ac:dyDescent="0.2">
      <c r="B202" s="15"/>
    </row>
    <row r="203" spans="2:2" ht="12.75" x14ac:dyDescent="0.2">
      <c r="B203" s="15"/>
    </row>
    <row r="204" spans="2:2" ht="12.75" x14ac:dyDescent="0.2">
      <c r="B204" s="15"/>
    </row>
    <row r="205" spans="2:2" ht="12.75" x14ac:dyDescent="0.2">
      <c r="B205" s="15"/>
    </row>
    <row r="206" spans="2:2" ht="12.75" x14ac:dyDescent="0.2">
      <c r="B206" s="15"/>
    </row>
    <row r="207" spans="2:2" ht="12.75" x14ac:dyDescent="0.2">
      <c r="B207" s="15"/>
    </row>
    <row r="208" spans="2:2" ht="12.75" x14ac:dyDescent="0.2">
      <c r="B208" s="15"/>
    </row>
    <row r="209" spans="2:2" ht="12.75" x14ac:dyDescent="0.2">
      <c r="B209" s="15"/>
    </row>
    <row r="210" spans="2:2" ht="12.75" x14ac:dyDescent="0.2">
      <c r="B210" s="15"/>
    </row>
    <row r="211" spans="2:2" ht="12.75" x14ac:dyDescent="0.2">
      <c r="B211" s="15"/>
    </row>
    <row r="212" spans="2:2" ht="12.75" x14ac:dyDescent="0.2">
      <c r="B212" s="15"/>
    </row>
    <row r="213" spans="2:2" ht="12.75" x14ac:dyDescent="0.2">
      <c r="B213" s="15"/>
    </row>
    <row r="214" spans="2:2" ht="12.75" x14ac:dyDescent="0.2">
      <c r="B214" s="15"/>
    </row>
    <row r="215" spans="2:2" ht="12.75" x14ac:dyDescent="0.2">
      <c r="B215" s="15"/>
    </row>
    <row r="216" spans="2:2" ht="12.75" x14ac:dyDescent="0.2">
      <c r="B216" s="15"/>
    </row>
    <row r="217" spans="2:2" ht="12.75" x14ac:dyDescent="0.2">
      <c r="B217" s="15"/>
    </row>
    <row r="218" spans="2:2" ht="12.75" x14ac:dyDescent="0.2">
      <c r="B218" s="15"/>
    </row>
    <row r="219" spans="2:2" ht="12.75" x14ac:dyDescent="0.2">
      <c r="B219" s="15"/>
    </row>
    <row r="220" spans="2:2" ht="12.75" x14ac:dyDescent="0.2">
      <c r="B220" s="15"/>
    </row>
    <row r="221" spans="2:2" ht="12.75" x14ac:dyDescent="0.2">
      <c r="B221" s="15"/>
    </row>
    <row r="222" spans="2:2" ht="12.75" x14ac:dyDescent="0.2">
      <c r="B222" s="15"/>
    </row>
    <row r="223" spans="2:2" ht="12.75" x14ac:dyDescent="0.2">
      <c r="B223" s="15"/>
    </row>
    <row r="224" spans="2:2" ht="12.75" x14ac:dyDescent="0.2">
      <c r="B224" s="15"/>
    </row>
    <row r="225" spans="2:2" ht="12.75" x14ac:dyDescent="0.2">
      <c r="B225" s="15"/>
    </row>
    <row r="226" spans="2:2" ht="12.75" x14ac:dyDescent="0.2">
      <c r="B226" s="15"/>
    </row>
    <row r="227" spans="2:2" ht="12.75" x14ac:dyDescent="0.2">
      <c r="B227" s="15"/>
    </row>
    <row r="228" spans="2:2" ht="12.75" x14ac:dyDescent="0.2">
      <c r="B228" s="15"/>
    </row>
    <row r="229" spans="2:2" ht="12.75" x14ac:dyDescent="0.2">
      <c r="B229" s="15"/>
    </row>
    <row r="230" spans="2:2" ht="12.75" x14ac:dyDescent="0.2">
      <c r="B230" s="15"/>
    </row>
    <row r="231" spans="2:2" ht="12.75" x14ac:dyDescent="0.2">
      <c r="B231" s="15"/>
    </row>
    <row r="232" spans="2:2" ht="12.75" x14ac:dyDescent="0.2">
      <c r="B232" s="15"/>
    </row>
    <row r="233" spans="2:2" ht="12.75" x14ac:dyDescent="0.2">
      <c r="B233" s="15"/>
    </row>
    <row r="234" spans="2:2" ht="12.75" x14ac:dyDescent="0.2">
      <c r="B234" s="15"/>
    </row>
    <row r="235" spans="2:2" ht="12.75" x14ac:dyDescent="0.2">
      <c r="B235" s="15"/>
    </row>
    <row r="236" spans="2:2" ht="12.75" x14ac:dyDescent="0.2">
      <c r="B236" s="15"/>
    </row>
    <row r="237" spans="2:2" ht="12.75" x14ac:dyDescent="0.2">
      <c r="B237" s="15"/>
    </row>
    <row r="238" spans="2:2" ht="12.75" x14ac:dyDescent="0.2">
      <c r="B238" s="15"/>
    </row>
    <row r="239" spans="2:2" ht="12.75" x14ac:dyDescent="0.2">
      <c r="B239" s="15"/>
    </row>
    <row r="240" spans="2:2" ht="12.75" x14ac:dyDescent="0.2">
      <c r="B240" s="15"/>
    </row>
    <row r="241" spans="2:2" ht="12.75" x14ac:dyDescent="0.2">
      <c r="B241" s="15"/>
    </row>
    <row r="242" spans="2:2" ht="12.75" x14ac:dyDescent="0.2">
      <c r="B242" s="15"/>
    </row>
    <row r="243" spans="2:2" ht="12.75" x14ac:dyDescent="0.2">
      <c r="B243" s="15"/>
    </row>
    <row r="244" spans="2:2" ht="12.75" x14ac:dyDescent="0.2">
      <c r="B244" s="15"/>
    </row>
    <row r="245" spans="2:2" ht="12.75" x14ac:dyDescent="0.2">
      <c r="B245" s="15"/>
    </row>
    <row r="246" spans="2:2" ht="12.75" x14ac:dyDescent="0.2">
      <c r="B246" s="15"/>
    </row>
    <row r="247" spans="2:2" ht="12.75" x14ac:dyDescent="0.2">
      <c r="B247" s="15"/>
    </row>
    <row r="248" spans="2:2" ht="12.75" x14ac:dyDescent="0.2">
      <c r="B248" s="15"/>
    </row>
    <row r="249" spans="2:2" ht="12.75" x14ac:dyDescent="0.2">
      <c r="B249" s="15"/>
    </row>
    <row r="250" spans="2:2" ht="12.75" x14ac:dyDescent="0.2">
      <c r="B250" s="15"/>
    </row>
    <row r="251" spans="2:2" ht="12.75" x14ac:dyDescent="0.2">
      <c r="B251" s="15"/>
    </row>
    <row r="252" spans="2:2" ht="12.75" x14ac:dyDescent="0.2">
      <c r="B252" s="15"/>
    </row>
    <row r="253" spans="2:2" ht="12.75" x14ac:dyDescent="0.2">
      <c r="B253" s="15"/>
    </row>
    <row r="254" spans="2:2" ht="12.75" x14ac:dyDescent="0.2">
      <c r="B254" s="15"/>
    </row>
    <row r="255" spans="2:2" ht="12.75" x14ac:dyDescent="0.2">
      <c r="B255" s="15"/>
    </row>
    <row r="256" spans="2:2" ht="12.75" x14ac:dyDescent="0.2">
      <c r="B256" s="15"/>
    </row>
    <row r="257" spans="2:2" ht="12.75" x14ac:dyDescent="0.2">
      <c r="B257" s="15"/>
    </row>
    <row r="258" spans="2:2" ht="12.75" x14ac:dyDescent="0.2">
      <c r="B258" s="15"/>
    </row>
    <row r="259" spans="2:2" ht="12.75" x14ac:dyDescent="0.2">
      <c r="B259" s="15"/>
    </row>
    <row r="260" spans="2:2" ht="12.75" x14ac:dyDescent="0.2">
      <c r="B260" s="15"/>
    </row>
    <row r="261" spans="2:2" ht="12.75" x14ac:dyDescent="0.2">
      <c r="B261" s="15"/>
    </row>
    <row r="262" spans="2:2" ht="12.75" x14ac:dyDescent="0.2">
      <c r="B262" s="15"/>
    </row>
    <row r="263" spans="2:2" ht="12.75" x14ac:dyDescent="0.2">
      <c r="B263" s="15"/>
    </row>
    <row r="264" spans="2:2" ht="12.75" x14ac:dyDescent="0.2">
      <c r="B264" s="15"/>
    </row>
    <row r="265" spans="2:2" ht="12.75" x14ac:dyDescent="0.2">
      <c r="B265" s="15"/>
    </row>
    <row r="266" spans="2:2" ht="12.75" x14ac:dyDescent="0.2">
      <c r="B266" s="15"/>
    </row>
    <row r="267" spans="2:2" ht="12.75" x14ac:dyDescent="0.2">
      <c r="B267" s="15"/>
    </row>
    <row r="268" spans="2:2" ht="12.75" x14ac:dyDescent="0.2">
      <c r="B268" s="15"/>
    </row>
    <row r="269" spans="2:2" ht="12.75" x14ac:dyDescent="0.2">
      <c r="B269" s="15"/>
    </row>
    <row r="270" spans="2:2" ht="12.75" x14ac:dyDescent="0.2">
      <c r="B270" s="15"/>
    </row>
    <row r="271" spans="2:2" ht="12.75" x14ac:dyDescent="0.2">
      <c r="B271" s="15"/>
    </row>
    <row r="272" spans="2:2" ht="12.75" x14ac:dyDescent="0.2">
      <c r="B272" s="15"/>
    </row>
    <row r="273" spans="2:2" ht="12.75" x14ac:dyDescent="0.2">
      <c r="B273" s="15"/>
    </row>
    <row r="274" spans="2:2" ht="12.75" x14ac:dyDescent="0.2">
      <c r="B274" s="15"/>
    </row>
    <row r="275" spans="2:2" ht="12.75" x14ac:dyDescent="0.2">
      <c r="B275" s="15"/>
    </row>
    <row r="276" spans="2:2" ht="12.75" x14ac:dyDescent="0.2">
      <c r="B276" s="15"/>
    </row>
    <row r="277" spans="2:2" ht="12.75" x14ac:dyDescent="0.2">
      <c r="B277" s="15"/>
    </row>
    <row r="278" spans="2:2" ht="12.75" x14ac:dyDescent="0.2">
      <c r="B278" s="15"/>
    </row>
    <row r="279" spans="2:2" ht="12.75" x14ac:dyDescent="0.2">
      <c r="B279" s="15"/>
    </row>
    <row r="280" spans="2:2" ht="12.75" x14ac:dyDescent="0.2">
      <c r="B280" s="15"/>
    </row>
    <row r="281" spans="2:2" ht="12.75" x14ac:dyDescent="0.2">
      <c r="B281" s="15"/>
    </row>
    <row r="282" spans="2:2" ht="12.75" x14ac:dyDescent="0.2">
      <c r="B282" s="15"/>
    </row>
    <row r="283" spans="2:2" ht="12.75" x14ac:dyDescent="0.2">
      <c r="B283" s="15"/>
    </row>
    <row r="284" spans="2:2" ht="12.75" x14ac:dyDescent="0.2">
      <c r="B284" s="15"/>
    </row>
    <row r="285" spans="2:2" ht="12.75" x14ac:dyDescent="0.2">
      <c r="B285" s="15"/>
    </row>
    <row r="286" spans="2:2" ht="12.75" x14ac:dyDescent="0.2">
      <c r="B286" s="15"/>
    </row>
    <row r="287" spans="2:2" ht="12.75" x14ac:dyDescent="0.2">
      <c r="B287" s="15"/>
    </row>
    <row r="288" spans="2:2" ht="12.75" x14ac:dyDescent="0.2">
      <c r="B288" s="15"/>
    </row>
    <row r="289" spans="2:2" ht="12.75" x14ac:dyDescent="0.2">
      <c r="B289" s="15"/>
    </row>
    <row r="290" spans="2:2" ht="12.75" x14ac:dyDescent="0.2">
      <c r="B290" s="15"/>
    </row>
    <row r="291" spans="2:2" ht="12.75" x14ac:dyDescent="0.2">
      <c r="B291" s="15"/>
    </row>
    <row r="292" spans="2:2" ht="12.75" x14ac:dyDescent="0.2">
      <c r="B292" s="15"/>
    </row>
    <row r="293" spans="2:2" ht="12.75" x14ac:dyDescent="0.2">
      <c r="B293" s="15"/>
    </row>
    <row r="294" spans="2:2" ht="12.75" x14ac:dyDescent="0.2">
      <c r="B294" s="15"/>
    </row>
    <row r="295" spans="2:2" ht="12.75" x14ac:dyDescent="0.2">
      <c r="B295" s="15"/>
    </row>
    <row r="296" spans="2:2" ht="12.75" x14ac:dyDescent="0.2">
      <c r="B296" s="15"/>
    </row>
    <row r="297" spans="2:2" ht="12.75" x14ac:dyDescent="0.2">
      <c r="B297" s="15"/>
    </row>
    <row r="298" spans="2:2" ht="12.75" x14ac:dyDescent="0.2">
      <c r="B298" s="15"/>
    </row>
    <row r="299" spans="2:2" ht="12.75" x14ac:dyDescent="0.2">
      <c r="B299" s="15"/>
    </row>
    <row r="300" spans="2:2" ht="12.75" x14ac:dyDescent="0.2">
      <c r="B300" s="15"/>
    </row>
    <row r="301" spans="2:2" ht="12.75" x14ac:dyDescent="0.2">
      <c r="B301" s="15"/>
    </row>
    <row r="302" spans="2:2" ht="12.75" x14ac:dyDescent="0.2">
      <c r="B302" s="15"/>
    </row>
    <row r="303" spans="2:2" ht="12.75" x14ac:dyDescent="0.2">
      <c r="B303" s="15"/>
    </row>
    <row r="304" spans="2:2" ht="12.75" x14ac:dyDescent="0.2">
      <c r="B304" s="15"/>
    </row>
    <row r="305" spans="2:2" ht="12.75" x14ac:dyDescent="0.2">
      <c r="B305" s="15"/>
    </row>
    <row r="306" spans="2:2" ht="12.75" x14ac:dyDescent="0.2">
      <c r="B306" s="15"/>
    </row>
    <row r="307" spans="2:2" ht="12.75" x14ac:dyDescent="0.2">
      <c r="B307" s="15"/>
    </row>
    <row r="308" spans="2:2" ht="12.75" x14ac:dyDescent="0.2">
      <c r="B308" s="15"/>
    </row>
    <row r="309" spans="2:2" ht="12.75" x14ac:dyDescent="0.2">
      <c r="B309" s="15"/>
    </row>
    <row r="310" spans="2:2" ht="12.75" x14ac:dyDescent="0.2">
      <c r="B310" s="15"/>
    </row>
    <row r="311" spans="2:2" ht="12.75" x14ac:dyDescent="0.2">
      <c r="B311" s="15"/>
    </row>
    <row r="312" spans="2:2" ht="12.75" x14ac:dyDescent="0.2">
      <c r="B312" s="15"/>
    </row>
    <row r="313" spans="2:2" ht="12.75" x14ac:dyDescent="0.2">
      <c r="B313" s="15"/>
    </row>
    <row r="314" spans="2:2" ht="12.75" x14ac:dyDescent="0.2">
      <c r="B314" s="15"/>
    </row>
    <row r="315" spans="2:2" ht="12.75" x14ac:dyDescent="0.2">
      <c r="B315" s="15"/>
    </row>
    <row r="316" spans="2:2" ht="12.75" x14ac:dyDescent="0.2">
      <c r="B316" s="15"/>
    </row>
    <row r="317" spans="2:2" ht="12.75" x14ac:dyDescent="0.2">
      <c r="B317" s="15"/>
    </row>
    <row r="318" spans="2:2" ht="12.75" x14ac:dyDescent="0.2">
      <c r="B318" s="15"/>
    </row>
    <row r="319" spans="2:2" ht="12.75" x14ac:dyDescent="0.2">
      <c r="B319" s="15"/>
    </row>
    <row r="320" spans="2:2" ht="12.75" x14ac:dyDescent="0.2">
      <c r="B320" s="15"/>
    </row>
    <row r="321" spans="2:2" ht="12.75" x14ac:dyDescent="0.2">
      <c r="B321" s="15"/>
    </row>
    <row r="322" spans="2:2" ht="12.75" x14ac:dyDescent="0.2">
      <c r="B322" s="15"/>
    </row>
    <row r="323" spans="2:2" ht="12.75" x14ac:dyDescent="0.2">
      <c r="B323" s="15"/>
    </row>
    <row r="324" spans="2:2" ht="12.75" x14ac:dyDescent="0.2">
      <c r="B324" s="15"/>
    </row>
    <row r="325" spans="2:2" ht="12.75" x14ac:dyDescent="0.2">
      <c r="B325" s="15"/>
    </row>
    <row r="326" spans="2:2" ht="12.75" x14ac:dyDescent="0.2">
      <c r="B326" s="15"/>
    </row>
    <row r="327" spans="2:2" ht="12.75" x14ac:dyDescent="0.2">
      <c r="B327" s="15"/>
    </row>
    <row r="328" spans="2:2" ht="12.75" x14ac:dyDescent="0.2">
      <c r="B328" s="15"/>
    </row>
    <row r="329" spans="2:2" ht="12.75" x14ac:dyDescent="0.2">
      <c r="B329" s="15"/>
    </row>
    <row r="330" spans="2:2" ht="12.75" x14ac:dyDescent="0.2">
      <c r="B330" s="15"/>
    </row>
    <row r="331" spans="2:2" ht="12.75" x14ac:dyDescent="0.2">
      <c r="B331" s="15"/>
    </row>
    <row r="332" spans="2:2" ht="12.75" x14ac:dyDescent="0.2">
      <c r="B332" s="15"/>
    </row>
    <row r="333" spans="2:2" ht="12.75" x14ac:dyDescent="0.2">
      <c r="B333" s="15"/>
    </row>
    <row r="334" spans="2:2" ht="12.75" x14ac:dyDescent="0.2">
      <c r="B334" s="15"/>
    </row>
    <row r="335" spans="2:2" ht="12.75" x14ac:dyDescent="0.2">
      <c r="B335" s="15"/>
    </row>
    <row r="336" spans="2:2" ht="12.75" x14ac:dyDescent="0.2">
      <c r="B336" s="15"/>
    </row>
    <row r="337" spans="2:2" ht="12.75" x14ac:dyDescent="0.2">
      <c r="B337" s="15"/>
    </row>
    <row r="338" spans="2:2" ht="12.75" x14ac:dyDescent="0.2">
      <c r="B338" s="15"/>
    </row>
    <row r="339" spans="2:2" ht="12.75" x14ac:dyDescent="0.2">
      <c r="B339" s="15"/>
    </row>
    <row r="340" spans="2:2" ht="12.75" x14ac:dyDescent="0.2">
      <c r="B340" s="15"/>
    </row>
    <row r="341" spans="2:2" ht="12.75" x14ac:dyDescent="0.2">
      <c r="B341" s="15"/>
    </row>
    <row r="342" spans="2:2" ht="12.75" x14ac:dyDescent="0.2">
      <c r="B342" s="15"/>
    </row>
    <row r="343" spans="2:2" ht="12.75" x14ac:dyDescent="0.2">
      <c r="B343" s="15"/>
    </row>
    <row r="344" spans="2:2" ht="12.75" x14ac:dyDescent="0.2">
      <c r="B344" s="15"/>
    </row>
    <row r="345" spans="2:2" ht="12.75" x14ac:dyDescent="0.2">
      <c r="B345" s="15"/>
    </row>
    <row r="346" spans="2:2" ht="12.75" x14ac:dyDescent="0.2">
      <c r="B346" s="15"/>
    </row>
    <row r="347" spans="2:2" ht="12.75" x14ac:dyDescent="0.2">
      <c r="B347" s="15"/>
    </row>
    <row r="348" spans="2:2" ht="12.75" x14ac:dyDescent="0.2">
      <c r="B348" s="15"/>
    </row>
    <row r="349" spans="2:2" ht="12.75" x14ac:dyDescent="0.2">
      <c r="B349" s="15"/>
    </row>
    <row r="350" spans="2:2" ht="12.75" x14ac:dyDescent="0.2">
      <c r="B350" s="15"/>
    </row>
    <row r="351" spans="2:2" ht="12.75" x14ac:dyDescent="0.2">
      <c r="B351" s="15"/>
    </row>
    <row r="352" spans="2:2" ht="12.75" x14ac:dyDescent="0.2">
      <c r="B352" s="15"/>
    </row>
    <row r="353" spans="2:2" ht="12.75" x14ac:dyDescent="0.2">
      <c r="B353" s="15"/>
    </row>
    <row r="354" spans="2:2" ht="12.75" x14ac:dyDescent="0.2">
      <c r="B354" s="15"/>
    </row>
    <row r="355" spans="2:2" ht="12.75" x14ac:dyDescent="0.2">
      <c r="B355" s="15"/>
    </row>
    <row r="356" spans="2:2" ht="12.75" x14ac:dyDescent="0.2">
      <c r="B356" s="15"/>
    </row>
    <row r="357" spans="2:2" ht="12.75" x14ac:dyDescent="0.2">
      <c r="B357" s="15"/>
    </row>
    <row r="358" spans="2:2" ht="12.75" x14ac:dyDescent="0.2">
      <c r="B358" s="15"/>
    </row>
    <row r="359" spans="2:2" ht="12.75" x14ac:dyDescent="0.2">
      <c r="B359" s="15"/>
    </row>
    <row r="360" spans="2:2" ht="12.75" x14ac:dyDescent="0.2">
      <c r="B360" s="15"/>
    </row>
    <row r="361" spans="2:2" ht="12.75" x14ac:dyDescent="0.2">
      <c r="B361" s="15"/>
    </row>
    <row r="362" spans="2:2" ht="12.75" x14ac:dyDescent="0.2">
      <c r="B362" s="15"/>
    </row>
    <row r="363" spans="2:2" ht="12.75" x14ac:dyDescent="0.2">
      <c r="B363" s="15"/>
    </row>
    <row r="364" spans="2:2" ht="12.75" x14ac:dyDescent="0.2">
      <c r="B364" s="15"/>
    </row>
    <row r="365" spans="2:2" ht="12.75" x14ac:dyDescent="0.2">
      <c r="B365" s="15"/>
    </row>
    <row r="366" spans="2:2" ht="12.75" x14ac:dyDescent="0.2">
      <c r="B366" s="15"/>
    </row>
    <row r="367" spans="2:2" ht="12.75" x14ac:dyDescent="0.2">
      <c r="B367" s="15"/>
    </row>
    <row r="368" spans="2:2" ht="12.75" x14ac:dyDescent="0.2">
      <c r="B368" s="15"/>
    </row>
    <row r="369" spans="2:2" ht="12.75" x14ac:dyDescent="0.2">
      <c r="B369" s="15"/>
    </row>
    <row r="370" spans="2:2" ht="12.75" x14ac:dyDescent="0.2">
      <c r="B370" s="15"/>
    </row>
    <row r="371" spans="2:2" ht="12.75" x14ac:dyDescent="0.2">
      <c r="B371" s="15"/>
    </row>
    <row r="372" spans="2:2" ht="12.75" x14ac:dyDescent="0.2">
      <c r="B372" s="15"/>
    </row>
    <row r="373" spans="2:2" ht="12.75" x14ac:dyDescent="0.2">
      <c r="B373" s="15"/>
    </row>
    <row r="374" spans="2:2" ht="12.75" x14ac:dyDescent="0.2">
      <c r="B374" s="15"/>
    </row>
    <row r="375" spans="2:2" ht="12.75" x14ac:dyDescent="0.2">
      <c r="B375" s="15"/>
    </row>
    <row r="376" spans="2:2" ht="12.75" x14ac:dyDescent="0.2">
      <c r="B376" s="15"/>
    </row>
    <row r="377" spans="2:2" ht="12.75" x14ac:dyDescent="0.2">
      <c r="B377" s="15"/>
    </row>
    <row r="378" spans="2:2" ht="12.75" x14ac:dyDescent="0.2">
      <c r="B378" s="15"/>
    </row>
    <row r="379" spans="2:2" ht="12.75" x14ac:dyDescent="0.2">
      <c r="B379" s="15"/>
    </row>
    <row r="380" spans="2:2" ht="12.75" x14ac:dyDescent="0.2">
      <c r="B380" s="15"/>
    </row>
    <row r="381" spans="2:2" ht="12.75" x14ac:dyDescent="0.2">
      <c r="B381" s="15"/>
    </row>
    <row r="382" spans="2:2" ht="12.75" x14ac:dyDescent="0.2">
      <c r="B382" s="15"/>
    </row>
    <row r="383" spans="2:2" ht="12.75" x14ac:dyDescent="0.2">
      <c r="B383" s="15"/>
    </row>
    <row r="384" spans="2:2" ht="12.75" x14ac:dyDescent="0.2">
      <c r="B384" s="15"/>
    </row>
    <row r="385" spans="2:2" ht="12.75" x14ac:dyDescent="0.2">
      <c r="B385" s="15"/>
    </row>
    <row r="386" spans="2:2" ht="12.75" x14ac:dyDescent="0.2">
      <c r="B386" s="15"/>
    </row>
    <row r="387" spans="2:2" ht="12.75" x14ac:dyDescent="0.2">
      <c r="B387" s="15"/>
    </row>
    <row r="388" spans="2:2" ht="12.75" x14ac:dyDescent="0.2">
      <c r="B388" s="15"/>
    </row>
    <row r="389" spans="2:2" ht="12.75" x14ac:dyDescent="0.2">
      <c r="B389" s="15"/>
    </row>
    <row r="390" spans="2:2" ht="12.75" x14ac:dyDescent="0.2">
      <c r="B390" s="15"/>
    </row>
    <row r="391" spans="2:2" ht="12.75" x14ac:dyDescent="0.2">
      <c r="B391" s="15"/>
    </row>
    <row r="392" spans="2:2" ht="12.75" x14ac:dyDescent="0.2">
      <c r="B392" s="15"/>
    </row>
    <row r="393" spans="2:2" ht="12.75" x14ac:dyDescent="0.2">
      <c r="B393" s="15"/>
    </row>
    <row r="394" spans="2:2" ht="12.75" x14ac:dyDescent="0.2">
      <c r="B394" s="15"/>
    </row>
    <row r="395" spans="2:2" ht="12.75" x14ac:dyDescent="0.2">
      <c r="B395" s="15"/>
    </row>
    <row r="396" spans="2:2" ht="12.75" x14ac:dyDescent="0.2">
      <c r="B396" s="15"/>
    </row>
    <row r="397" spans="2:2" ht="12.75" x14ac:dyDescent="0.2">
      <c r="B397" s="15"/>
    </row>
    <row r="398" spans="2:2" ht="12.75" x14ac:dyDescent="0.2">
      <c r="B398" s="15"/>
    </row>
    <row r="399" spans="2:2" ht="12.75" x14ac:dyDescent="0.2">
      <c r="B399" s="15"/>
    </row>
    <row r="400" spans="2:2" ht="12.75" x14ac:dyDescent="0.2">
      <c r="B400" s="15"/>
    </row>
    <row r="401" spans="2:2" ht="12.75" x14ac:dyDescent="0.2">
      <c r="B401" s="15"/>
    </row>
    <row r="402" spans="2:2" ht="12.75" x14ac:dyDescent="0.2">
      <c r="B402" s="15"/>
    </row>
    <row r="403" spans="2:2" ht="12.75" x14ac:dyDescent="0.2">
      <c r="B403" s="15"/>
    </row>
    <row r="404" spans="2:2" ht="12.75" x14ac:dyDescent="0.2">
      <c r="B404" s="15"/>
    </row>
    <row r="405" spans="2:2" ht="12.75" x14ac:dyDescent="0.2">
      <c r="B405" s="15"/>
    </row>
    <row r="406" spans="2:2" ht="12.75" x14ac:dyDescent="0.2">
      <c r="B406" s="15"/>
    </row>
    <row r="407" spans="2:2" ht="12.75" x14ac:dyDescent="0.2">
      <c r="B407" s="15"/>
    </row>
    <row r="408" spans="2:2" ht="12.75" x14ac:dyDescent="0.2">
      <c r="B408" s="15"/>
    </row>
    <row r="409" spans="2:2" ht="12.75" x14ac:dyDescent="0.2">
      <c r="B409" s="15"/>
    </row>
    <row r="410" spans="2:2" ht="12.75" x14ac:dyDescent="0.2">
      <c r="B410" s="15"/>
    </row>
    <row r="411" spans="2:2" ht="12.75" x14ac:dyDescent="0.2">
      <c r="B411" s="15"/>
    </row>
    <row r="412" spans="2:2" ht="12.75" x14ac:dyDescent="0.2">
      <c r="B412" s="15"/>
    </row>
    <row r="413" spans="2:2" ht="12.75" x14ac:dyDescent="0.2">
      <c r="B413" s="15"/>
    </row>
    <row r="414" spans="2:2" ht="12.75" x14ac:dyDescent="0.2">
      <c r="B414" s="15"/>
    </row>
    <row r="415" spans="2:2" ht="12.75" x14ac:dyDescent="0.2">
      <c r="B415" s="15"/>
    </row>
    <row r="416" spans="2:2" ht="12.75" x14ac:dyDescent="0.2">
      <c r="B416" s="15"/>
    </row>
    <row r="417" spans="2:2" ht="12.75" x14ac:dyDescent="0.2">
      <c r="B417" s="15"/>
    </row>
    <row r="418" spans="2:2" ht="12.75" x14ac:dyDescent="0.2">
      <c r="B418" s="15"/>
    </row>
    <row r="419" spans="2:2" ht="12.75" x14ac:dyDescent="0.2">
      <c r="B419" s="15"/>
    </row>
    <row r="420" spans="2:2" ht="12.75" x14ac:dyDescent="0.2">
      <c r="B420" s="15"/>
    </row>
    <row r="421" spans="2:2" ht="12.75" x14ac:dyDescent="0.2">
      <c r="B421" s="15"/>
    </row>
    <row r="422" spans="2:2" ht="12.75" x14ac:dyDescent="0.2">
      <c r="B422" s="15"/>
    </row>
    <row r="423" spans="2:2" ht="12.75" x14ac:dyDescent="0.2">
      <c r="B423" s="15"/>
    </row>
    <row r="424" spans="2:2" ht="12.75" x14ac:dyDescent="0.2">
      <c r="B424" s="15"/>
    </row>
    <row r="425" spans="2:2" ht="12.75" x14ac:dyDescent="0.2">
      <c r="B425" s="15"/>
    </row>
    <row r="426" spans="2:2" ht="12.75" x14ac:dyDescent="0.2">
      <c r="B426" s="15"/>
    </row>
    <row r="427" spans="2:2" ht="12.75" x14ac:dyDescent="0.2">
      <c r="B427" s="15"/>
    </row>
    <row r="428" spans="2:2" ht="12.75" x14ac:dyDescent="0.2">
      <c r="B428" s="15"/>
    </row>
    <row r="429" spans="2:2" ht="12.75" x14ac:dyDescent="0.2">
      <c r="B429" s="15"/>
    </row>
    <row r="430" spans="2:2" ht="12.75" x14ac:dyDescent="0.2">
      <c r="B430" s="15"/>
    </row>
    <row r="431" spans="2:2" ht="12.75" x14ac:dyDescent="0.2">
      <c r="B431" s="15"/>
    </row>
    <row r="432" spans="2:2" ht="12.75" x14ac:dyDescent="0.2">
      <c r="B432" s="15"/>
    </row>
    <row r="433" spans="2:2" ht="12.75" x14ac:dyDescent="0.2">
      <c r="B433" s="15"/>
    </row>
    <row r="434" spans="2:2" ht="12.75" x14ac:dyDescent="0.2">
      <c r="B434" s="15"/>
    </row>
    <row r="435" spans="2:2" ht="12.75" x14ac:dyDescent="0.2">
      <c r="B435" s="15"/>
    </row>
    <row r="436" spans="2:2" ht="12.75" x14ac:dyDescent="0.2">
      <c r="B436" s="15"/>
    </row>
    <row r="437" spans="2:2" ht="12.75" x14ac:dyDescent="0.2">
      <c r="B437" s="15"/>
    </row>
    <row r="438" spans="2:2" ht="12.75" x14ac:dyDescent="0.2">
      <c r="B438" s="15"/>
    </row>
    <row r="439" spans="2:2" ht="12.75" x14ac:dyDescent="0.2">
      <c r="B439" s="15"/>
    </row>
    <row r="440" spans="2:2" ht="12.75" x14ac:dyDescent="0.2">
      <c r="B440" s="15"/>
    </row>
    <row r="441" spans="2:2" ht="12.75" x14ac:dyDescent="0.2">
      <c r="B441" s="15"/>
    </row>
    <row r="442" spans="2:2" ht="12.75" x14ac:dyDescent="0.2">
      <c r="B442" s="15"/>
    </row>
    <row r="443" spans="2:2" ht="12.75" x14ac:dyDescent="0.2">
      <c r="B443" s="15"/>
    </row>
    <row r="444" spans="2:2" ht="12.75" x14ac:dyDescent="0.2">
      <c r="B444" s="15"/>
    </row>
    <row r="445" spans="2:2" ht="12.75" x14ac:dyDescent="0.2">
      <c r="B445" s="15"/>
    </row>
    <row r="446" spans="2:2" ht="12.75" x14ac:dyDescent="0.2">
      <c r="B446" s="15"/>
    </row>
    <row r="447" spans="2:2" ht="12.75" x14ac:dyDescent="0.2">
      <c r="B447" s="15"/>
    </row>
    <row r="448" spans="2:2" ht="12.75" x14ac:dyDescent="0.2">
      <c r="B448" s="15"/>
    </row>
    <row r="449" spans="2:2" ht="12.75" x14ac:dyDescent="0.2">
      <c r="B449" s="15"/>
    </row>
    <row r="450" spans="2:2" ht="12.75" x14ac:dyDescent="0.2">
      <c r="B450" s="15"/>
    </row>
    <row r="451" spans="2:2" ht="12.75" x14ac:dyDescent="0.2">
      <c r="B451" s="15"/>
    </row>
    <row r="452" spans="2:2" ht="12.75" x14ac:dyDescent="0.2">
      <c r="B452" s="15"/>
    </row>
    <row r="453" spans="2:2" ht="12.75" x14ac:dyDescent="0.2">
      <c r="B453" s="15"/>
    </row>
    <row r="454" spans="2:2" ht="12.75" x14ac:dyDescent="0.2">
      <c r="B454" s="15"/>
    </row>
    <row r="455" spans="2:2" ht="12.75" x14ac:dyDescent="0.2">
      <c r="B455" s="15"/>
    </row>
    <row r="456" spans="2:2" ht="12.75" x14ac:dyDescent="0.2">
      <c r="B456" s="15"/>
    </row>
    <row r="457" spans="2:2" ht="12.75" x14ac:dyDescent="0.2">
      <c r="B457" s="15"/>
    </row>
    <row r="458" spans="2:2" ht="12.75" x14ac:dyDescent="0.2">
      <c r="B458" s="15"/>
    </row>
    <row r="459" spans="2:2" ht="12.75" x14ac:dyDescent="0.2">
      <c r="B459" s="15"/>
    </row>
    <row r="460" spans="2:2" ht="12.75" x14ac:dyDescent="0.2">
      <c r="B460" s="15"/>
    </row>
    <row r="461" spans="2:2" ht="12.75" x14ac:dyDescent="0.2">
      <c r="B461" s="15"/>
    </row>
    <row r="462" spans="2:2" ht="12.75" x14ac:dyDescent="0.2">
      <c r="B462" s="15"/>
    </row>
    <row r="463" spans="2:2" ht="12.75" x14ac:dyDescent="0.2">
      <c r="B463" s="15"/>
    </row>
    <row r="464" spans="2:2" ht="12.75" x14ac:dyDescent="0.2">
      <c r="B464" s="15"/>
    </row>
    <row r="465" spans="2:2" ht="12.75" x14ac:dyDescent="0.2">
      <c r="B465" s="15"/>
    </row>
    <row r="466" spans="2:2" ht="12.75" x14ac:dyDescent="0.2">
      <c r="B466" s="15"/>
    </row>
    <row r="467" spans="2:2" ht="12.75" x14ac:dyDescent="0.2">
      <c r="B467" s="15"/>
    </row>
    <row r="468" spans="2:2" ht="12.75" x14ac:dyDescent="0.2">
      <c r="B468" s="15"/>
    </row>
    <row r="469" spans="2:2" ht="12.75" x14ac:dyDescent="0.2">
      <c r="B469" s="15"/>
    </row>
    <row r="470" spans="2:2" ht="12.75" x14ac:dyDescent="0.2">
      <c r="B470" s="15"/>
    </row>
    <row r="471" spans="2:2" ht="12.75" x14ac:dyDescent="0.2">
      <c r="B471" s="15"/>
    </row>
    <row r="472" spans="2:2" ht="12.75" x14ac:dyDescent="0.2">
      <c r="B472" s="15"/>
    </row>
    <row r="473" spans="2:2" ht="12.75" x14ac:dyDescent="0.2">
      <c r="B473" s="15"/>
    </row>
    <row r="474" spans="2:2" ht="12.75" x14ac:dyDescent="0.2">
      <c r="B474" s="15"/>
    </row>
    <row r="475" spans="2:2" ht="12.75" x14ac:dyDescent="0.2">
      <c r="B475" s="15"/>
    </row>
    <row r="476" spans="2:2" ht="12.75" x14ac:dyDescent="0.2">
      <c r="B476" s="15"/>
    </row>
    <row r="477" spans="2:2" ht="12.75" x14ac:dyDescent="0.2">
      <c r="B477" s="15"/>
    </row>
    <row r="478" spans="2:2" ht="12.75" x14ac:dyDescent="0.2">
      <c r="B478" s="15"/>
    </row>
    <row r="479" spans="2:2" ht="12.75" x14ac:dyDescent="0.2">
      <c r="B479" s="15"/>
    </row>
    <row r="480" spans="2:2" ht="12.75" x14ac:dyDescent="0.2">
      <c r="B480" s="15"/>
    </row>
    <row r="481" spans="2:2" ht="12.75" x14ac:dyDescent="0.2">
      <c r="B481" s="15"/>
    </row>
    <row r="482" spans="2:2" ht="12.75" x14ac:dyDescent="0.2">
      <c r="B482" s="15"/>
    </row>
    <row r="483" spans="2:2" ht="12.75" x14ac:dyDescent="0.2">
      <c r="B483" s="15"/>
    </row>
    <row r="484" spans="2:2" ht="12.75" x14ac:dyDescent="0.2">
      <c r="B484" s="15"/>
    </row>
    <row r="485" spans="2:2" ht="12.75" x14ac:dyDescent="0.2">
      <c r="B485" s="15"/>
    </row>
    <row r="486" spans="2:2" ht="12.75" x14ac:dyDescent="0.2">
      <c r="B486" s="15"/>
    </row>
    <row r="487" spans="2:2" ht="12.75" x14ac:dyDescent="0.2">
      <c r="B487" s="15"/>
    </row>
    <row r="488" spans="2:2" ht="12.75" x14ac:dyDescent="0.2">
      <c r="B488" s="15"/>
    </row>
    <row r="489" spans="2:2" ht="12.75" x14ac:dyDescent="0.2">
      <c r="B489" s="15"/>
    </row>
    <row r="490" spans="2:2" ht="12.75" x14ac:dyDescent="0.2">
      <c r="B490" s="15"/>
    </row>
    <row r="491" spans="2:2" ht="12.75" x14ac:dyDescent="0.2">
      <c r="B491" s="15"/>
    </row>
    <row r="492" spans="2:2" ht="12.75" x14ac:dyDescent="0.2">
      <c r="B492" s="15"/>
    </row>
    <row r="493" spans="2:2" ht="12.75" x14ac:dyDescent="0.2">
      <c r="B493" s="15"/>
    </row>
    <row r="494" spans="2:2" ht="12.75" x14ac:dyDescent="0.2">
      <c r="B494" s="15"/>
    </row>
    <row r="495" spans="2:2" ht="12.75" x14ac:dyDescent="0.2">
      <c r="B495" s="15"/>
    </row>
    <row r="496" spans="2:2" ht="12.75" x14ac:dyDescent="0.2">
      <c r="B496" s="15"/>
    </row>
    <row r="497" spans="2:2" ht="12.75" x14ac:dyDescent="0.2">
      <c r="B497" s="15"/>
    </row>
    <row r="498" spans="2:2" ht="12.75" x14ac:dyDescent="0.2">
      <c r="B498" s="15"/>
    </row>
    <row r="499" spans="2:2" ht="12.75" x14ac:dyDescent="0.2">
      <c r="B499" s="15"/>
    </row>
    <row r="500" spans="2:2" ht="12.75" x14ac:dyDescent="0.2">
      <c r="B500" s="15"/>
    </row>
    <row r="501" spans="2:2" ht="12.75" x14ac:dyDescent="0.2">
      <c r="B501" s="15"/>
    </row>
    <row r="502" spans="2:2" ht="12.75" x14ac:dyDescent="0.2">
      <c r="B502" s="15"/>
    </row>
    <row r="503" spans="2:2" ht="12.75" x14ac:dyDescent="0.2">
      <c r="B503" s="15"/>
    </row>
    <row r="504" spans="2:2" ht="12.75" x14ac:dyDescent="0.2">
      <c r="B504" s="15"/>
    </row>
    <row r="505" spans="2:2" ht="12.75" x14ac:dyDescent="0.2">
      <c r="B505" s="15"/>
    </row>
    <row r="506" spans="2:2" ht="12.75" x14ac:dyDescent="0.2">
      <c r="B506" s="15"/>
    </row>
    <row r="507" spans="2:2" ht="12.75" x14ac:dyDescent="0.2">
      <c r="B507" s="15"/>
    </row>
    <row r="508" spans="2:2" ht="12.75" x14ac:dyDescent="0.2">
      <c r="B508" s="15"/>
    </row>
    <row r="509" spans="2:2" ht="12.75" x14ac:dyDescent="0.2">
      <c r="B509" s="15"/>
    </row>
    <row r="510" spans="2:2" ht="12.75" x14ac:dyDescent="0.2">
      <c r="B510" s="15"/>
    </row>
    <row r="511" spans="2:2" ht="12.75" x14ac:dyDescent="0.2">
      <c r="B511" s="15"/>
    </row>
    <row r="512" spans="2:2" ht="12.75" x14ac:dyDescent="0.2">
      <c r="B512" s="15"/>
    </row>
    <row r="513" spans="2:2" ht="12.75" x14ac:dyDescent="0.2">
      <c r="B513" s="15"/>
    </row>
    <row r="514" spans="2:2" ht="12.75" x14ac:dyDescent="0.2">
      <c r="B514" s="15"/>
    </row>
    <row r="515" spans="2:2" ht="12.75" x14ac:dyDescent="0.2">
      <c r="B515" s="15"/>
    </row>
    <row r="516" spans="2:2" ht="12.75" x14ac:dyDescent="0.2">
      <c r="B516" s="15"/>
    </row>
    <row r="517" spans="2:2" ht="12.75" x14ac:dyDescent="0.2">
      <c r="B517" s="15"/>
    </row>
    <row r="518" spans="2:2" ht="12.75" x14ac:dyDescent="0.2">
      <c r="B518" s="15"/>
    </row>
    <row r="519" spans="2:2" ht="12.75" x14ac:dyDescent="0.2">
      <c r="B519" s="15"/>
    </row>
    <row r="520" spans="2:2" ht="12.75" x14ac:dyDescent="0.2">
      <c r="B520" s="15"/>
    </row>
    <row r="521" spans="2:2" ht="12.75" x14ac:dyDescent="0.2">
      <c r="B521" s="15"/>
    </row>
    <row r="522" spans="2:2" ht="12.75" x14ac:dyDescent="0.2">
      <c r="B522" s="15"/>
    </row>
    <row r="523" spans="2:2" ht="12.75" x14ac:dyDescent="0.2">
      <c r="B523" s="15"/>
    </row>
    <row r="524" spans="2:2" ht="12.75" x14ac:dyDescent="0.2">
      <c r="B524" s="15"/>
    </row>
    <row r="525" spans="2:2" ht="12.75" x14ac:dyDescent="0.2">
      <c r="B525" s="15"/>
    </row>
    <row r="526" spans="2:2" ht="12.75" x14ac:dyDescent="0.2">
      <c r="B526" s="15"/>
    </row>
    <row r="527" spans="2:2" ht="12.75" x14ac:dyDescent="0.2">
      <c r="B527" s="15"/>
    </row>
    <row r="528" spans="2:2" ht="12.75" x14ac:dyDescent="0.2">
      <c r="B528" s="15"/>
    </row>
    <row r="529" spans="2:2" ht="12.75" x14ac:dyDescent="0.2">
      <c r="B529" s="15"/>
    </row>
    <row r="530" spans="2:2" ht="12.75" x14ac:dyDescent="0.2">
      <c r="B530" s="15"/>
    </row>
    <row r="531" spans="2:2" ht="12.75" x14ac:dyDescent="0.2">
      <c r="B531" s="15"/>
    </row>
    <row r="532" spans="2:2" ht="12.75" x14ac:dyDescent="0.2">
      <c r="B532" s="15"/>
    </row>
    <row r="533" spans="2:2" ht="12.75" x14ac:dyDescent="0.2">
      <c r="B533" s="15"/>
    </row>
    <row r="534" spans="2:2" ht="12.75" x14ac:dyDescent="0.2">
      <c r="B534" s="15"/>
    </row>
    <row r="535" spans="2:2" ht="12.75" x14ac:dyDescent="0.2">
      <c r="B535" s="15"/>
    </row>
    <row r="536" spans="2:2" ht="12.75" x14ac:dyDescent="0.2">
      <c r="B536" s="15"/>
    </row>
    <row r="537" spans="2:2" ht="12.75" x14ac:dyDescent="0.2">
      <c r="B537" s="15"/>
    </row>
    <row r="538" spans="2:2" ht="12.75" x14ac:dyDescent="0.2">
      <c r="B538" s="15"/>
    </row>
    <row r="539" spans="2:2" ht="12.75" x14ac:dyDescent="0.2">
      <c r="B539" s="15"/>
    </row>
    <row r="540" spans="2:2" ht="12.75" x14ac:dyDescent="0.2">
      <c r="B540" s="15"/>
    </row>
    <row r="541" spans="2:2" ht="12.75" x14ac:dyDescent="0.2">
      <c r="B541" s="15"/>
    </row>
    <row r="542" spans="2:2" ht="12.75" x14ac:dyDescent="0.2">
      <c r="B542" s="15"/>
    </row>
    <row r="543" spans="2:2" ht="12.75" x14ac:dyDescent="0.2">
      <c r="B543" s="15"/>
    </row>
    <row r="544" spans="2:2" ht="12.75" x14ac:dyDescent="0.2">
      <c r="B544" s="15"/>
    </row>
    <row r="545" spans="2:2" ht="12.75" x14ac:dyDescent="0.2">
      <c r="B545" s="15"/>
    </row>
    <row r="546" spans="2:2" ht="12.75" x14ac:dyDescent="0.2">
      <c r="B546" s="15"/>
    </row>
    <row r="547" spans="2:2" ht="12.75" x14ac:dyDescent="0.2">
      <c r="B547" s="15"/>
    </row>
    <row r="548" spans="2:2" ht="12.75" x14ac:dyDescent="0.2">
      <c r="B548" s="15"/>
    </row>
    <row r="549" spans="2:2" ht="12.75" x14ac:dyDescent="0.2">
      <c r="B549" s="15"/>
    </row>
    <row r="550" spans="2:2" ht="12.75" x14ac:dyDescent="0.2">
      <c r="B550" s="15"/>
    </row>
    <row r="551" spans="2:2" ht="12.75" x14ac:dyDescent="0.2">
      <c r="B551" s="15"/>
    </row>
    <row r="552" spans="2:2" ht="12.75" x14ac:dyDescent="0.2">
      <c r="B552" s="15"/>
    </row>
    <row r="553" spans="2:2" ht="12.75" x14ac:dyDescent="0.2">
      <c r="B553" s="15"/>
    </row>
    <row r="554" spans="2:2" ht="12.75" x14ac:dyDescent="0.2">
      <c r="B554" s="15"/>
    </row>
    <row r="555" spans="2:2" ht="12.75" x14ac:dyDescent="0.2">
      <c r="B555" s="15"/>
    </row>
    <row r="556" spans="2:2" ht="12.75" x14ac:dyDescent="0.2">
      <c r="B556" s="15"/>
    </row>
    <row r="557" spans="2:2" ht="12.75" x14ac:dyDescent="0.2">
      <c r="B557" s="15"/>
    </row>
    <row r="558" spans="2:2" ht="12.75" x14ac:dyDescent="0.2">
      <c r="B558" s="15"/>
    </row>
    <row r="559" spans="2:2" ht="12.75" x14ac:dyDescent="0.2">
      <c r="B559" s="15"/>
    </row>
    <row r="560" spans="2:2" ht="12.75" x14ac:dyDescent="0.2">
      <c r="B560" s="15"/>
    </row>
    <row r="561" spans="2:2" ht="12.75" x14ac:dyDescent="0.2">
      <c r="B561" s="15"/>
    </row>
    <row r="562" spans="2:2" ht="12.75" x14ac:dyDescent="0.2">
      <c r="B562" s="15"/>
    </row>
    <row r="563" spans="2:2" ht="12.75" x14ac:dyDescent="0.2">
      <c r="B563" s="15"/>
    </row>
    <row r="564" spans="2:2" ht="12.75" x14ac:dyDescent="0.2">
      <c r="B564" s="15"/>
    </row>
    <row r="565" spans="2:2" ht="12.75" x14ac:dyDescent="0.2">
      <c r="B565" s="15"/>
    </row>
    <row r="566" spans="2:2" ht="12.75" x14ac:dyDescent="0.2">
      <c r="B566" s="15"/>
    </row>
    <row r="567" spans="2:2" ht="12.75" x14ac:dyDescent="0.2">
      <c r="B567" s="15"/>
    </row>
    <row r="568" spans="2:2" ht="12.75" x14ac:dyDescent="0.2">
      <c r="B568" s="15"/>
    </row>
    <row r="569" spans="2:2" ht="12.75" x14ac:dyDescent="0.2">
      <c r="B569" s="15"/>
    </row>
    <row r="570" spans="2:2" ht="12.75" x14ac:dyDescent="0.2">
      <c r="B570" s="15"/>
    </row>
    <row r="571" spans="2:2" ht="12.75" x14ac:dyDescent="0.2">
      <c r="B571" s="15"/>
    </row>
    <row r="572" spans="2:2" ht="12.75" x14ac:dyDescent="0.2">
      <c r="B572" s="15"/>
    </row>
    <row r="573" spans="2:2" ht="12.75" x14ac:dyDescent="0.2">
      <c r="B573" s="15"/>
    </row>
    <row r="574" spans="2:2" ht="12.75" x14ac:dyDescent="0.2">
      <c r="B574" s="15"/>
    </row>
    <row r="575" spans="2:2" ht="12.75" x14ac:dyDescent="0.2">
      <c r="B575" s="15"/>
    </row>
    <row r="576" spans="2:2" ht="12.75" x14ac:dyDescent="0.2">
      <c r="B576" s="15"/>
    </row>
    <row r="577" spans="2:2" ht="12.75" x14ac:dyDescent="0.2">
      <c r="B577" s="15"/>
    </row>
    <row r="578" spans="2:2" ht="12.75" x14ac:dyDescent="0.2">
      <c r="B578" s="15"/>
    </row>
    <row r="579" spans="2:2" ht="12.75" x14ac:dyDescent="0.2">
      <c r="B579" s="15"/>
    </row>
    <row r="580" spans="2:2" ht="12.75" x14ac:dyDescent="0.2">
      <c r="B580" s="15"/>
    </row>
    <row r="581" spans="2:2" ht="12.75" x14ac:dyDescent="0.2">
      <c r="B581" s="15"/>
    </row>
    <row r="582" spans="2:2" ht="12.75" x14ac:dyDescent="0.2">
      <c r="B582" s="15"/>
    </row>
    <row r="583" spans="2:2" ht="12.75" x14ac:dyDescent="0.2">
      <c r="B583" s="15"/>
    </row>
    <row r="584" spans="2:2" ht="12.75" x14ac:dyDescent="0.2">
      <c r="B584" s="15"/>
    </row>
    <row r="585" spans="2:2" ht="12.75" x14ac:dyDescent="0.2">
      <c r="B585" s="15"/>
    </row>
    <row r="586" spans="2:2" ht="12.75" x14ac:dyDescent="0.2">
      <c r="B586" s="15"/>
    </row>
    <row r="587" spans="2:2" ht="12.75" x14ac:dyDescent="0.2">
      <c r="B587" s="15"/>
    </row>
    <row r="588" spans="2:2" ht="12.75" x14ac:dyDescent="0.2">
      <c r="B588" s="15"/>
    </row>
    <row r="589" spans="2:2" ht="12.75" x14ac:dyDescent="0.2">
      <c r="B589" s="15"/>
    </row>
    <row r="590" spans="2:2" ht="12.75" x14ac:dyDescent="0.2">
      <c r="B590" s="15"/>
    </row>
    <row r="591" spans="2:2" ht="12.75" x14ac:dyDescent="0.2">
      <c r="B591" s="15"/>
    </row>
    <row r="592" spans="2:2" ht="12.75" x14ac:dyDescent="0.2">
      <c r="B592" s="15"/>
    </row>
    <row r="593" spans="2:2" ht="12.75" x14ac:dyDescent="0.2">
      <c r="B593" s="15"/>
    </row>
    <row r="594" spans="2:2" ht="12.75" x14ac:dyDescent="0.2">
      <c r="B594" s="15"/>
    </row>
    <row r="595" spans="2:2" ht="12.75" x14ac:dyDescent="0.2">
      <c r="B595" s="15"/>
    </row>
    <row r="596" spans="2:2" ht="12.75" x14ac:dyDescent="0.2">
      <c r="B596" s="15"/>
    </row>
    <row r="597" spans="2:2" ht="12.75" x14ac:dyDescent="0.2">
      <c r="B597" s="15"/>
    </row>
    <row r="598" spans="2:2" ht="12.75" x14ac:dyDescent="0.2">
      <c r="B598" s="15"/>
    </row>
    <row r="599" spans="2:2" ht="12.75" x14ac:dyDescent="0.2">
      <c r="B599" s="15"/>
    </row>
    <row r="600" spans="2:2" ht="12.75" x14ac:dyDescent="0.2">
      <c r="B600" s="15"/>
    </row>
    <row r="601" spans="2:2" ht="12.75" x14ac:dyDescent="0.2">
      <c r="B601" s="15"/>
    </row>
    <row r="602" spans="2:2" ht="12.75" x14ac:dyDescent="0.2">
      <c r="B602" s="15"/>
    </row>
    <row r="603" spans="2:2" ht="12.75" x14ac:dyDescent="0.2">
      <c r="B603" s="15"/>
    </row>
    <row r="604" spans="2:2" ht="12.75" x14ac:dyDescent="0.2">
      <c r="B604" s="15"/>
    </row>
    <row r="605" spans="2:2" ht="12.75" x14ac:dyDescent="0.2">
      <c r="B605" s="15"/>
    </row>
    <row r="606" spans="2:2" ht="12.75" x14ac:dyDescent="0.2">
      <c r="B606" s="15"/>
    </row>
    <row r="607" spans="2:2" ht="12.75" x14ac:dyDescent="0.2">
      <c r="B607" s="15"/>
    </row>
    <row r="608" spans="2:2" ht="12.75" x14ac:dyDescent="0.2">
      <c r="B608" s="15"/>
    </row>
    <row r="609" spans="2:2" ht="12.75" x14ac:dyDescent="0.2">
      <c r="B609" s="15"/>
    </row>
    <row r="610" spans="2:2" ht="12.75" x14ac:dyDescent="0.2">
      <c r="B610" s="15"/>
    </row>
    <row r="611" spans="2:2" ht="12.75" x14ac:dyDescent="0.2">
      <c r="B611" s="15"/>
    </row>
    <row r="612" spans="2:2" ht="12.75" x14ac:dyDescent="0.2">
      <c r="B612" s="15"/>
    </row>
    <row r="613" spans="2:2" ht="12.75" x14ac:dyDescent="0.2">
      <c r="B613" s="15"/>
    </row>
    <row r="614" spans="2:2" ht="12.75" x14ac:dyDescent="0.2">
      <c r="B614" s="15"/>
    </row>
    <row r="615" spans="2:2" ht="12.75" x14ac:dyDescent="0.2">
      <c r="B615" s="15"/>
    </row>
    <row r="616" spans="2:2" ht="12.75" x14ac:dyDescent="0.2">
      <c r="B616" s="15"/>
    </row>
    <row r="617" spans="2:2" ht="12.75" x14ac:dyDescent="0.2">
      <c r="B617" s="15"/>
    </row>
    <row r="618" spans="2:2" ht="12.75" x14ac:dyDescent="0.2">
      <c r="B618" s="15"/>
    </row>
    <row r="619" spans="2:2" ht="12.75" x14ac:dyDescent="0.2">
      <c r="B619" s="15"/>
    </row>
    <row r="620" spans="2:2" ht="12.75" x14ac:dyDescent="0.2">
      <c r="B620" s="15"/>
    </row>
    <row r="621" spans="2:2" ht="12.75" x14ac:dyDescent="0.2">
      <c r="B621" s="15"/>
    </row>
    <row r="622" spans="2:2" ht="12.75" x14ac:dyDescent="0.2">
      <c r="B622" s="15"/>
    </row>
    <row r="623" spans="2:2" ht="12.75" x14ac:dyDescent="0.2">
      <c r="B623" s="15"/>
    </row>
    <row r="624" spans="2:2" ht="12.75" x14ac:dyDescent="0.2">
      <c r="B624" s="15"/>
    </row>
    <row r="625" spans="2:2" ht="12.75" x14ac:dyDescent="0.2">
      <c r="B625" s="15"/>
    </row>
    <row r="626" spans="2:2" ht="12.75" x14ac:dyDescent="0.2">
      <c r="B626" s="15"/>
    </row>
    <row r="627" spans="2:2" ht="12.75" x14ac:dyDescent="0.2">
      <c r="B627" s="15"/>
    </row>
    <row r="628" spans="2:2" ht="12.75" x14ac:dyDescent="0.2">
      <c r="B628" s="15"/>
    </row>
    <row r="629" spans="2:2" ht="12.75" x14ac:dyDescent="0.2">
      <c r="B629" s="15"/>
    </row>
    <row r="630" spans="2:2" ht="12.75" x14ac:dyDescent="0.2">
      <c r="B630" s="15"/>
    </row>
    <row r="631" spans="2:2" ht="12.75" x14ac:dyDescent="0.2">
      <c r="B631" s="15"/>
    </row>
    <row r="632" spans="2:2" ht="12.75" x14ac:dyDescent="0.2">
      <c r="B632" s="15"/>
    </row>
    <row r="633" spans="2:2" ht="12.75" x14ac:dyDescent="0.2">
      <c r="B633" s="15"/>
    </row>
    <row r="634" spans="2:2" ht="12.75" x14ac:dyDescent="0.2">
      <c r="B634" s="15"/>
    </row>
    <row r="635" spans="2:2" ht="12.75" x14ac:dyDescent="0.2">
      <c r="B635" s="15"/>
    </row>
    <row r="636" spans="2:2" ht="12.75" x14ac:dyDescent="0.2">
      <c r="B636" s="15"/>
    </row>
    <row r="637" spans="2:2" ht="12.75" x14ac:dyDescent="0.2">
      <c r="B637" s="15"/>
    </row>
    <row r="638" spans="2:2" ht="12.75" x14ac:dyDescent="0.2">
      <c r="B638" s="15"/>
    </row>
    <row r="639" spans="2:2" ht="12.75" x14ac:dyDescent="0.2">
      <c r="B639" s="15"/>
    </row>
    <row r="640" spans="2:2" ht="12.75" x14ac:dyDescent="0.2">
      <c r="B640" s="15"/>
    </row>
    <row r="641" spans="2:2" ht="12.75" x14ac:dyDescent="0.2">
      <c r="B641" s="15"/>
    </row>
    <row r="642" spans="2:2" ht="12.75" x14ac:dyDescent="0.2">
      <c r="B642" s="15"/>
    </row>
    <row r="643" spans="2:2" ht="12.75" x14ac:dyDescent="0.2">
      <c r="B643" s="15"/>
    </row>
    <row r="644" spans="2:2" ht="12.75" x14ac:dyDescent="0.2">
      <c r="B644" s="15"/>
    </row>
    <row r="645" spans="2:2" ht="12.75" x14ac:dyDescent="0.2">
      <c r="B645" s="15"/>
    </row>
    <row r="646" spans="2:2" ht="12.75" x14ac:dyDescent="0.2">
      <c r="B646" s="15"/>
    </row>
    <row r="647" spans="2:2" ht="12.75" x14ac:dyDescent="0.2">
      <c r="B647" s="15"/>
    </row>
    <row r="648" spans="2:2" ht="12.75" x14ac:dyDescent="0.2">
      <c r="B648" s="15"/>
    </row>
    <row r="649" spans="2:2" ht="12.75" x14ac:dyDescent="0.2">
      <c r="B649" s="15"/>
    </row>
    <row r="650" spans="2:2" ht="12.75" x14ac:dyDescent="0.2">
      <c r="B650" s="15"/>
    </row>
    <row r="651" spans="2:2" ht="12.75" x14ac:dyDescent="0.2">
      <c r="B651" s="15"/>
    </row>
    <row r="652" spans="2:2" ht="12.75" x14ac:dyDescent="0.2">
      <c r="B652" s="15"/>
    </row>
    <row r="653" spans="2:2" ht="12.75" x14ac:dyDescent="0.2">
      <c r="B653" s="15"/>
    </row>
    <row r="654" spans="2:2" ht="12.75" x14ac:dyDescent="0.2">
      <c r="B654" s="15"/>
    </row>
    <row r="655" spans="2:2" ht="12.75" x14ac:dyDescent="0.2">
      <c r="B655" s="15"/>
    </row>
    <row r="656" spans="2:2" ht="12.75" x14ac:dyDescent="0.2">
      <c r="B656" s="15"/>
    </row>
    <row r="657" spans="2:2" ht="12.75" x14ac:dyDescent="0.2">
      <c r="B657" s="15"/>
    </row>
    <row r="658" spans="2:2" ht="12.75" x14ac:dyDescent="0.2">
      <c r="B658" s="15"/>
    </row>
    <row r="659" spans="2:2" ht="12.75" x14ac:dyDescent="0.2">
      <c r="B659" s="15"/>
    </row>
    <row r="660" spans="2:2" ht="12.75" x14ac:dyDescent="0.2">
      <c r="B660" s="15"/>
    </row>
    <row r="661" spans="2:2" ht="12.75" x14ac:dyDescent="0.2">
      <c r="B661" s="15"/>
    </row>
    <row r="662" spans="2:2" ht="12.75" x14ac:dyDescent="0.2">
      <c r="B662" s="15"/>
    </row>
    <row r="663" spans="2:2" ht="12.75" x14ac:dyDescent="0.2">
      <c r="B663" s="15"/>
    </row>
    <row r="664" spans="2:2" ht="12.75" x14ac:dyDescent="0.2">
      <c r="B664" s="15"/>
    </row>
    <row r="665" spans="2:2" ht="12.75" x14ac:dyDescent="0.2">
      <c r="B665" s="15"/>
    </row>
    <row r="666" spans="2:2" ht="12.75" x14ac:dyDescent="0.2">
      <c r="B666" s="15"/>
    </row>
    <row r="667" spans="2:2" ht="12.75" x14ac:dyDescent="0.2">
      <c r="B667" s="15"/>
    </row>
    <row r="668" spans="2:2" ht="12.75" x14ac:dyDescent="0.2">
      <c r="B668" s="15"/>
    </row>
    <row r="669" spans="2:2" ht="12.75" x14ac:dyDescent="0.2">
      <c r="B669" s="15"/>
    </row>
    <row r="670" spans="2:2" ht="12.75" x14ac:dyDescent="0.2">
      <c r="B670" s="15"/>
    </row>
    <row r="671" spans="2:2" ht="12.75" x14ac:dyDescent="0.2">
      <c r="B671" s="15"/>
    </row>
    <row r="672" spans="2:2" ht="12.75" x14ac:dyDescent="0.2">
      <c r="B672" s="15"/>
    </row>
    <row r="673" spans="2:2" ht="12.75" x14ac:dyDescent="0.2">
      <c r="B673" s="15"/>
    </row>
    <row r="674" spans="2:2" ht="12.75" x14ac:dyDescent="0.2">
      <c r="B674" s="15"/>
    </row>
    <row r="675" spans="2:2" ht="12.75" x14ac:dyDescent="0.2">
      <c r="B675" s="15"/>
    </row>
    <row r="676" spans="2:2" ht="12.75" x14ac:dyDescent="0.2">
      <c r="B676" s="15"/>
    </row>
    <row r="677" spans="2:2" ht="12.75" x14ac:dyDescent="0.2">
      <c r="B677" s="15"/>
    </row>
    <row r="678" spans="2:2" ht="12.75" x14ac:dyDescent="0.2">
      <c r="B678" s="15"/>
    </row>
    <row r="679" spans="2:2" ht="12.75" x14ac:dyDescent="0.2">
      <c r="B679" s="15"/>
    </row>
    <row r="680" spans="2:2" ht="12.75" x14ac:dyDescent="0.2">
      <c r="B680" s="15"/>
    </row>
    <row r="681" spans="2:2" ht="12.75" x14ac:dyDescent="0.2">
      <c r="B681" s="15"/>
    </row>
    <row r="682" spans="2:2" ht="12.75" x14ac:dyDescent="0.2">
      <c r="B682" s="15"/>
    </row>
    <row r="683" spans="2:2" ht="12.75" x14ac:dyDescent="0.2">
      <c r="B683" s="15"/>
    </row>
    <row r="684" spans="2:2" ht="12.75" x14ac:dyDescent="0.2">
      <c r="B684" s="15"/>
    </row>
    <row r="685" spans="2:2" ht="12.75" x14ac:dyDescent="0.2">
      <c r="B685" s="15"/>
    </row>
    <row r="686" spans="2:2" ht="12.75" x14ac:dyDescent="0.2">
      <c r="B686" s="15"/>
    </row>
    <row r="687" spans="2:2" ht="12.75" x14ac:dyDescent="0.2">
      <c r="B687" s="15"/>
    </row>
    <row r="688" spans="2:2" ht="12.75" x14ac:dyDescent="0.2">
      <c r="B688" s="15"/>
    </row>
    <row r="689" spans="2:2" ht="12.75" x14ac:dyDescent="0.2">
      <c r="B689" s="15"/>
    </row>
    <row r="690" spans="2:2" ht="12.75" x14ac:dyDescent="0.2">
      <c r="B690" s="15"/>
    </row>
    <row r="691" spans="2:2" ht="12.75" x14ac:dyDescent="0.2">
      <c r="B691" s="15"/>
    </row>
    <row r="692" spans="2:2" ht="12.75" x14ac:dyDescent="0.2">
      <c r="B692" s="15"/>
    </row>
    <row r="693" spans="2:2" ht="12.75" x14ac:dyDescent="0.2">
      <c r="B693" s="15"/>
    </row>
    <row r="694" spans="2:2" ht="12.75" x14ac:dyDescent="0.2">
      <c r="B694" s="15"/>
    </row>
    <row r="695" spans="2:2" ht="12.75" x14ac:dyDescent="0.2">
      <c r="B695" s="15"/>
    </row>
    <row r="696" spans="2:2" ht="12.75" x14ac:dyDescent="0.2">
      <c r="B696" s="15"/>
    </row>
    <row r="697" spans="2:2" ht="12.75" x14ac:dyDescent="0.2">
      <c r="B697" s="15"/>
    </row>
    <row r="698" spans="2:2" ht="12.75" x14ac:dyDescent="0.2">
      <c r="B698" s="15"/>
    </row>
    <row r="699" spans="2:2" ht="12.75" x14ac:dyDescent="0.2">
      <c r="B699" s="15"/>
    </row>
    <row r="700" spans="2:2" ht="12.75" x14ac:dyDescent="0.2">
      <c r="B700" s="15"/>
    </row>
    <row r="701" spans="2:2" ht="12.75" x14ac:dyDescent="0.2">
      <c r="B701" s="15"/>
    </row>
    <row r="702" spans="2:2" ht="12.75" x14ac:dyDescent="0.2">
      <c r="B702" s="15"/>
    </row>
    <row r="703" spans="2:2" ht="12.75" x14ac:dyDescent="0.2">
      <c r="B703" s="15"/>
    </row>
    <row r="704" spans="2:2" ht="12.75" x14ac:dyDescent="0.2">
      <c r="B704" s="15"/>
    </row>
    <row r="705" spans="2:2" ht="12.75" x14ac:dyDescent="0.2">
      <c r="B705" s="15"/>
    </row>
    <row r="706" spans="2:2" ht="12.75" x14ac:dyDescent="0.2">
      <c r="B706" s="15"/>
    </row>
    <row r="707" spans="2:2" ht="12.75" x14ac:dyDescent="0.2">
      <c r="B707" s="15"/>
    </row>
    <row r="708" spans="2:2" ht="12.75" x14ac:dyDescent="0.2">
      <c r="B708" s="15"/>
    </row>
    <row r="709" spans="2:2" ht="12.75" x14ac:dyDescent="0.2">
      <c r="B709" s="15"/>
    </row>
    <row r="710" spans="2:2" ht="12.75" x14ac:dyDescent="0.2">
      <c r="B710" s="15"/>
    </row>
    <row r="711" spans="2:2" ht="12.75" x14ac:dyDescent="0.2">
      <c r="B711" s="15"/>
    </row>
    <row r="712" spans="2:2" ht="12.75" x14ac:dyDescent="0.2">
      <c r="B712" s="15"/>
    </row>
    <row r="713" spans="2:2" ht="12.75" x14ac:dyDescent="0.2">
      <c r="B713" s="15"/>
    </row>
    <row r="714" spans="2:2" ht="12.75" x14ac:dyDescent="0.2">
      <c r="B714" s="15"/>
    </row>
    <row r="715" spans="2:2" ht="12.75" x14ac:dyDescent="0.2">
      <c r="B715" s="15"/>
    </row>
    <row r="716" spans="2:2" ht="12.75" x14ac:dyDescent="0.2">
      <c r="B716" s="15"/>
    </row>
    <row r="717" spans="2:2" ht="12.75" x14ac:dyDescent="0.2">
      <c r="B717" s="15"/>
    </row>
    <row r="718" spans="2:2" ht="12.75" x14ac:dyDescent="0.2">
      <c r="B718" s="15"/>
    </row>
    <row r="719" spans="2:2" ht="12.75" x14ac:dyDescent="0.2">
      <c r="B719" s="15"/>
    </row>
    <row r="720" spans="2:2" ht="12.75" x14ac:dyDescent="0.2">
      <c r="B720" s="15"/>
    </row>
    <row r="721" spans="2:2" ht="12.75" x14ac:dyDescent="0.2">
      <c r="B721" s="15"/>
    </row>
    <row r="722" spans="2:2" ht="12.75" x14ac:dyDescent="0.2">
      <c r="B722" s="15"/>
    </row>
    <row r="723" spans="2:2" ht="12.75" x14ac:dyDescent="0.2">
      <c r="B723" s="15"/>
    </row>
    <row r="724" spans="2:2" ht="12.75" x14ac:dyDescent="0.2">
      <c r="B724" s="15"/>
    </row>
    <row r="725" spans="2:2" ht="12.75" x14ac:dyDescent="0.2">
      <c r="B725" s="15"/>
    </row>
    <row r="726" spans="2:2" ht="12.75" x14ac:dyDescent="0.2">
      <c r="B726" s="15"/>
    </row>
    <row r="727" spans="2:2" ht="12.75" x14ac:dyDescent="0.2">
      <c r="B727" s="15"/>
    </row>
    <row r="728" spans="2:2" ht="12.75" x14ac:dyDescent="0.2">
      <c r="B728" s="15"/>
    </row>
    <row r="729" spans="2:2" ht="12.75" x14ac:dyDescent="0.2">
      <c r="B729" s="15"/>
    </row>
    <row r="730" spans="2:2" ht="12.75" x14ac:dyDescent="0.2">
      <c r="B730" s="15"/>
    </row>
    <row r="731" spans="2:2" ht="12.75" x14ac:dyDescent="0.2">
      <c r="B731" s="15"/>
    </row>
    <row r="732" spans="2:2" ht="12.75" x14ac:dyDescent="0.2">
      <c r="B732" s="15"/>
    </row>
    <row r="733" spans="2:2" ht="12.75" x14ac:dyDescent="0.2">
      <c r="B733" s="15"/>
    </row>
    <row r="734" spans="2:2" ht="12.75" x14ac:dyDescent="0.2">
      <c r="B734" s="15"/>
    </row>
    <row r="735" spans="2:2" ht="12.75" x14ac:dyDescent="0.2">
      <c r="B735" s="15"/>
    </row>
    <row r="736" spans="2:2" ht="12.75" x14ac:dyDescent="0.2">
      <c r="B736" s="15"/>
    </row>
    <row r="737" spans="2:2" ht="12.75" x14ac:dyDescent="0.2">
      <c r="B737" s="15"/>
    </row>
    <row r="738" spans="2:2" ht="12.75" x14ac:dyDescent="0.2">
      <c r="B738" s="15"/>
    </row>
    <row r="739" spans="2:2" ht="12.75" x14ac:dyDescent="0.2">
      <c r="B739" s="15"/>
    </row>
    <row r="740" spans="2:2" ht="12.75" x14ac:dyDescent="0.2">
      <c r="B740" s="15"/>
    </row>
    <row r="741" spans="2:2" ht="12.75" x14ac:dyDescent="0.2">
      <c r="B741" s="15"/>
    </row>
    <row r="742" spans="2:2" ht="12.75" x14ac:dyDescent="0.2">
      <c r="B742" s="15"/>
    </row>
    <row r="743" spans="2:2" ht="12.75" x14ac:dyDescent="0.2">
      <c r="B743" s="15"/>
    </row>
    <row r="744" spans="2:2" ht="12.75" x14ac:dyDescent="0.2">
      <c r="B744" s="15"/>
    </row>
    <row r="745" spans="2:2" ht="12.75" x14ac:dyDescent="0.2">
      <c r="B745" s="15"/>
    </row>
    <row r="746" spans="2:2" ht="12.75" x14ac:dyDescent="0.2">
      <c r="B746" s="15"/>
    </row>
    <row r="747" spans="2:2" ht="12.75" x14ac:dyDescent="0.2">
      <c r="B747" s="15"/>
    </row>
    <row r="748" spans="2:2" ht="12.75" x14ac:dyDescent="0.2">
      <c r="B748" s="15"/>
    </row>
    <row r="749" spans="2:2" ht="12.75" x14ac:dyDescent="0.2">
      <c r="B749" s="15"/>
    </row>
    <row r="750" spans="2:2" ht="12.75" x14ac:dyDescent="0.2">
      <c r="B750" s="15"/>
    </row>
    <row r="751" spans="2:2" ht="12.75" x14ac:dyDescent="0.2">
      <c r="B751" s="15"/>
    </row>
    <row r="752" spans="2:2" ht="12.75" x14ac:dyDescent="0.2">
      <c r="B752" s="15"/>
    </row>
    <row r="753" spans="2:2" ht="12.75" x14ac:dyDescent="0.2">
      <c r="B753" s="15"/>
    </row>
    <row r="754" spans="2:2" ht="12.75" x14ac:dyDescent="0.2">
      <c r="B754" s="15"/>
    </row>
    <row r="755" spans="2:2" ht="12.75" x14ac:dyDescent="0.2">
      <c r="B755" s="15"/>
    </row>
    <row r="756" spans="2:2" ht="12.75" x14ac:dyDescent="0.2">
      <c r="B756" s="15"/>
    </row>
    <row r="757" spans="2:2" ht="12.75" x14ac:dyDescent="0.2">
      <c r="B757" s="15"/>
    </row>
    <row r="758" spans="2:2" ht="12.75" x14ac:dyDescent="0.2">
      <c r="B758" s="15"/>
    </row>
    <row r="759" spans="2:2" ht="12.75" x14ac:dyDescent="0.2">
      <c r="B759" s="15"/>
    </row>
    <row r="760" spans="2:2" ht="12.75" x14ac:dyDescent="0.2">
      <c r="B760" s="15"/>
    </row>
    <row r="761" spans="2:2" ht="12.75" x14ac:dyDescent="0.2">
      <c r="B761" s="15"/>
    </row>
    <row r="762" spans="2:2" ht="12.75" x14ac:dyDescent="0.2">
      <c r="B762" s="15"/>
    </row>
    <row r="763" spans="2:2" ht="12.75" x14ac:dyDescent="0.2">
      <c r="B763" s="15"/>
    </row>
    <row r="764" spans="2:2" ht="12.75" x14ac:dyDescent="0.2">
      <c r="B764" s="15"/>
    </row>
    <row r="765" spans="2:2" ht="12.75" x14ac:dyDescent="0.2">
      <c r="B765" s="15"/>
    </row>
    <row r="766" spans="2:2" ht="12.75" x14ac:dyDescent="0.2">
      <c r="B766" s="15"/>
    </row>
    <row r="767" spans="2:2" ht="12.75" x14ac:dyDescent="0.2">
      <c r="B767" s="15"/>
    </row>
    <row r="768" spans="2:2" ht="12.75" x14ac:dyDescent="0.2">
      <c r="B768" s="15"/>
    </row>
    <row r="769" spans="2:2" ht="12.75" x14ac:dyDescent="0.2">
      <c r="B769" s="15"/>
    </row>
    <row r="770" spans="2:2" ht="12.75" x14ac:dyDescent="0.2">
      <c r="B770" s="15"/>
    </row>
    <row r="771" spans="2:2" ht="12.75" x14ac:dyDescent="0.2">
      <c r="B771" s="15"/>
    </row>
    <row r="772" spans="2:2" ht="12.75" x14ac:dyDescent="0.2">
      <c r="B772" s="15"/>
    </row>
    <row r="773" spans="2:2" ht="12.75" x14ac:dyDescent="0.2">
      <c r="B773" s="15"/>
    </row>
    <row r="774" spans="2:2" ht="12.75" x14ac:dyDescent="0.2">
      <c r="B774" s="15"/>
    </row>
    <row r="775" spans="2:2" ht="12.75" x14ac:dyDescent="0.2">
      <c r="B775" s="15"/>
    </row>
    <row r="776" spans="2:2" ht="12.75" x14ac:dyDescent="0.2">
      <c r="B776" s="15"/>
    </row>
    <row r="777" spans="2:2" ht="12.75" x14ac:dyDescent="0.2">
      <c r="B777" s="15"/>
    </row>
    <row r="778" spans="2:2" ht="12.75" x14ac:dyDescent="0.2">
      <c r="B778" s="15"/>
    </row>
    <row r="779" spans="2:2" ht="12.75" x14ac:dyDescent="0.2">
      <c r="B779" s="15"/>
    </row>
    <row r="780" spans="2:2" ht="12.75" x14ac:dyDescent="0.2">
      <c r="B780" s="15"/>
    </row>
    <row r="781" spans="2:2" ht="12.75" x14ac:dyDescent="0.2">
      <c r="B781" s="15"/>
    </row>
    <row r="782" spans="2:2" ht="12.75" x14ac:dyDescent="0.2">
      <c r="B782" s="15"/>
    </row>
    <row r="783" spans="2:2" ht="12.75" x14ac:dyDescent="0.2">
      <c r="B783" s="15"/>
    </row>
    <row r="784" spans="2:2" ht="12.75" x14ac:dyDescent="0.2">
      <c r="B784" s="15"/>
    </row>
    <row r="785" spans="2:2" ht="12.75" x14ac:dyDescent="0.2">
      <c r="B785" s="15"/>
    </row>
    <row r="786" spans="2:2" ht="12.75" x14ac:dyDescent="0.2">
      <c r="B786" s="15"/>
    </row>
    <row r="787" spans="2:2" ht="12.75" x14ac:dyDescent="0.2">
      <c r="B787" s="15"/>
    </row>
    <row r="788" spans="2:2" ht="12.75" x14ac:dyDescent="0.2">
      <c r="B788" s="15"/>
    </row>
    <row r="789" spans="2:2" ht="12.75" x14ac:dyDescent="0.2">
      <c r="B789" s="15"/>
    </row>
    <row r="790" spans="2:2" ht="12.75" x14ac:dyDescent="0.2">
      <c r="B790" s="15"/>
    </row>
    <row r="791" spans="2:2" ht="12.75" x14ac:dyDescent="0.2">
      <c r="B791" s="15"/>
    </row>
    <row r="792" spans="2:2" ht="12.75" x14ac:dyDescent="0.2">
      <c r="B792" s="15"/>
    </row>
    <row r="793" spans="2:2" ht="12.75" x14ac:dyDescent="0.2">
      <c r="B793" s="15"/>
    </row>
    <row r="794" spans="2:2" ht="12.75" x14ac:dyDescent="0.2">
      <c r="B794" s="15"/>
    </row>
    <row r="795" spans="2:2" ht="12.75" x14ac:dyDescent="0.2">
      <c r="B795" s="15"/>
    </row>
    <row r="796" spans="2:2" ht="12.75" x14ac:dyDescent="0.2">
      <c r="B796" s="15"/>
    </row>
    <row r="797" spans="2:2" ht="12.75" x14ac:dyDescent="0.2">
      <c r="B797" s="15"/>
    </row>
    <row r="798" spans="2:2" ht="12.75" x14ac:dyDescent="0.2">
      <c r="B798" s="15"/>
    </row>
    <row r="799" spans="2:2" ht="12.75" x14ac:dyDescent="0.2">
      <c r="B799" s="15"/>
    </row>
    <row r="800" spans="2:2" ht="12.75" x14ac:dyDescent="0.2">
      <c r="B800" s="15"/>
    </row>
    <row r="801" spans="2:2" ht="12.75" x14ac:dyDescent="0.2">
      <c r="B801" s="15"/>
    </row>
    <row r="802" spans="2:2" ht="12.75" x14ac:dyDescent="0.2">
      <c r="B802" s="15"/>
    </row>
    <row r="803" spans="2:2" ht="12.75" x14ac:dyDescent="0.2">
      <c r="B803" s="15"/>
    </row>
    <row r="804" spans="2:2" ht="12.75" x14ac:dyDescent="0.2">
      <c r="B804" s="15"/>
    </row>
    <row r="805" spans="2:2" ht="12.75" x14ac:dyDescent="0.2">
      <c r="B805" s="15"/>
    </row>
    <row r="806" spans="2:2" ht="12.75" x14ac:dyDescent="0.2">
      <c r="B806" s="15"/>
    </row>
    <row r="807" spans="2:2" ht="12.75" x14ac:dyDescent="0.2">
      <c r="B807" s="15"/>
    </row>
    <row r="808" spans="2:2" ht="12.75" x14ac:dyDescent="0.2">
      <c r="B808" s="15"/>
    </row>
    <row r="809" spans="2:2" ht="12.75" x14ac:dyDescent="0.2">
      <c r="B809" s="15"/>
    </row>
    <row r="810" spans="2:2" ht="12.75" x14ac:dyDescent="0.2">
      <c r="B810" s="15"/>
    </row>
    <row r="811" spans="2:2" ht="12.75" x14ac:dyDescent="0.2">
      <c r="B811" s="15"/>
    </row>
    <row r="812" spans="2:2" ht="12.75" x14ac:dyDescent="0.2">
      <c r="B812" s="15"/>
    </row>
    <row r="813" spans="2:2" ht="12.75" x14ac:dyDescent="0.2">
      <c r="B813" s="15"/>
    </row>
    <row r="814" spans="2:2" ht="12.75" x14ac:dyDescent="0.2">
      <c r="B814" s="15"/>
    </row>
    <row r="815" spans="2:2" ht="12.75" x14ac:dyDescent="0.2">
      <c r="B815" s="15"/>
    </row>
    <row r="816" spans="2:2" ht="12.75" x14ac:dyDescent="0.2">
      <c r="B816" s="15"/>
    </row>
    <row r="817" spans="2:2" ht="12.75" x14ac:dyDescent="0.2">
      <c r="B817" s="15"/>
    </row>
    <row r="818" spans="2:2" ht="12.75" x14ac:dyDescent="0.2">
      <c r="B818" s="15"/>
    </row>
    <row r="819" spans="2:2" ht="12.75" x14ac:dyDescent="0.2">
      <c r="B819" s="15"/>
    </row>
    <row r="820" spans="2:2" ht="12.75" x14ac:dyDescent="0.2">
      <c r="B820" s="15"/>
    </row>
    <row r="821" spans="2:2" ht="12.75" x14ac:dyDescent="0.2">
      <c r="B821" s="15"/>
    </row>
    <row r="822" spans="2:2" ht="12.75" x14ac:dyDescent="0.2">
      <c r="B822" s="15"/>
    </row>
    <row r="823" spans="2:2" ht="12.75" x14ac:dyDescent="0.2">
      <c r="B823" s="15"/>
    </row>
    <row r="824" spans="2:2" ht="12.75" x14ac:dyDescent="0.2">
      <c r="B824" s="15"/>
    </row>
    <row r="825" spans="2:2" ht="12.75" x14ac:dyDescent="0.2">
      <c r="B825" s="15"/>
    </row>
    <row r="826" spans="2:2" ht="12.75" x14ac:dyDescent="0.2">
      <c r="B826" s="15"/>
    </row>
    <row r="827" spans="2:2" ht="12.75" x14ac:dyDescent="0.2">
      <c r="B827" s="15"/>
    </row>
    <row r="828" spans="2:2" ht="12.75" x14ac:dyDescent="0.2">
      <c r="B828" s="15"/>
    </row>
    <row r="829" spans="2:2" ht="12.75" x14ac:dyDescent="0.2">
      <c r="B829" s="15"/>
    </row>
    <row r="830" spans="2:2" ht="12.75" x14ac:dyDescent="0.2">
      <c r="B830" s="15"/>
    </row>
    <row r="831" spans="2:2" ht="12.75" x14ac:dyDescent="0.2">
      <c r="B831" s="15"/>
    </row>
    <row r="832" spans="2:2" ht="12.75" x14ac:dyDescent="0.2">
      <c r="B832" s="15"/>
    </row>
    <row r="833" spans="2:2" ht="12.75" x14ac:dyDescent="0.2">
      <c r="B833" s="15"/>
    </row>
    <row r="834" spans="2:2" ht="12.75" x14ac:dyDescent="0.2">
      <c r="B834" s="15"/>
    </row>
    <row r="835" spans="2:2" ht="12.75" x14ac:dyDescent="0.2">
      <c r="B835" s="15"/>
    </row>
    <row r="836" spans="2:2" ht="12.75" x14ac:dyDescent="0.2">
      <c r="B836" s="15"/>
    </row>
    <row r="837" spans="2:2" ht="12.75" x14ac:dyDescent="0.2">
      <c r="B837" s="15"/>
    </row>
    <row r="838" spans="2:2" ht="12.75" x14ac:dyDescent="0.2">
      <c r="B838" s="15"/>
    </row>
    <row r="839" spans="2:2" ht="12.75" x14ac:dyDescent="0.2">
      <c r="B839" s="15"/>
    </row>
    <row r="840" spans="2:2" ht="12.75" x14ac:dyDescent="0.2">
      <c r="B840" s="15"/>
    </row>
    <row r="841" spans="2:2" ht="12.75" x14ac:dyDescent="0.2">
      <c r="B841" s="15"/>
    </row>
    <row r="842" spans="2:2" ht="12.75" x14ac:dyDescent="0.2">
      <c r="B842" s="15"/>
    </row>
    <row r="843" spans="2:2" ht="12.75" x14ac:dyDescent="0.2">
      <c r="B843" s="15"/>
    </row>
    <row r="844" spans="2:2" ht="12.75" x14ac:dyDescent="0.2">
      <c r="B844" s="15"/>
    </row>
    <row r="845" spans="2:2" ht="12.75" x14ac:dyDescent="0.2">
      <c r="B845" s="15"/>
    </row>
    <row r="846" spans="2:2" ht="12.75" x14ac:dyDescent="0.2">
      <c r="B846" s="15"/>
    </row>
    <row r="847" spans="2:2" ht="12.75" x14ac:dyDescent="0.2">
      <c r="B847" s="15"/>
    </row>
    <row r="848" spans="2:2" ht="12.75" x14ac:dyDescent="0.2">
      <c r="B848" s="15"/>
    </row>
    <row r="849" spans="2:2" ht="12.75" x14ac:dyDescent="0.2">
      <c r="B849" s="15"/>
    </row>
    <row r="850" spans="2:2" ht="12.75" x14ac:dyDescent="0.2">
      <c r="B850" s="15"/>
    </row>
    <row r="851" spans="2:2" ht="12.75" x14ac:dyDescent="0.2">
      <c r="B851" s="15"/>
    </row>
    <row r="852" spans="2:2" ht="12.75" x14ac:dyDescent="0.2">
      <c r="B852" s="15"/>
    </row>
    <row r="853" spans="2:2" ht="12.75" x14ac:dyDescent="0.2">
      <c r="B853" s="15"/>
    </row>
    <row r="854" spans="2:2" ht="12.75" x14ac:dyDescent="0.2">
      <c r="B854" s="15"/>
    </row>
    <row r="855" spans="2:2" ht="12.75" x14ac:dyDescent="0.2">
      <c r="B855" s="15"/>
    </row>
    <row r="856" spans="2:2" ht="12.75" x14ac:dyDescent="0.2">
      <c r="B856" s="15"/>
    </row>
    <row r="857" spans="2:2" ht="12.75" x14ac:dyDescent="0.2">
      <c r="B857" s="15"/>
    </row>
    <row r="858" spans="2:2" ht="12.75" x14ac:dyDescent="0.2">
      <c r="B858" s="15"/>
    </row>
    <row r="859" spans="2:2" ht="12.75" x14ac:dyDescent="0.2">
      <c r="B859" s="15"/>
    </row>
    <row r="860" spans="2:2" ht="12.75" x14ac:dyDescent="0.2">
      <c r="B860" s="15"/>
    </row>
    <row r="861" spans="2:2" ht="12.75" x14ac:dyDescent="0.2">
      <c r="B861" s="15"/>
    </row>
    <row r="862" spans="2:2" ht="12.75" x14ac:dyDescent="0.2">
      <c r="B862" s="15"/>
    </row>
    <row r="863" spans="2:2" ht="12.75" x14ac:dyDescent="0.2">
      <c r="B863" s="15"/>
    </row>
    <row r="864" spans="2:2" ht="12.75" x14ac:dyDescent="0.2">
      <c r="B864" s="15"/>
    </row>
    <row r="865" spans="2:2" ht="12.75" x14ac:dyDescent="0.2">
      <c r="B865" s="15"/>
    </row>
    <row r="866" spans="2:2" ht="12.75" x14ac:dyDescent="0.2">
      <c r="B866" s="15"/>
    </row>
    <row r="867" spans="2:2" ht="12.75" x14ac:dyDescent="0.2">
      <c r="B867" s="15"/>
    </row>
    <row r="868" spans="2:2" ht="12.75" x14ac:dyDescent="0.2">
      <c r="B868" s="15"/>
    </row>
    <row r="869" spans="2:2" ht="12.75" x14ac:dyDescent="0.2">
      <c r="B869" s="15"/>
    </row>
    <row r="870" spans="2:2" ht="12.75" x14ac:dyDescent="0.2">
      <c r="B870" s="15"/>
    </row>
    <row r="871" spans="2:2" ht="12.75" x14ac:dyDescent="0.2">
      <c r="B871" s="15"/>
    </row>
    <row r="872" spans="2:2" ht="12.75" x14ac:dyDescent="0.2">
      <c r="B872" s="15"/>
    </row>
    <row r="873" spans="2:2" ht="12.75" x14ac:dyDescent="0.2">
      <c r="B873" s="15"/>
    </row>
    <row r="874" spans="2:2" ht="12.75" x14ac:dyDescent="0.2">
      <c r="B874" s="15"/>
    </row>
    <row r="875" spans="2:2" ht="12.75" x14ac:dyDescent="0.2">
      <c r="B875" s="15"/>
    </row>
    <row r="876" spans="2:2" ht="12.75" x14ac:dyDescent="0.2">
      <c r="B876" s="15"/>
    </row>
    <row r="877" spans="2:2" ht="12.75" x14ac:dyDescent="0.2">
      <c r="B877" s="15"/>
    </row>
    <row r="878" spans="2:2" ht="12.75" x14ac:dyDescent="0.2">
      <c r="B878" s="15"/>
    </row>
    <row r="879" spans="2:2" ht="12.75" x14ac:dyDescent="0.2">
      <c r="B879" s="15"/>
    </row>
    <row r="880" spans="2:2" ht="12.75" x14ac:dyDescent="0.2">
      <c r="B880" s="15"/>
    </row>
    <row r="881" spans="2:2" ht="12.75" x14ac:dyDescent="0.2">
      <c r="B881" s="15"/>
    </row>
    <row r="882" spans="2:2" ht="12.75" x14ac:dyDescent="0.2">
      <c r="B882" s="15"/>
    </row>
    <row r="883" spans="2:2" ht="12.75" x14ac:dyDescent="0.2">
      <c r="B883" s="15"/>
    </row>
    <row r="884" spans="2:2" ht="12.75" x14ac:dyDescent="0.2">
      <c r="B884" s="15"/>
    </row>
    <row r="885" spans="2:2" ht="12.75" x14ac:dyDescent="0.2">
      <c r="B885" s="15"/>
    </row>
    <row r="886" spans="2:2" ht="12.75" x14ac:dyDescent="0.2">
      <c r="B886" s="15"/>
    </row>
    <row r="887" spans="2:2" ht="12.75" x14ac:dyDescent="0.2">
      <c r="B887" s="15"/>
    </row>
    <row r="888" spans="2:2" ht="12.75" x14ac:dyDescent="0.2">
      <c r="B888" s="15"/>
    </row>
    <row r="889" spans="2:2" ht="12.75" x14ac:dyDescent="0.2">
      <c r="B889" s="15"/>
    </row>
    <row r="890" spans="2:2" ht="12.75" x14ac:dyDescent="0.2">
      <c r="B890" s="15"/>
    </row>
    <row r="891" spans="2:2" ht="12.75" x14ac:dyDescent="0.2">
      <c r="B891" s="15"/>
    </row>
    <row r="892" spans="2:2" ht="12.75" x14ac:dyDescent="0.2">
      <c r="B892" s="15"/>
    </row>
    <row r="893" spans="2:2" ht="12.75" x14ac:dyDescent="0.2">
      <c r="B893" s="15"/>
    </row>
    <row r="894" spans="2:2" ht="12.75" x14ac:dyDescent="0.2">
      <c r="B894" s="15"/>
    </row>
    <row r="895" spans="2:2" ht="12.75" x14ac:dyDescent="0.2">
      <c r="B895" s="15"/>
    </row>
    <row r="896" spans="2:2" ht="12.75" x14ac:dyDescent="0.2">
      <c r="B896" s="15"/>
    </row>
    <row r="897" spans="2:2" ht="12.75" x14ac:dyDescent="0.2">
      <c r="B897" s="15"/>
    </row>
    <row r="898" spans="2:2" ht="12.75" x14ac:dyDescent="0.2">
      <c r="B898" s="15"/>
    </row>
    <row r="899" spans="2:2" ht="12.75" x14ac:dyDescent="0.2">
      <c r="B899" s="15"/>
    </row>
    <row r="900" spans="2:2" ht="12.75" x14ac:dyDescent="0.2">
      <c r="B900" s="15"/>
    </row>
    <row r="901" spans="2:2" ht="12.75" x14ac:dyDescent="0.2">
      <c r="B901" s="15"/>
    </row>
    <row r="902" spans="2:2" ht="12.75" x14ac:dyDescent="0.2">
      <c r="B902" s="15"/>
    </row>
    <row r="903" spans="2:2" ht="12.75" x14ac:dyDescent="0.2">
      <c r="B903" s="15"/>
    </row>
    <row r="904" spans="2:2" ht="12.75" x14ac:dyDescent="0.2">
      <c r="B904" s="15"/>
    </row>
    <row r="905" spans="2:2" ht="12.75" x14ac:dyDescent="0.2">
      <c r="B905" s="15"/>
    </row>
    <row r="906" spans="2:2" ht="12.75" x14ac:dyDescent="0.2">
      <c r="B906" s="15"/>
    </row>
    <row r="907" spans="2:2" ht="12.75" x14ac:dyDescent="0.2">
      <c r="B907" s="15"/>
    </row>
    <row r="908" spans="2:2" ht="12.75" x14ac:dyDescent="0.2">
      <c r="B908" s="15"/>
    </row>
    <row r="909" spans="2:2" ht="12.75" x14ac:dyDescent="0.2">
      <c r="B909" s="15"/>
    </row>
    <row r="910" spans="2:2" ht="12.75" x14ac:dyDescent="0.2">
      <c r="B910" s="15"/>
    </row>
    <row r="911" spans="2:2" ht="12.75" x14ac:dyDescent="0.2">
      <c r="B911" s="15"/>
    </row>
    <row r="912" spans="2:2" ht="12.75" x14ac:dyDescent="0.2">
      <c r="B912" s="15"/>
    </row>
    <row r="913" spans="2:2" ht="12.75" x14ac:dyDescent="0.2">
      <c r="B913" s="15"/>
    </row>
    <row r="914" spans="2:2" ht="12.75" x14ac:dyDescent="0.2">
      <c r="B914" s="15"/>
    </row>
    <row r="915" spans="2:2" ht="12.75" x14ac:dyDescent="0.2">
      <c r="B915" s="15"/>
    </row>
    <row r="916" spans="2:2" ht="12.75" x14ac:dyDescent="0.2">
      <c r="B916" s="15"/>
    </row>
    <row r="917" spans="2:2" ht="12.75" x14ac:dyDescent="0.2">
      <c r="B917" s="15"/>
    </row>
    <row r="918" spans="2:2" ht="12.75" x14ac:dyDescent="0.2">
      <c r="B918" s="15"/>
    </row>
    <row r="919" spans="2:2" ht="12.75" x14ac:dyDescent="0.2">
      <c r="B919" s="15"/>
    </row>
    <row r="920" spans="2:2" ht="12.75" x14ac:dyDescent="0.2">
      <c r="B920" s="15"/>
    </row>
    <row r="921" spans="2:2" ht="12.75" x14ac:dyDescent="0.2">
      <c r="B921" s="15"/>
    </row>
    <row r="922" spans="2:2" ht="12.75" x14ac:dyDescent="0.2">
      <c r="B922" s="15"/>
    </row>
    <row r="923" spans="2:2" ht="12.75" x14ac:dyDescent="0.2">
      <c r="B923" s="15"/>
    </row>
    <row r="924" spans="2:2" ht="12.75" x14ac:dyDescent="0.2">
      <c r="B924" s="15"/>
    </row>
    <row r="925" spans="2:2" ht="12.75" x14ac:dyDescent="0.2">
      <c r="B925" s="15"/>
    </row>
    <row r="926" spans="2:2" ht="12.75" x14ac:dyDescent="0.2">
      <c r="B926" s="15"/>
    </row>
    <row r="927" spans="2:2" ht="12.75" x14ac:dyDescent="0.2">
      <c r="B927" s="15"/>
    </row>
    <row r="928" spans="2:2" ht="12.75" x14ac:dyDescent="0.2">
      <c r="B928" s="15"/>
    </row>
    <row r="929" spans="2:2" ht="12.75" x14ac:dyDescent="0.2">
      <c r="B929" s="15"/>
    </row>
    <row r="930" spans="2:2" ht="12.75" x14ac:dyDescent="0.2">
      <c r="B930" s="15"/>
    </row>
    <row r="931" spans="2:2" ht="12.75" x14ac:dyDescent="0.2">
      <c r="B931" s="15"/>
    </row>
    <row r="932" spans="2:2" ht="12.75" x14ac:dyDescent="0.2">
      <c r="B932" s="15"/>
    </row>
    <row r="933" spans="2:2" ht="12.75" x14ac:dyDescent="0.2">
      <c r="B933" s="15"/>
    </row>
    <row r="934" spans="2:2" ht="12.75" x14ac:dyDescent="0.2">
      <c r="B934" s="15"/>
    </row>
    <row r="935" spans="2:2" ht="12.75" x14ac:dyDescent="0.2">
      <c r="B935" s="15"/>
    </row>
    <row r="936" spans="2:2" ht="12.75" x14ac:dyDescent="0.2">
      <c r="B936" s="15"/>
    </row>
    <row r="937" spans="2:2" ht="12.75" x14ac:dyDescent="0.2">
      <c r="B937" s="15"/>
    </row>
    <row r="938" spans="2:2" ht="12.75" x14ac:dyDescent="0.2">
      <c r="B938" s="15"/>
    </row>
    <row r="939" spans="2:2" ht="12.75" x14ac:dyDescent="0.2">
      <c r="B939" s="15"/>
    </row>
    <row r="940" spans="2:2" ht="12.75" x14ac:dyDescent="0.2">
      <c r="B940" s="15"/>
    </row>
    <row r="941" spans="2:2" ht="12.75" x14ac:dyDescent="0.2">
      <c r="B941" s="15"/>
    </row>
    <row r="942" spans="2:2" ht="12.75" x14ac:dyDescent="0.2">
      <c r="B942" s="15"/>
    </row>
    <row r="943" spans="2:2" ht="12.75" x14ac:dyDescent="0.2">
      <c r="B943" s="15"/>
    </row>
    <row r="944" spans="2:2" ht="12.75" x14ac:dyDescent="0.2">
      <c r="B944" s="15"/>
    </row>
    <row r="945" spans="2:2" ht="12.75" x14ac:dyDescent="0.2">
      <c r="B945" s="15"/>
    </row>
    <row r="946" spans="2:2" ht="12.75" x14ac:dyDescent="0.2">
      <c r="B946" s="15"/>
    </row>
    <row r="947" spans="2:2" ht="12.75" x14ac:dyDescent="0.2">
      <c r="B947" s="15"/>
    </row>
    <row r="948" spans="2:2" ht="12.75" x14ac:dyDescent="0.2">
      <c r="B948" s="15"/>
    </row>
    <row r="949" spans="2:2" ht="12.75" x14ac:dyDescent="0.2">
      <c r="B949" s="15"/>
    </row>
    <row r="950" spans="2:2" ht="12.75" x14ac:dyDescent="0.2">
      <c r="B950" s="15"/>
    </row>
    <row r="951" spans="2:2" ht="12.75" x14ac:dyDescent="0.2">
      <c r="B951" s="15"/>
    </row>
    <row r="952" spans="2:2" ht="12.75" x14ac:dyDescent="0.2">
      <c r="B952" s="15"/>
    </row>
    <row r="953" spans="2:2" ht="12.75" x14ac:dyDescent="0.2">
      <c r="B953" s="15"/>
    </row>
    <row r="954" spans="2:2" ht="12.75" x14ac:dyDescent="0.2">
      <c r="B954" s="15"/>
    </row>
    <row r="955" spans="2:2" ht="12.75" x14ac:dyDescent="0.2">
      <c r="B955" s="15"/>
    </row>
    <row r="956" spans="2:2" ht="12.75" x14ac:dyDescent="0.2">
      <c r="B956" s="15"/>
    </row>
    <row r="957" spans="2:2" ht="12.75" x14ac:dyDescent="0.2">
      <c r="B957" s="15"/>
    </row>
    <row r="958" spans="2:2" ht="12.75" x14ac:dyDescent="0.2">
      <c r="B958" s="15"/>
    </row>
    <row r="959" spans="2:2" ht="12.75" x14ac:dyDescent="0.2">
      <c r="B959" s="15"/>
    </row>
    <row r="960" spans="2:2" ht="12.75" x14ac:dyDescent="0.2">
      <c r="B960" s="15"/>
    </row>
    <row r="961" spans="2:2" ht="12.75" x14ac:dyDescent="0.2">
      <c r="B961" s="15"/>
    </row>
    <row r="962" spans="2:2" ht="12.75" x14ac:dyDescent="0.2">
      <c r="B962" s="15"/>
    </row>
    <row r="963" spans="2:2" ht="12.75" x14ac:dyDescent="0.2">
      <c r="B963" s="15"/>
    </row>
    <row r="964" spans="2:2" ht="12.75" x14ac:dyDescent="0.2">
      <c r="B964" s="15"/>
    </row>
    <row r="965" spans="2:2" ht="12.75" x14ac:dyDescent="0.2">
      <c r="B965" s="15"/>
    </row>
    <row r="966" spans="2:2" ht="12.75" x14ac:dyDescent="0.2">
      <c r="B966" s="15"/>
    </row>
    <row r="967" spans="2:2" ht="12.75" x14ac:dyDescent="0.2">
      <c r="B967" s="15"/>
    </row>
    <row r="968" spans="2:2" ht="12.75" x14ac:dyDescent="0.2">
      <c r="B968" s="15"/>
    </row>
    <row r="969" spans="2:2" ht="12.75" x14ac:dyDescent="0.2">
      <c r="B969" s="15"/>
    </row>
    <row r="970" spans="2:2" ht="12.75" x14ac:dyDescent="0.2">
      <c r="B970" s="15"/>
    </row>
    <row r="971" spans="2:2" ht="12.75" x14ac:dyDescent="0.2">
      <c r="B971" s="15"/>
    </row>
    <row r="972" spans="2:2" ht="12.75" x14ac:dyDescent="0.2">
      <c r="B972" s="15"/>
    </row>
    <row r="973" spans="2:2" ht="12.75" x14ac:dyDescent="0.2">
      <c r="B973" s="15"/>
    </row>
    <row r="974" spans="2:2" ht="12.75" x14ac:dyDescent="0.2">
      <c r="B974" s="15"/>
    </row>
    <row r="975" spans="2:2" ht="12.75" x14ac:dyDescent="0.2">
      <c r="B975" s="15"/>
    </row>
    <row r="976" spans="2:2" ht="12.75" x14ac:dyDescent="0.2">
      <c r="B976" s="15"/>
    </row>
    <row r="977" spans="2:2" ht="12.75" x14ac:dyDescent="0.2">
      <c r="B977" s="15"/>
    </row>
    <row r="978" spans="2:2" ht="12.75" x14ac:dyDescent="0.2">
      <c r="B978" s="15"/>
    </row>
    <row r="979" spans="2:2" ht="12.75" x14ac:dyDescent="0.2">
      <c r="B979" s="15"/>
    </row>
    <row r="980" spans="2:2" ht="12.75" x14ac:dyDescent="0.2">
      <c r="B980" s="15"/>
    </row>
    <row r="981" spans="2:2" ht="12.75" x14ac:dyDescent="0.2">
      <c r="B981" s="15"/>
    </row>
    <row r="982" spans="2:2" ht="12.75" x14ac:dyDescent="0.2">
      <c r="B982" s="15"/>
    </row>
    <row r="983" spans="2:2" ht="12.75" x14ac:dyDescent="0.2">
      <c r="B983" s="15"/>
    </row>
    <row r="984" spans="2:2" ht="12.75" x14ac:dyDescent="0.2">
      <c r="B984" s="15"/>
    </row>
    <row r="985" spans="2:2" ht="12.75" x14ac:dyDescent="0.2">
      <c r="B985" s="15"/>
    </row>
    <row r="986" spans="2:2" ht="12.75" x14ac:dyDescent="0.2">
      <c r="B986" s="15"/>
    </row>
    <row r="987" spans="2:2" ht="12.75" x14ac:dyDescent="0.2">
      <c r="B987" s="15"/>
    </row>
    <row r="988" spans="2:2" ht="12.75" x14ac:dyDescent="0.2">
      <c r="B988" s="15"/>
    </row>
    <row r="989" spans="2:2" ht="12.75" x14ac:dyDescent="0.2">
      <c r="B989" s="15"/>
    </row>
    <row r="990" spans="2:2" ht="12.75" x14ac:dyDescent="0.2">
      <c r="B990" s="15"/>
    </row>
    <row r="991" spans="2:2" ht="12.75" x14ac:dyDescent="0.2">
      <c r="B991" s="15"/>
    </row>
    <row r="992" spans="2:2" ht="12.75" x14ac:dyDescent="0.2">
      <c r="B992" s="15"/>
    </row>
    <row r="993" spans="2:2" ht="12.75" x14ac:dyDescent="0.2">
      <c r="B993" s="15"/>
    </row>
    <row r="994" spans="2:2" ht="12.75" x14ac:dyDescent="0.2">
      <c r="B994" s="15"/>
    </row>
    <row r="995" spans="2:2" ht="12.75" x14ac:dyDescent="0.2">
      <c r="B995" s="15"/>
    </row>
    <row r="996" spans="2:2" ht="12.75" x14ac:dyDescent="0.2">
      <c r="B996" s="15"/>
    </row>
    <row r="997" spans="2:2" ht="12.75" x14ac:dyDescent="0.2">
      <c r="B997" s="15"/>
    </row>
    <row r="998" spans="2:2" ht="12.75" x14ac:dyDescent="0.2">
      <c r="B998" s="15"/>
    </row>
    <row r="999" spans="2:2" ht="12.75" x14ac:dyDescent="0.2">
      <c r="B999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C30"/>
  <sheetViews>
    <sheetView workbookViewId="0"/>
  </sheetViews>
  <sheetFormatPr defaultColWidth="12.5703125" defaultRowHeight="15.75" customHeight="1" x14ac:dyDescent="0.2"/>
  <cols>
    <col min="1" max="1" width="75.85546875" customWidth="1"/>
  </cols>
  <sheetData>
    <row r="1" spans="1:29" x14ac:dyDescent="0.2">
      <c r="A1" s="13" t="s">
        <v>576</v>
      </c>
      <c r="B1" s="14">
        <v>8809738315866</v>
      </c>
      <c r="C1" s="15">
        <v>11.2</v>
      </c>
      <c r="D1" s="15">
        <v>0.9</v>
      </c>
      <c r="E1" s="15">
        <f t="shared" ref="E1:E30" si="0">SUM(C1)+D1</f>
        <v>12.1</v>
      </c>
      <c r="F1" s="15">
        <v>1.24</v>
      </c>
      <c r="G1" s="15">
        <f t="shared" ref="G1:G30" si="1">SUM(E1)*F1</f>
        <v>15.004</v>
      </c>
      <c r="H1" s="15">
        <v>1.1214999999999999</v>
      </c>
      <c r="I1" s="15">
        <f t="shared" ref="I1:I30" si="2">SUM(G1)*H1</f>
        <v>16.826985999999998</v>
      </c>
      <c r="J1" s="15">
        <v>1.49</v>
      </c>
      <c r="K1" s="15">
        <f t="shared" ref="K1:K30" si="3">SUM(I1)+J1</f>
        <v>18.316985999999996</v>
      </c>
      <c r="L1" s="15">
        <v>23.16</v>
      </c>
      <c r="M1" s="15">
        <f t="shared" ref="M1:M3" si="4">SUM(L1)-K1</f>
        <v>4.8430140000000037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x14ac:dyDescent="0.2">
      <c r="A2" s="13" t="s">
        <v>577</v>
      </c>
      <c r="B2" s="14">
        <v>8809738316993</v>
      </c>
      <c r="C2" s="15">
        <v>8.86</v>
      </c>
      <c r="D2" s="15">
        <v>0.9</v>
      </c>
      <c r="E2" s="15">
        <f t="shared" si="0"/>
        <v>9.76</v>
      </c>
      <c r="F2" s="15">
        <v>1.24</v>
      </c>
      <c r="G2" s="15">
        <f t="shared" si="1"/>
        <v>12.102399999999999</v>
      </c>
      <c r="H2" s="15">
        <v>1.1214999999999999</v>
      </c>
      <c r="I2" s="15">
        <f t="shared" si="2"/>
        <v>13.572841599999999</v>
      </c>
      <c r="J2" s="15">
        <v>0.74</v>
      </c>
      <c r="K2" s="15">
        <f t="shared" si="3"/>
        <v>14.312841599999999</v>
      </c>
      <c r="L2" s="15">
        <v>14.75</v>
      </c>
      <c r="M2" s="15">
        <f t="shared" si="4"/>
        <v>0.43715840000000128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1:29" x14ac:dyDescent="0.2">
      <c r="A3" s="13" t="s">
        <v>578</v>
      </c>
      <c r="B3" s="14">
        <v>8809738316986</v>
      </c>
      <c r="C3" s="15">
        <v>11.4</v>
      </c>
      <c r="D3" s="15">
        <v>0.9</v>
      </c>
      <c r="E3" s="15">
        <f t="shared" si="0"/>
        <v>12.3</v>
      </c>
      <c r="F3" s="15">
        <v>1.24</v>
      </c>
      <c r="G3" s="15">
        <f t="shared" si="1"/>
        <v>15.252000000000001</v>
      </c>
      <c r="H3" s="15">
        <v>1.1214999999999999</v>
      </c>
      <c r="I3" s="15">
        <f t="shared" si="2"/>
        <v>17.105118000000001</v>
      </c>
      <c r="J3" s="15">
        <v>0.74</v>
      </c>
      <c r="K3" s="15">
        <f t="shared" si="3"/>
        <v>17.845117999999999</v>
      </c>
      <c r="L3" s="15">
        <v>20.6</v>
      </c>
      <c r="M3" s="15">
        <f t="shared" si="4"/>
        <v>2.7548820000000021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29" x14ac:dyDescent="0.2">
      <c r="A4" s="13" t="s">
        <v>579</v>
      </c>
      <c r="B4" s="14">
        <v>8809782555508</v>
      </c>
      <c r="C4" s="15">
        <v>8.7200000000000006</v>
      </c>
      <c r="D4" s="15">
        <v>0.9</v>
      </c>
      <c r="E4" s="15">
        <f t="shared" si="0"/>
        <v>9.620000000000001</v>
      </c>
      <c r="F4" s="15">
        <v>1.24</v>
      </c>
      <c r="G4" s="15">
        <f t="shared" si="1"/>
        <v>11.928800000000001</v>
      </c>
      <c r="H4" s="15">
        <v>1.1214999999999999</v>
      </c>
      <c r="I4" s="15">
        <f t="shared" si="2"/>
        <v>13.378149199999999</v>
      </c>
      <c r="J4" s="15">
        <v>0.74</v>
      </c>
      <c r="K4" s="15">
        <f t="shared" si="3"/>
        <v>14.1181492</v>
      </c>
      <c r="L4" s="15">
        <v>14.2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29" x14ac:dyDescent="0.2">
      <c r="A5" s="13" t="s">
        <v>580</v>
      </c>
      <c r="B5" s="14">
        <v>8809738316146</v>
      </c>
      <c r="C5" s="15">
        <v>7.66</v>
      </c>
      <c r="D5" s="15">
        <v>0.9</v>
      </c>
      <c r="E5" s="15">
        <f t="shared" si="0"/>
        <v>8.56</v>
      </c>
      <c r="F5" s="15">
        <v>1.24</v>
      </c>
      <c r="G5" s="15">
        <f t="shared" si="1"/>
        <v>10.6144</v>
      </c>
      <c r="H5" s="15">
        <v>1.1214999999999999</v>
      </c>
      <c r="I5" s="15">
        <f t="shared" si="2"/>
        <v>11.904049599999999</v>
      </c>
      <c r="J5" s="15">
        <v>0.74</v>
      </c>
      <c r="K5" s="15">
        <f t="shared" si="3"/>
        <v>12.644049599999999</v>
      </c>
      <c r="L5" s="15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1:29" x14ac:dyDescent="0.2">
      <c r="A6" s="13" t="s">
        <v>581</v>
      </c>
      <c r="B6" s="14">
        <v>8809738310960</v>
      </c>
      <c r="C6" s="15">
        <v>8.93</v>
      </c>
      <c r="D6" s="15">
        <v>0.9</v>
      </c>
      <c r="E6" s="15">
        <f t="shared" si="0"/>
        <v>9.83</v>
      </c>
      <c r="F6" s="15">
        <v>1.24</v>
      </c>
      <c r="G6" s="15">
        <f t="shared" si="1"/>
        <v>12.1892</v>
      </c>
      <c r="H6" s="15">
        <v>1.1214999999999999</v>
      </c>
      <c r="I6" s="15">
        <f t="shared" si="2"/>
        <v>13.670187799999999</v>
      </c>
      <c r="J6" s="15">
        <v>0.74</v>
      </c>
      <c r="K6" s="15">
        <f t="shared" si="3"/>
        <v>14.410187799999999</v>
      </c>
      <c r="L6" s="15">
        <v>13.89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spans="1:29" x14ac:dyDescent="0.2">
      <c r="A7" s="13" t="s">
        <v>582</v>
      </c>
      <c r="B7" s="14">
        <v>8809864766884</v>
      </c>
      <c r="C7" s="15">
        <v>8.26</v>
      </c>
      <c r="D7" s="15">
        <v>0.9</v>
      </c>
      <c r="E7" s="15">
        <f t="shared" si="0"/>
        <v>9.16</v>
      </c>
      <c r="F7" s="15">
        <v>1.24</v>
      </c>
      <c r="G7" s="15">
        <f t="shared" si="1"/>
        <v>11.3584</v>
      </c>
      <c r="H7" s="15">
        <v>1.1214999999999999</v>
      </c>
      <c r="I7" s="15">
        <f t="shared" si="2"/>
        <v>12.738445599999999</v>
      </c>
      <c r="J7" s="15">
        <v>0.74</v>
      </c>
      <c r="K7" s="15">
        <f t="shared" si="3"/>
        <v>13.478445599999999</v>
      </c>
      <c r="L7" s="15">
        <v>15.1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29" x14ac:dyDescent="0.2">
      <c r="A8" s="13" t="s">
        <v>583</v>
      </c>
      <c r="B8" s="14">
        <v>8809525249565</v>
      </c>
      <c r="C8" s="15">
        <v>11.51</v>
      </c>
      <c r="D8" s="15">
        <v>0.9</v>
      </c>
      <c r="E8" s="15">
        <f t="shared" si="0"/>
        <v>12.41</v>
      </c>
      <c r="F8" s="15">
        <v>1.24</v>
      </c>
      <c r="G8" s="15">
        <f t="shared" si="1"/>
        <v>15.388400000000001</v>
      </c>
      <c r="H8" s="15">
        <v>1.1214999999999999</v>
      </c>
      <c r="I8" s="15">
        <f t="shared" si="2"/>
        <v>17.258090599999999</v>
      </c>
      <c r="J8" s="15">
        <v>0.74</v>
      </c>
      <c r="K8" s="15">
        <f t="shared" si="3"/>
        <v>17.998090599999998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29" x14ac:dyDescent="0.2">
      <c r="A9" s="13" t="s">
        <v>584</v>
      </c>
      <c r="B9" s="14">
        <v>8809738314678</v>
      </c>
      <c r="C9" s="15">
        <v>6.67</v>
      </c>
      <c r="D9" s="15">
        <v>0.9</v>
      </c>
      <c r="E9" s="15">
        <f t="shared" si="0"/>
        <v>7.57</v>
      </c>
      <c r="F9" s="15">
        <v>1.24</v>
      </c>
      <c r="G9" s="15">
        <f t="shared" si="1"/>
        <v>9.3868000000000009</v>
      </c>
      <c r="H9" s="15">
        <v>1.1214999999999999</v>
      </c>
      <c r="I9" s="15">
        <f t="shared" si="2"/>
        <v>10.5272962</v>
      </c>
      <c r="J9" s="15">
        <v>0.74</v>
      </c>
      <c r="K9" s="15">
        <f t="shared" si="3"/>
        <v>11.267296200000001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29" x14ac:dyDescent="0.2">
      <c r="A10" s="13" t="s">
        <v>585</v>
      </c>
      <c r="B10" s="14">
        <v>8809738315897</v>
      </c>
      <c r="C10" s="15">
        <v>14.49</v>
      </c>
      <c r="D10" s="15">
        <v>0.9</v>
      </c>
      <c r="E10" s="15">
        <f t="shared" si="0"/>
        <v>15.39</v>
      </c>
      <c r="F10" s="15">
        <v>1.24</v>
      </c>
      <c r="G10" s="15">
        <f t="shared" si="1"/>
        <v>19.083600000000001</v>
      </c>
      <c r="H10" s="15">
        <v>1.1214999999999999</v>
      </c>
      <c r="I10" s="15">
        <f t="shared" si="2"/>
        <v>21.4022574</v>
      </c>
      <c r="J10" s="15">
        <v>1.49</v>
      </c>
      <c r="K10" s="15">
        <f t="shared" si="3"/>
        <v>22.892257399999998</v>
      </c>
      <c r="L10" s="15">
        <v>23.61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spans="1:29" x14ac:dyDescent="0.2">
      <c r="A11" s="13" t="s">
        <v>586</v>
      </c>
      <c r="B11" s="14">
        <v>8809875906477</v>
      </c>
      <c r="C11" s="15">
        <v>8.3699999999999992</v>
      </c>
      <c r="D11" s="15">
        <v>0.9</v>
      </c>
      <c r="E11" s="15">
        <f t="shared" si="0"/>
        <v>9.27</v>
      </c>
      <c r="F11" s="15">
        <v>1.24</v>
      </c>
      <c r="G11" s="15">
        <f t="shared" si="1"/>
        <v>11.4948</v>
      </c>
      <c r="H11" s="15">
        <v>1.1214999999999999</v>
      </c>
      <c r="I11" s="15">
        <f t="shared" si="2"/>
        <v>12.891418199999999</v>
      </c>
      <c r="J11" s="15">
        <v>0.74</v>
      </c>
      <c r="K11" s="15">
        <f t="shared" si="3"/>
        <v>13.631418199999999</v>
      </c>
      <c r="L11" s="15">
        <v>13.26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29" x14ac:dyDescent="0.2">
      <c r="A12" s="13" t="s">
        <v>587</v>
      </c>
      <c r="B12" s="14">
        <v>8809738316412</v>
      </c>
      <c r="C12" s="15">
        <v>8.3000000000000007</v>
      </c>
      <c r="D12" s="15">
        <v>0.9</v>
      </c>
      <c r="E12" s="15">
        <f t="shared" si="0"/>
        <v>9.2000000000000011</v>
      </c>
      <c r="F12" s="15">
        <v>1.24</v>
      </c>
      <c r="G12" s="15">
        <f t="shared" si="1"/>
        <v>11.408000000000001</v>
      </c>
      <c r="H12" s="15">
        <v>1.1214999999999999</v>
      </c>
      <c r="I12" s="15">
        <f t="shared" si="2"/>
        <v>12.794072</v>
      </c>
      <c r="J12" s="15">
        <v>0.74</v>
      </c>
      <c r="K12" s="15">
        <f t="shared" si="3"/>
        <v>13.534072</v>
      </c>
      <c r="L12" s="15">
        <v>15.3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29" x14ac:dyDescent="0.2">
      <c r="A13" s="13" t="s">
        <v>588</v>
      </c>
      <c r="B13" s="14">
        <v>8809657114960</v>
      </c>
      <c r="C13" s="15">
        <v>8.3699999999999992</v>
      </c>
      <c r="D13" s="15">
        <v>0.9</v>
      </c>
      <c r="E13" s="15">
        <f t="shared" si="0"/>
        <v>9.27</v>
      </c>
      <c r="F13" s="15">
        <v>1.24</v>
      </c>
      <c r="G13" s="15">
        <f t="shared" si="1"/>
        <v>11.4948</v>
      </c>
      <c r="H13" s="15">
        <v>1.1214999999999999</v>
      </c>
      <c r="I13" s="15">
        <f t="shared" si="2"/>
        <v>12.891418199999999</v>
      </c>
      <c r="J13" s="15">
        <v>0.74</v>
      </c>
      <c r="K13" s="15">
        <f t="shared" si="3"/>
        <v>13.631418199999999</v>
      </c>
      <c r="L13" s="15">
        <v>15.44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spans="1:29" x14ac:dyDescent="0.2">
      <c r="A14" s="13" t="s">
        <v>589</v>
      </c>
      <c r="B14" s="14">
        <v>8809738312872</v>
      </c>
      <c r="C14" s="15">
        <v>5.77</v>
      </c>
      <c r="D14" s="15">
        <v>0.9</v>
      </c>
      <c r="E14" s="15">
        <f t="shared" si="0"/>
        <v>6.67</v>
      </c>
      <c r="F14" s="15">
        <v>1.24</v>
      </c>
      <c r="G14" s="15">
        <f t="shared" si="1"/>
        <v>8.2707999999999995</v>
      </c>
      <c r="H14" s="15">
        <v>1.1214999999999999</v>
      </c>
      <c r="I14" s="15">
        <f t="shared" si="2"/>
        <v>9.2757021999999996</v>
      </c>
      <c r="J14" s="15">
        <v>0.74</v>
      </c>
      <c r="K14" s="15">
        <f t="shared" si="3"/>
        <v>10.0157022</v>
      </c>
      <c r="L14" s="15">
        <v>11.6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spans="1:29" x14ac:dyDescent="0.2">
      <c r="A15" s="13" t="s">
        <v>590</v>
      </c>
      <c r="B15" s="14">
        <v>8809968130130</v>
      </c>
      <c r="C15" s="15">
        <v>10.039999999999999</v>
      </c>
      <c r="D15" s="15">
        <v>0.9</v>
      </c>
      <c r="E15" s="15">
        <f t="shared" si="0"/>
        <v>10.94</v>
      </c>
      <c r="F15" s="15">
        <v>1.24</v>
      </c>
      <c r="G15" s="15">
        <f t="shared" si="1"/>
        <v>13.5656</v>
      </c>
      <c r="H15" s="15">
        <v>1.1214999999999999</v>
      </c>
      <c r="I15" s="15">
        <f t="shared" si="2"/>
        <v>15.213820399999999</v>
      </c>
      <c r="J15" s="15">
        <v>1.49</v>
      </c>
      <c r="K15" s="15">
        <f t="shared" si="3"/>
        <v>16.703820399999998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spans="1:29" x14ac:dyDescent="0.2">
      <c r="A16" s="6" t="s">
        <v>591</v>
      </c>
      <c r="B16" s="14" t="s">
        <v>592</v>
      </c>
      <c r="C16" s="15">
        <v>15.88</v>
      </c>
      <c r="D16" s="15">
        <v>0.9</v>
      </c>
      <c r="E16" s="15">
        <f t="shared" si="0"/>
        <v>16.78</v>
      </c>
      <c r="F16" s="15">
        <v>1.24</v>
      </c>
      <c r="G16" s="15">
        <f t="shared" si="1"/>
        <v>20.807200000000002</v>
      </c>
      <c r="H16" s="15">
        <v>1.1214999999999999</v>
      </c>
      <c r="I16" s="15">
        <f t="shared" si="2"/>
        <v>23.335274800000001</v>
      </c>
      <c r="J16" s="15">
        <v>1.49</v>
      </c>
      <c r="K16" s="15">
        <f t="shared" si="3"/>
        <v>24.825274799999999</v>
      </c>
      <c r="L16" s="15">
        <v>33.65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spans="1:29" x14ac:dyDescent="0.2">
      <c r="A17" s="13" t="s">
        <v>593</v>
      </c>
      <c r="B17" s="14">
        <v>8809738312728</v>
      </c>
      <c r="C17" s="15">
        <v>8.66</v>
      </c>
      <c r="D17" s="15">
        <v>0.9</v>
      </c>
      <c r="E17" s="15">
        <f t="shared" si="0"/>
        <v>9.56</v>
      </c>
      <c r="F17" s="15">
        <v>1.24</v>
      </c>
      <c r="G17" s="15">
        <f t="shared" si="1"/>
        <v>11.8544</v>
      </c>
      <c r="H17" s="15">
        <v>1.1214999999999999</v>
      </c>
      <c r="I17" s="15">
        <f t="shared" si="2"/>
        <v>13.294709599999999</v>
      </c>
      <c r="J17" s="15">
        <v>0.73999999999999899</v>
      </c>
      <c r="K17" s="15">
        <f t="shared" si="3"/>
        <v>14.034709599999998</v>
      </c>
      <c r="L17" s="15">
        <v>12.95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spans="1:29" x14ac:dyDescent="0.2">
      <c r="A18" s="13" t="s">
        <v>594</v>
      </c>
      <c r="B18" s="14">
        <v>8809968130246</v>
      </c>
      <c r="C18" s="15">
        <v>8.2100000000000009</v>
      </c>
      <c r="D18" s="15">
        <v>0.9</v>
      </c>
      <c r="E18" s="15">
        <f t="shared" si="0"/>
        <v>9.1100000000000012</v>
      </c>
      <c r="F18" s="15">
        <v>1.24</v>
      </c>
      <c r="G18" s="15">
        <f t="shared" si="1"/>
        <v>11.296400000000002</v>
      </c>
      <c r="H18" s="15">
        <v>1.1214999999999999</v>
      </c>
      <c r="I18" s="15">
        <f t="shared" si="2"/>
        <v>12.668912600000002</v>
      </c>
      <c r="J18" s="15">
        <v>0.73999999999999899</v>
      </c>
      <c r="K18" s="15">
        <f t="shared" si="3"/>
        <v>13.408912600000001</v>
      </c>
      <c r="L18" s="15">
        <v>15.1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spans="1:29" x14ac:dyDescent="0.2">
      <c r="A19" s="13" t="s">
        <v>595</v>
      </c>
      <c r="B19" s="14">
        <v>8809968130239</v>
      </c>
      <c r="C19" s="15">
        <v>8.2100000000000009</v>
      </c>
      <c r="D19" s="15">
        <v>0.9</v>
      </c>
      <c r="E19" s="15">
        <f t="shared" si="0"/>
        <v>9.1100000000000012</v>
      </c>
      <c r="F19" s="15">
        <v>1.24</v>
      </c>
      <c r="G19" s="15">
        <f t="shared" si="1"/>
        <v>11.296400000000002</v>
      </c>
      <c r="H19" s="15">
        <v>1.1214999999999999</v>
      </c>
      <c r="I19" s="15">
        <f t="shared" si="2"/>
        <v>12.668912600000002</v>
      </c>
      <c r="J19" s="15">
        <v>0.73999999999999899</v>
      </c>
      <c r="K19" s="15">
        <f t="shared" si="3"/>
        <v>13.408912600000001</v>
      </c>
      <c r="L19" s="15">
        <v>14.9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spans="1:29" x14ac:dyDescent="0.2">
      <c r="A20" s="13" t="s">
        <v>596</v>
      </c>
      <c r="B20" s="14">
        <v>8809738313862</v>
      </c>
      <c r="C20" s="15">
        <v>5.85</v>
      </c>
      <c r="D20" s="15">
        <v>0.9</v>
      </c>
      <c r="E20" s="15">
        <f t="shared" si="0"/>
        <v>6.75</v>
      </c>
      <c r="F20" s="15">
        <v>1.24</v>
      </c>
      <c r="G20" s="15">
        <f t="shared" si="1"/>
        <v>8.3699999999999992</v>
      </c>
      <c r="H20" s="15">
        <v>1.1214999999999999</v>
      </c>
      <c r="I20" s="15">
        <f t="shared" si="2"/>
        <v>9.3869549999999986</v>
      </c>
      <c r="J20" s="15">
        <v>0.73999999999999899</v>
      </c>
      <c r="K20" s="15">
        <f t="shared" si="3"/>
        <v>10.126954999999997</v>
      </c>
      <c r="L20" s="15">
        <v>9.99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spans="1:29" x14ac:dyDescent="0.2">
      <c r="A21" s="13" t="s">
        <v>597</v>
      </c>
      <c r="B21" s="14">
        <v>8809864752689</v>
      </c>
      <c r="C21" s="15">
        <v>11.46</v>
      </c>
      <c r="D21" s="15">
        <v>0.9</v>
      </c>
      <c r="E21" s="15">
        <f t="shared" si="0"/>
        <v>12.360000000000001</v>
      </c>
      <c r="F21" s="15">
        <v>1.24</v>
      </c>
      <c r="G21" s="15">
        <f t="shared" si="1"/>
        <v>15.326400000000001</v>
      </c>
      <c r="H21" s="15">
        <v>1.1214999999999999</v>
      </c>
      <c r="I21" s="15">
        <f t="shared" si="2"/>
        <v>17.188557599999999</v>
      </c>
      <c r="J21" s="15">
        <v>0.73999999999999899</v>
      </c>
      <c r="K21" s="15">
        <f t="shared" si="3"/>
        <v>17.928557599999998</v>
      </c>
      <c r="L21" s="15">
        <v>15.99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 x14ac:dyDescent="0.2">
      <c r="A22" s="13" t="s">
        <v>598</v>
      </c>
      <c r="B22" s="14">
        <v>8809606851663</v>
      </c>
      <c r="C22" s="15">
        <v>8.59</v>
      </c>
      <c r="D22" s="15">
        <v>0.4</v>
      </c>
      <c r="E22" s="15">
        <f t="shared" si="0"/>
        <v>8.99</v>
      </c>
      <c r="F22" s="15">
        <v>1.24</v>
      </c>
      <c r="G22" s="15">
        <f t="shared" si="1"/>
        <v>11.147600000000001</v>
      </c>
      <c r="H22" s="15">
        <v>1.1214999999999999</v>
      </c>
      <c r="I22" s="15">
        <f t="shared" si="2"/>
        <v>12.5020334</v>
      </c>
      <c r="J22" s="15">
        <v>0.73999999999999899</v>
      </c>
      <c r="K22" s="15">
        <f t="shared" si="3"/>
        <v>13.242033399999999</v>
      </c>
      <c r="L22" s="15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1:29" x14ac:dyDescent="0.2">
      <c r="A23" s="13" t="s">
        <v>599</v>
      </c>
      <c r="B23" s="14">
        <v>8809473195655</v>
      </c>
      <c r="C23" s="15">
        <v>9.09</v>
      </c>
      <c r="D23" s="15">
        <v>0.9</v>
      </c>
      <c r="E23" s="15">
        <f t="shared" si="0"/>
        <v>9.99</v>
      </c>
      <c r="F23" s="15">
        <v>1.24</v>
      </c>
      <c r="G23" s="15">
        <f t="shared" si="1"/>
        <v>12.387600000000001</v>
      </c>
      <c r="H23" s="15">
        <v>1.1214999999999999</v>
      </c>
      <c r="I23" s="15">
        <f t="shared" si="2"/>
        <v>13.892693400000001</v>
      </c>
      <c r="J23" s="15">
        <v>1.49</v>
      </c>
      <c r="K23" s="15">
        <f t="shared" si="3"/>
        <v>15.382693400000001</v>
      </c>
      <c r="L23" s="15">
        <v>18.100000000000001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:29" x14ac:dyDescent="0.2">
      <c r="A24" s="13" t="s">
        <v>600</v>
      </c>
      <c r="B24" s="14">
        <v>8809525246014</v>
      </c>
      <c r="C24" s="15">
        <v>1.99</v>
      </c>
      <c r="D24" s="15">
        <v>0.9</v>
      </c>
      <c r="E24" s="15">
        <f t="shared" si="0"/>
        <v>2.89</v>
      </c>
      <c r="F24" s="15">
        <v>1.24</v>
      </c>
      <c r="G24" s="15">
        <f t="shared" si="1"/>
        <v>3.5836000000000001</v>
      </c>
      <c r="H24" s="15">
        <v>1.1214999999999999</v>
      </c>
      <c r="I24" s="15">
        <f t="shared" si="2"/>
        <v>4.0190073999999996</v>
      </c>
      <c r="J24" s="15">
        <v>0.25</v>
      </c>
      <c r="K24" s="15">
        <f t="shared" si="3"/>
        <v>4.2690073999999996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spans="1:29" x14ac:dyDescent="0.2">
      <c r="A25" s="13" t="s">
        <v>601</v>
      </c>
      <c r="B25" s="14">
        <v>8809968130277</v>
      </c>
      <c r="C25" s="15">
        <v>8.8000000000000007</v>
      </c>
      <c r="D25" s="15">
        <v>0.9</v>
      </c>
      <c r="E25" s="15">
        <f t="shared" si="0"/>
        <v>9.7000000000000011</v>
      </c>
      <c r="F25" s="15">
        <v>1.24</v>
      </c>
      <c r="G25" s="15">
        <f t="shared" si="1"/>
        <v>12.028</v>
      </c>
      <c r="H25" s="15">
        <v>1.1214999999999999</v>
      </c>
      <c r="I25" s="15">
        <f t="shared" si="2"/>
        <v>13.489402</v>
      </c>
      <c r="J25" s="15">
        <v>0.73999999999999899</v>
      </c>
      <c r="K25" s="15">
        <f t="shared" si="3"/>
        <v>14.229401999999999</v>
      </c>
      <c r="L25" s="15">
        <v>14.93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spans="1:29" x14ac:dyDescent="0.2">
      <c r="C26" s="15">
        <v>8.8000000000000007</v>
      </c>
      <c r="D26" s="15">
        <v>0.9</v>
      </c>
      <c r="E26" s="15">
        <f t="shared" si="0"/>
        <v>9.7000000000000011</v>
      </c>
      <c r="F26" s="15">
        <v>1.24</v>
      </c>
      <c r="G26" s="15">
        <f t="shared" si="1"/>
        <v>12.028</v>
      </c>
      <c r="H26" s="15">
        <v>1.1214999999999999</v>
      </c>
      <c r="I26" s="15">
        <f t="shared" si="2"/>
        <v>13.489402</v>
      </c>
      <c r="J26" s="15">
        <v>0.73999999999999899</v>
      </c>
      <c r="K26" s="15">
        <f t="shared" si="3"/>
        <v>14.229401999999999</v>
      </c>
    </row>
    <row r="27" spans="1:29" x14ac:dyDescent="0.2">
      <c r="C27" s="15">
        <v>8.8000000000000007</v>
      </c>
      <c r="D27" s="15">
        <v>0.9</v>
      </c>
      <c r="E27" s="15">
        <f t="shared" si="0"/>
        <v>9.7000000000000011</v>
      </c>
      <c r="F27" s="15">
        <v>1.24</v>
      </c>
      <c r="G27" s="15">
        <f t="shared" si="1"/>
        <v>12.028</v>
      </c>
      <c r="H27" s="15">
        <v>1.1214999999999999</v>
      </c>
      <c r="I27" s="15">
        <f t="shared" si="2"/>
        <v>13.489402</v>
      </c>
      <c r="J27" s="15">
        <v>0.73999999999999899</v>
      </c>
      <c r="K27" s="15">
        <f t="shared" si="3"/>
        <v>14.229401999999999</v>
      </c>
    </row>
    <row r="28" spans="1:29" x14ac:dyDescent="0.2">
      <c r="C28" s="15">
        <v>8.8000000000000007</v>
      </c>
      <c r="D28" s="15">
        <v>0.9</v>
      </c>
      <c r="E28" s="15">
        <f t="shared" si="0"/>
        <v>9.7000000000000011</v>
      </c>
      <c r="F28" s="15">
        <v>1.24</v>
      </c>
      <c r="G28" s="15">
        <f t="shared" si="1"/>
        <v>12.028</v>
      </c>
      <c r="H28" s="15">
        <v>1.1214999999999999</v>
      </c>
      <c r="I28" s="15">
        <f t="shared" si="2"/>
        <v>13.489402</v>
      </c>
      <c r="J28" s="15">
        <v>0.73999999999999899</v>
      </c>
      <c r="K28" s="15">
        <f t="shared" si="3"/>
        <v>14.229401999999999</v>
      </c>
    </row>
    <row r="29" spans="1:29" x14ac:dyDescent="0.2">
      <c r="C29" s="15">
        <v>8.8000000000000007</v>
      </c>
      <c r="D29" s="15">
        <v>0.9</v>
      </c>
      <c r="E29" s="15">
        <f t="shared" si="0"/>
        <v>9.7000000000000011</v>
      </c>
      <c r="F29" s="15">
        <v>1.24</v>
      </c>
      <c r="G29" s="15">
        <f t="shared" si="1"/>
        <v>12.028</v>
      </c>
      <c r="H29" s="15">
        <v>1.1214999999999999</v>
      </c>
      <c r="I29" s="15">
        <f t="shared" si="2"/>
        <v>13.489402</v>
      </c>
      <c r="J29" s="15">
        <v>0.73999999999999899</v>
      </c>
      <c r="K29" s="15">
        <f t="shared" si="3"/>
        <v>14.229401999999999</v>
      </c>
    </row>
    <row r="30" spans="1:29" x14ac:dyDescent="0.2">
      <c r="C30" s="15">
        <v>8.8000000000000007</v>
      </c>
      <c r="D30" s="15">
        <v>0.9</v>
      </c>
      <c r="E30" s="15">
        <f t="shared" si="0"/>
        <v>9.7000000000000011</v>
      </c>
      <c r="F30" s="15">
        <v>1.24</v>
      </c>
      <c r="G30" s="15">
        <f t="shared" si="1"/>
        <v>12.028</v>
      </c>
      <c r="H30" s="15">
        <v>1.1214999999999999</v>
      </c>
      <c r="I30" s="15">
        <f t="shared" si="2"/>
        <v>13.489402</v>
      </c>
      <c r="J30" s="15">
        <v>0.73999999999999899</v>
      </c>
      <c r="K30" s="15">
        <f t="shared" si="3"/>
        <v>14.229401999999999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L14"/>
  <sheetViews>
    <sheetView workbookViewId="0"/>
  </sheetViews>
  <sheetFormatPr defaultColWidth="12.5703125" defaultRowHeight="15.75" customHeight="1" x14ac:dyDescent="0.2"/>
  <cols>
    <col min="1" max="1" width="27.42578125" customWidth="1"/>
    <col min="2" max="2" width="14.7109375" customWidth="1"/>
  </cols>
  <sheetData>
    <row r="1" spans="1:12" ht="15.75" customHeight="1" x14ac:dyDescent="0.25">
      <c r="C1" s="7" t="s">
        <v>314</v>
      </c>
      <c r="D1" s="7" t="s">
        <v>315</v>
      </c>
      <c r="E1" s="7" t="s">
        <v>316</v>
      </c>
      <c r="F1" s="7" t="s">
        <v>317</v>
      </c>
      <c r="G1" s="7" t="s">
        <v>318</v>
      </c>
      <c r="H1" s="7" t="s">
        <v>319</v>
      </c>
      <c r="I1" s="7" t="s">
        <v>320</v>
      </c>
      <c r="J1" s="7" t="s">
        <v>321</v>
      </c>
      <c r="K1" s="7" t="s">
        <v>322</v>
      </c>
      <c r="L1" s="7" t="s">
        <v>323</v>
      </c>
    </row>
    <row r="2" spans="1:12" ht="15.75" customHeight="1" x14ac:dyDescent="0.25">
      <c r="A2" s="6" t="s">
        <v>602</v>
      </c>
      <c r="B2" s="6" t="s">
        <v>603</v>
      </c>
      <c r="C2" s="11">
        <v>10.16</v>
      </c>
      <c r="D2" s="11">
        <v>0.9</v>
      </c>
      <c r="E2" s="11">
        <v>0.7</v>
      </c>
      <c r="F2" s="11">
        <v>8.1999999999999993</v>
      </c>
      <c r="G2" s="11">
        <v>24</v>
      </c>
      <c r="H2" s="11">
        <f t="shared" ref="H2:H14" si="0">C2+D2+E2</f>
        <v>11.76</v>
      </c>
      <c r="I2" s="11">
        <f t="shared" ref="I2:I14" si="1">H2 / (1 - F2/100 - (1 - 1/(1 + G2/100)))</f>
        <v>16.232968207320329</v>
      </c>
      <c r="J2" s="11">
        <f t="shared" ref="J2:J14" si="2">I2 * F2 / 100</f>
        <v>1.3311033930002667</v>
      </c>
      <c r="K2" s="11">
        <f t="shared" ref="K2:K14" si="3">I2 - (I2 / (1 + G2/100))</f>
        <v>3.1418648143200638</v>
      </c>
      <c r="L2" s="11">
        <f t="shared" ref="L2:L14" si="4">I2 - J2 - K2</f>
        <v>11.76</v>
      </c>
    </row>
    <row r="3" spans="1:12" ht="15.75" customHeight="1" x14ac:dyDescent="0.25">
      <c r="A3" s="6" t="s">
        <v>604</v>
      </c>
      <c r="B3" s="6" t="s">
        <v>605</v>
      </c>
      <c r="C3" s="9">
        <v>7.62</v>
      </c>
      <c r="D3" s="9">
        <v>0.7</v>
      </c>
      <c r="E3" s="9">
        <v>0.7</v>
      </c>
      <c r="F3" s="9">
        <v>8.1999999999999993</v>
      </c>
      <c r="G3" s="9">
        <v>24</v>
      </c>
      <c r="H3" s="9">
        <f t="shared" si="0"/>
        <v>9.02</v>
      </c>
      <c r="I3" s="9">
        <f t="shared" si="1"/>
        <v>12.450797043369844</v>
      </c>
      <c r="J3" s="9">
        <f t="shared" si="2"/>
        <v>1.0209653575563271</v>
      </c>
      <c r="K3" s="9">
        <f t="shared" si="3"/>
        <v>2.4098316858135185</v>
      </c>
      <c r="L3" s="9">
        <f t="shared" si="4"/>
        <v>9.02</v>
      </c>
    </row>
    <row r="4" spans="1:12" ht="15.75" customHeight="1" x14ac:dyDescent="0.25">
      <c r="A4" s="6" t="s">
        <v>606</v>
      </c>
      <c r="B4" s="6" t="s">
        <v>607</v>
      </c>
      <c r="C4" s="11">
        <v>10.16</v>
      </c>
      <c r="D4" s="11">
        <v>0.9</v>
      </c>
      <c r="E4" s="9">
        <v>0.7</v>
      </c>
      <c r="F4" s="11">
        <v>8.1999999999999993</v>
      </c>
      <c r="G4" s="11">
        <v>24</v>
      </c>
      <c r="H4" s="11">
        <f t="shared" si="0"/>
        <v>11.76</v>
      </c>
      <c r="I4" s="11">
        <f t="shared" si="1"/>
        <v>16.232968207320329</v>
      </c>
      <c r="J4" s="11">
        <f t="shared" si="2"/>
        <v>1.3311033930002667</v>
      </c>
      <c r="K4" s="11">
        <f t="shared" si="3"/>
        <v>3.1418648143200638</v>
      </c>
      <c r="L4" s="11">
        <f t="shared" si="4"/>
        <v>11.76</v>
      </c>
    </row>
    <row r="5" spans="1:12" ht="15.75" customHeight="1" x14ac:dyDescent="0.25">
      <c r="A5" s="6" t="s">
        <v>608</v>
      </c>
      <c r="B5" s="6" t="s">
        <v>609</v>
      </c>
      <c r="C5" s="9">
        <v>10.16</v>
      </c>
      <c r="D5" s="9">
        <v>0.9</v>
      </c>
      <c r="E5" s="9">
        <v>0.7</v>
      </c>
      <c r="F5" s="9">
        <v>8.1999999999999993</v>
      </c>
      <c r="G5" s="9">
        <v>24</v>
      </c>
      <c r="H5" s="9">
        <f t="shared" si="0"/>
        <v>11.76</v>
      </c>
      <c r="I5" s="9">
        <f t="shared" si="1"/>
        <v>16.232968207320329</v>
      </c>
      <c r="J5" s="9">
        <f t="shared" si="2"/>
        <v>1.3311033930002667</v>
      </c>
      <c r="K5" s="9">
        <f t="shared" si="3"/>
        <v>3.1418648143200638</v>
      </c>
      <c r="L5" s="9">
        <f t="shared" si="4"/>
        <v>11.76</v>
      </c>
    </row>
    <row r="6" spans="1:12" ht="15.75" customHeight="1" x14ac:dyDescent="0.25">
      <c r="A6" s="6" t="s">
        <v>610</v>
      </c>
      <c r="B6" s="6" t="s">
        <v>611</v>
      </c>
      <c r="C6" s="9">
        <v>10.16</v>
      </c>
      <c r="D6" s="9">
        <v>0.9</v>
      </c>
      <c r="E6" s="9">
        <v>0.7</v>
      </c>
      <c r="F6" s="9">
        <v>8.1999999999999993</v>
      </c>
      <c r="G6" s="9">
        <v>24</v>
      </c>
      <c r="H6" s="9">
        <f t="shared" si="0"/>
        <v>11.76</v>
      </c>
      <c r="I6" s="9">
        <f t="shared" si="1"/>
        <v>16.232968207320329</v>
      </c>
      <c r="J6" s="9">
        <f t="shared" si="2"/>
        <v>1.3311033930002667</v>
      </c>
      <c r="K6" s="9">
        <f t="shared" si="3"/>
        <v>3.1418648143200638</v>
      </c>
      <c r="L6" s="9">
        <f t="shared" si="4"/>
        <v>11.76</v>
      </c>
    </row>
    <row r="7" spans="1:12" ht="15.75" customHeight="1" x14ac:dyDescent="0.25">
      <c r="A7" s="6" t="s">
        <v>612</v>
      </c>
      <c r="B7" s="6" t="s">
        <v>613</v>
      </c>
      <c r="C7" s="9">
        <v>12.69</v>
      </c>
      <c r="D7" s="9">
        <v>0.9</v>
      </c>
      <c r="E7" s="9">
        <v>0.7</v>
      </c>
      <c r="F7" s="9">
        <v>8.1999999999999993</v>
      </c>
      <c r="G7" s="9">
        <v>24</v>
      </c>
      <c r="H7" s="9">
        <f t="shared" si="0"/>
        <v>14.29</v>
      </c>
      <c r="I7" s="9">
        <f t="shared" si="1"/>
        <v>19.725264938997235</v>
      </c>
      <c r="J7" s="9">
        <f t="shared" si="2"/>
        <v>1.6174717249977733</v>
      </c>
      <c r="K7" s="9">
        <f t="shared" si="3"/>
        <v>3.8177932139994653</v>
      </c>
      <c r="L7" s="9">
        <f t="shared" si="4"/>
        <v>14.289999999999996</v>
      </c>
    </row>
    <row r="8" spans="1:12" ht="15.75" customHeight="1" x14ac:dyDescent="0.25">
      <c r="A8" s="6" t="s">
        <v>614</v>
      </c>
      <c r="B8" s="6" t="s">
        <v>615</v>
      </c>
      <c r="C8" s="9">
        <v>7.62</v>
      </c>
      <c r="D8" s="9">
        <v>0.7</v>
      </c>
      <c r="E8" s="9">
        <v>0.7</v>
      </c>
      <c r="F8" s="9">
        <v>8.1999999999999993</v>
      </c>
      <c r="G8" s="9">
        <v>24</v>
      </c>
      <c r="H8" s="9">
        <f t="shared" si="0"/>
        <v>9.02</v>
      </c>
      <c r="I8" s="9">
        <f t="shared" si="1"/>
        <v>12.450797043369844</v>
      </c>
      <c r="J8" s="9">
        <f t="shared" si="2"/>
        <v>1.0209653575563271</v>
      </c>
      <c r="K8" s="9">
        <f t="shared" si="3"/>
        <v>2.4098316858135185</v>
      </c>
      <c r="L8" s="9">
        <f t="shared" si="4"/>
        <v>9.02</v>
      </c>
    </row>
    <row r="9" spans="1:12" ht="15.75" customHeight="1" x14ac:dyDescent="0.25">
      <c r="C9" s="9">
        <v>23.92</v>
      </c>
      <c r="D9" s="9">
        <v>0.9</v>
      </c>
      <c r="E9" s="9">
        <v>0.7</v>
      </c>
      <c r="F9" s="9">
        <v>8.1999999999999993</v>
      </c>
      <c r="G9" s="9">
        <v>24</v>
      </c>
      <c r="H9" s="9">
        <f t="shared" si="0"/>
        <v>25.52</v>
      </c>
      <c r="I9" s="9">
        <f t="shared" si="1"/>
        <v>35.226645293436633</v>
      </c>
      <c r="J9" s="9">
        <f t="shared" si="2"/>
        <v>2.8885849140618034</v>
      </c>
      <c r="K9" s="9">
        <f t="shared" si="3"/>
        <v>6.8180603793748311</v>
      </c>
      <c r="L9" s="9">
        <f t="shared" si="4"/>
        <v>25.52</v>
      </c>
    </row>
    <row r="10" spans="1:12" ht="15.75" customHeight="1" x14ac:dyDescent="0.25">
      <c r="C10" s="9">
        <v>23.92</v>
      </c>
      <c r="D10" s="9">
        <v>0.9</v>
      </c>
      <c r="E10" s="9">
        <v>0.7</v>
      </c>
      <c r="F10" s="9">
        <v>8.1999999999999993</v>
      </c>
      <c r="G10" s="9">
        <v>24</v>
      </c>
      <c r="H10" s="9">
        <f t="shared" si="0"/>
        <v>25.52</v>
      </c>
      <c r="I10" s="9">
        <f t="shared" si="1"/>
        <v>35.226645293436633</v>
      </c>
      <c r="J10" s="9">
        <f t="shared" si="2"/>
        <v>2.8885849140618034</v>
      </c>
      <c r="K10" s="9">
        <f t="shared" si="3"/>
        <v>6.8180603793748311</v>
      </c>
      <c r="L10" s="9">
        <f t="shared" si="4"/>
        <v>25.52</v>
      </c>
    </row>
    <row r="11" spans="1:12" ht="15.75" customHeight="1" x14ac:dyDescent="0.25">
      <c r="C11" s="9">
        <v>23.92</v>
      </c>
      <c r="D11" s="9">
        <v>0.9</v>
      </c>
      <c r="E11" s="9">
        <v>0.7</v>
      </c>
      <c r="F11" s="9">
        <v>8.1999999999999993</v>
      </c>
      <c r="G11" s="9">
        <v>24</v>
      </c>
      <c r="H11" s="9">
        <f t="shared" si="0"/>
        <v>25.52</v>
      </c>
      <c r="I11" s="9">
        <f t="shared" si="1"/>
        <v>35.226645293436633</v>
      </c>
      <c r="J11" s="9">
        <f t="shared" si="2"/>
        <v>2.8885849140618034</v>
      </c>
      <c r="K11" s="9">
        <f t="shared" si="3"/>
        <v>6.8180603793748311</v>
      </c>
      <c r="L11" s="9">
        <f t="shared" si="4"/>
        <v>25.52</v>
      </c>
    </row>
    <row r="12" spans="1:12" ht="15.75" customHeight="1" x14ac:dyDescent="0.25">
      <c r="C12" s="9">
        <v>6.12</v>
      </c>
      <c r="D12" s="9">
        <v>0.7</v>
      </c>
      <c r="E12" s="9">
        <v>0.7</v>
      </c>
      <c r="F12" s="9">
        <v>8.1999999999999993</v>
      </c>
      <c r="G12" s="9">
        <v>24</v>
      </c>
      <c r="H12" s="9">
        <f t="shared" si="0"/>
        <v>7.5200000000000005</v>
      </c>
      <c r="I12" s="9">
        <f t="shared" si="1"/>
        <v>10.380265384272864</v>
      </c>
      <c r="J12" s="9">
        <f t="shared" si="2"/>
        <v>0.85118176151037472</v>
      </c>
      <c r="K12" s="9">
        <f t="shared" si="3"/>
        <v>2.0090836227624891</v>
      </c>
      <c r="L12" s="9">
        <f t="shared" si="4"/>
        <v>7.52</v>
      </c>
    </row>
    <row r="13" spans="1:12" ht="15.75" customHeight="1" x14ac:dyDescent="0.25">
      <c r="C13" s="9">
        <v>23.92</v>
      </c>
      <c r="D13" s="9">
        <v>0.9</v>
      </c>
      <c r="E13" s="9">
        <v>0.7</v>
      </c>
      <c r="F13" s="9">
        <v>8.1999999999999993</v>
      </c>
      <c r="G13" s="9">
        <v>24</v>
      </c>
      <c r="H13" s="9">
        <f t="shared" si="0"/>
        <v>25.52</v>
      </c>
      <c r="I13" s="9">
        <f t="shared" si="1"/>
        <v>35.226645293436633</v>
      </c>
      <c r="J13" s="9">
        <f t="shared" si="2"/>
        <v>2.8885849140618034</v>
      </c>
      <c r="K13" s="9">
        <f t="shared" si="3"/>
        <v>6.8180603793748311</v>
      </c>
      <c r="L13" s="9">
        <f t="shared" si="4"/>
        <v>25.52</v>
      </c>
    </row>
    <row r="14" spans="1:12" ht="15.75" customHeight="1" x14ac:dyDescent="0.25">
      <c r="C14" s="9">
        <v>23.92</v>
      </c>
      <c r="D14" s="9">
        <v>0.9</v>
      </c>
      <c r="E14" s="9">
        <v>0.7</v>
      </c>
      <c r="F14" s="9">
        <v>13.9</v>
      </c>
      <c r="G14" s="9">
        <v>24</v>
      </c>
      <c r="H14" s="9">
        <f t="shared" si="0"/>
        <v>25.52</v>
      </c>
      <c r="I14" s="9">
        <f t="shared" si="1"/>
        <v>38.234981392876129</v>
      </c>
      <c r="J14" s="9">
        <f t="shared" si="2"/>
        <v>5.3146624136097822</v>
      </c>
      <c r="K14" s="9">
        <f t="shared" si="3"/>
        <v>7.4003189792663484</v>
      </c>
      <c r="L14" s="9">
        <f t="shared" si="4"/>
        <v>25.52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2:M10"/>
  <sheetViews>
    <sheetView workbookViewId="0">
      <selection activeCell="G9" sqref="G9"/>
    </sheetView>
  </sheetViews>
  <sheetFormatPr defaultColWidth="12.5703125" defaultRowHeight="15.75" customHeight="1" x14ac:dyDescent="0.2"/>
  <cols>
    <col min="1" max="1" width="42.28515625" customWidth="1"/>
  </cols>
  <sheetData>
    <row r="2" spans="1:13" ht="15.75" customHeight="1" x14ac:dyDescent="0.25">
      <c r="A2" s="6" t="s">
        <v>616</v>
      </c>
      <c r="C2" s="6" t="s">
        <v>617</v>
      </c>
      <c r="D2" s="9">
        <v>6.34</v>
      </c>
      <c r="E2" s="9">
        <v>0.55000000000000004</v>
      </c>
      <c r="F2" s="21">
        <v>0.43</v>
      </c>
      <c r="G2" s="9">
        <v>8.1999999999999993</v>
      </c>
      <c r="H2" s="9">
        <v>6</v>
      </c>
      <c r="I2" s="9">
        <f t="shared" ref="I2:I10" si="0">D2+E2+F2</f>
        <v>7.3199999999999994</v>
      </c>
      <c r="J2" s="9">
        <f t="shared" ref="J2:J10" si="1">I2 / (1 - G2/100 - (1 - 1/(1 + H2/100)))</f>
        <v>8.4978315153108159</v>
      </c>
      <c r="K2" s="9">
        <f t="shared" ref="K2:K10" si="2">J2 * G2 / 100</f>
        <v>0.69682218425548681</v>
      </c>
      <c r="L2" s="9">
        <f t="shared" ref="L2:L10" si="3">J2 - (J2 / (1 + H2/100))</f>
        <v>0.48100933105532917</v>
      </c>
      <c r="M2" s="9">
        <f t="shared" ref="M2:M10" si="4">J2 - K2 - L2</f>
        <v>7.32</v>
      </c>
    </row>
    <row r="3" spans="1:13" ht="15.75" customHeight="1" x14ac:dyDescent="0.25">
      <c r="A3" s="6" t="s">
        <v>618</v>
      </c>
      <c r="C3" s="6" t="s">
        <v>619</v>
      </c>
      <c r="D3" s="9">
        <v>3.03</v>
      </c>
      <c r="E3" s="9">
        <v>0.5</v>
      </c>
      <c r="F3" s="21">
        <v>0.2</v>
      </c>
      <c r="G3" s="9">
        <v>8.1999999999999993</v>
      </c>
      <c r="H3" s="9">
        <v>6</v>
      </c>
      <c r="I3" s="9">
        <f t="shared" si="0"/>
        <v>3.73</v>
      </c>
      <c r="J3" s="9">
        <f t="shared" si="1"/>
        <v>4.3301791737854298</v>
      </c>
      <c r="K3" s="9">
        <f t="shared" si="2"/>
        <v>0.35507469225040522</v>
      </c>
      <c r="L3" s="9">
        <f t="shared" si="3"/>
        <v>0.24510448153502473</v>
      </c>
      <c r="M3" s="9">
        <f t="shared" si="4"/>
        <v>3.73</v>
      </c>
    </row>
    <row r="4" spans="1:13" ht="15.75" customHeight="1" x14ac:dyDescent="0.25">
      <c r="A4" s="6" t="s">
        <v>620</v>
      </c>
      <c r="C4" s="6">
        <v>5212002714112</v>
      </c>
      <c r="D4" s="9">
        <v>5.56</v>
      </c>
      <c r="E4" s="9">
        <v>0.9</v>
      </c>
      <c r="F4" s="21">
        <v>0.35</v>
      </c>
      <c r="G4" s="9">
        <v>8.1999999999999993</v>
      </c>
      <c r="H4" s="9">
        <v>13</v>
      </c>
      <c r="I4" s="9">
        <f t="shared" si="0"/>
        <v>6.81</v>
      </c>
      <c r="J4" s="9">
        <f t="shared" si="1"/>
        <v>8.4811647232569918</v>
      </c>
      <c r="K4" s="9">
        <f t="shared" si="2"/>
        <v>0.69545550730707328</v>
      </c>
      <c r="L4" s="9">
        <f t="shared" si="3"/>
        <v>0.97570921594991855</v>
      </c>
      <c r="M4" s="9">
        <f t="shared" si="4"/>
        <v>6.81</v>
      </c>
    </row>
    <row r="5" spans="1:13" ht="15.75" customHeight="1" x14ac:dyDescent="0.25">
      <c r="D5" s="9">
        <v>6.68</v>
      </c>
      <c r="E5" s="9">
        <v>0.9</v>
      </c>
      <c r="F5" s="9">
        <v>0.7</v>
      </c>
      <c r="G5" s="9">
        <v>8.1999999999999993</v>
      </c>
      <c r="H5" s="9">
        <v>24</v>
      </c>
      <c r="I5" s="9">
        <f t="shared" si="0"/>
        <v>8.2799999999999994</v>
      </c>
      <c r="J5" s="9">
        <f t="shared" si="1"/>
        <v>11.429334758215333</v>
      </c>
      <c r="K5" s="9">
        <f t="shared" si="2"/>
        <v>0.9372054501736572</v>
      </c>
      <c r="L5" s="9">
        <f t="shared" si="3"/>
        <v>2.2121293080416766</v>
      </c>
      <c r="M5" s="9">
        <f t="shared" si="4"/>
        <v>8.2799999999999994</v>
      </c>
    </row>
    <row r="6" spans="1:13" ht="15.75" customHeight="1" x14ac:dyDescent="0.25">
      <c r="D6" s="9">
        <v>6.99</v>
      </c>
      <c r="E6" s="9">
        <v>0.9</v>
      </c>
      <c r="F6" s="9">
        <v>0.53</v>
      </c>
      <c r="G6" s="9">
        <v>8.1999999999999993</v>
      </c>
      <c r="H6" s="9">
        <v>6</v>
      </c>
      <c r="I6" s="9">
        <f t="shared" si="0"/>
        <v>8.42</v>
      </c>
      <c r="J6" s="9">
        <f t="shared" si="1"/>
        <v>9.7748280544968686</v>
      </c>
      <c r="K6" s="9">
        <f t="shared" si="2"/>
        <v>0.80153590046874312</v>
      </c>
      <c r="L6" s="9">
        <f t="shared" si="3"/>
        <v>0.55329215402812437</v>
      </c>
      <c r="M6" s="9">
        <f t="shared" si="4"/>
        <v>8.4200000000000017</v>
      </c>
    </row>
    <row r="7" spans="1:13" ht="15.75" customHeight="1" x14ac:dyDescent="0.25">
      <c r="D7" s="9">
        <v>6.68</v>
      </c>
      <c r="E7" s="9">
        <v>0.9</v>
      </c>
      <c r="F7" s="9">
        <v>0.7</v>
      </c>
      <c r="G7" s="9">
        <v>8.1999999999999993</v>
      </c>
      <c r="H7" s="9">
        <v>24</v>
      </c>
      <c r="I7" s="9">
        <f t="shared" si="0"/>
        <v>8.2799999999999994</v>
      </c>
      <c r="J7" s="9">
        <f t="shared" si="1"/>
        <v>11.429334758215333</v>
      </c>
      <c r="K7" s="9">
        <f t="shared" si="2"/>
        <v>0.9372054501736572</v>
      </c>
      <c r="L7" s="9">
        <f t="shared" si="3"/>
        <v>2.2121293080416766</v>
      </c>
      <c r="M7" s="9">
        <f t="shared" si="4"/>
        <v>8.2799999999999994</v>
      </c>
    </row>
    <row r="8" spans="1:13" ht="15.75" customHeight="1" x14ac:dyDescent="0.25">
      <c r="D8" s="9">
        <v>6.68</v>
      </c>
      <c r="E8" s="9">
        <v>0.9</v>
      </c>
      <c r="F8" s="9">
        <v>0.7</v>
      </c>
      <c r="G8" s="9">
        <v>8.1999999999999993</v>
      </c>
      <c r="H8" s="9">
        <v>24</v>
      </c>
      <c r="I8" s="9">
        <f t="shared" si="0"/>
        <v>8.2799999999999994</v>
      </c>
      <c r="J8" s="9">
        <f t="shared" si="1"/>
        <v>11.429334758215333</v>
      </c>
      <c r="K8" s="9">
        <f t="shared" si="2"/>
        <v>0.9372054501736572</v>
      </c>
      <c r="L8" s="9">
        <f t="shared" si="3"/>
        <v>2.2121293080416766</v>
      </c>
      <c r="M8" s="9">
        <f t="shared" si="4"/>
        <v>8.2799999999999994</v>
      </c>
    </row>
    <row r="9" spans="1:13" ht="15.75" customHeight="1" x14ac:dyDescent="0.25">
      <c r="D9" s="9">
        <v>6.99</v>
      </c>
      <c r="E9" s="9">
        <v>0.9</v>
      </c>
      <c r="F9" s="9">
        <v>0.53</v>
      </c>
      <c r="G9" s="9">
        <v>8.1999999999999993</v>
      </c>
      <c r="H9" s="9">
        <v>6</v>
      </c>
      <c r="I9" s="9">
        <f t="shared" si="0"/>
        <v>8.42</v>
      </c>
      <c r="J9" s="9">
        <f t="shared" si="1"/>
        <v>9.7748280544968686</v>
      </c>
      <c r="K9" s="9">
        <f t="shared" si="2"/>
        <v>0.80153590046874312</v>
      </c>
      <c r="L9" s="9">
        <f t="shared" si="3"/>
        <v>0.55329215402812437</v>
      </c>
      <c r="M9" s="9">
        <f t="shared" si="4"/>
        <v>8.4200000000000017</v>
      </c>
    </row>
    <row r="10" spans="1:13" ht="15.75" customHeight="1" x14ac:dyDescent="0.25">
      <c r="D10" s="9">
        <v>12.34</v>
      </c>
      <c r="E10" s="9">
        <v>0.9</v>
      </c>
      <c r="F10" s="9">
        <v>0.7</v>
      </c>
      <c r="G10" s="9">
        <v>8.1999999999999993</v>
      </c>
      <c r="H10" s="9">
        <v>24</v>
      </c>
      <c r="I10" s="9">
        <f t="shared" si="0"/>
        <v>13.94</v>
      </c>
      <c r="J10" s="9">
        <f t="shared" si="1"/>
        <v>19.242140885207942</v>
      </c>
      <c r="K10" s="9">
        <f t="shared" si="2"/>
        <v>1.577855552587051</v>
      </c>
      <c r="L10" s="9">
        <f t="shared" si="3"/>
        <v>3.7242853326208927</v>
      </c>
      <c r="M10" s="9">
        <f t="shared" si="4"/>
        <v>13.94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P22"/>
  <sheetViews>
    <sheetView workbookViewId="0"/>
  </sheetViews>
  <sheetFormatPr defaultColWidth="12.5703125" defaultRowHeight="15.75" customHeight="1" x14ac:dyDescent="0.2"/>
  <cols>
    <col min="1" max="1" width="33.42578125" customWidth="1"/>
    <col min="3" max="3" width="20" customWidth="1"/>
  </cols>
  <sheetData>
    <row r="1" spans="1:16" ht="15.75" customHeight="1" x14ac:dyDescent="0.25">
      <c r="A1" s="28"/>
      <c r="B1" s="28"/>
      <c r="C1" s="29" t="s">
        <v>621</v>
      </c>
      <c r="D1" s="29" t="s">
        <v>622</v>
      </c>
      <c r="E1" s="29" t="s">
        <v>623</v>
      </c>
      <c r="F1" s="29" t="s">
        <v>624</v>
      </c>
      <c r="G1" s="29" t="s">
        <v>625</v>
      </c>
      <c r="H1" s="29" t="s">
        <v>626</v>
      </c>
      <c r="I1" s="29" t="s">
        <v>627</v>
      </c>
      <c r="J1" s="29" t="s">
        <v>628</v>
      </c>
      <c r="K1" s="29" t="s">
        <v>629</v>
      </c>
      <c r="L1" s="29" t="s">
        <v>630</v>
      </c>
      <c r="M1" s="29" t="s">
        <v>631</v>
      </c>
      <c r="N1" s="29" t="s">
        <v>632</v>
      </c>
      <c r="O1" s="29" t="s">
        <v>633</v>
      </c>
      <c r="P1" s="29" t="s">
        <v>634</v>
      </c>
    </row>
    <row r="2" spans="1:16" ht="15.75" customHeight="1" x14ac:dyDescent="0.25">
      <c r="A2" s="30" t="s">
        <v>635</v>
      </c>
      <c r="B2" s="30" t="s">
        <v>636</v>
      </c>
      <c r="C2" s="31">
        <v>50.9</v>
      </c>
      <c r="D2" s="31">
        <v>0.9</v>
      </c>
      <c r="E2" s="32">
        <v>0.24</v>
      </c>
      <c r="F2" s="32">
        <v>8.2000000000000003E-2</v>
      </c>
      <c r="G2" s="33">
        <v>2.21</v>
      </c>
      <c r="H2" s="31">
        <v>0.15</v>
      </c>
      <c r="I2" s="32">
        <v>0.24</v>
      </c>
      <c r="J2" s="34">
        <f t="shared" ref="J2:J22" si="0">((C2+D2+G2+H2)*(1+I2))/(1-(F2*(1+I2)/(1+E2)))</f>
        <v>73.157298474945534</v>
      </c>
      <c r="K2" s="34">
        <v>1.72</v>
      </c>
      <c r="L2" s="34">
        <v>0.15</v>
      </c>
      <c r="M2" s="34">
        <v>0.2</v>
      </c>
      <c r="N2" s="34">
        <v>1.01</v>
      </c>
      <c r="O2" s="34">
        <v>1.1200000000000001</v>
      </c>
      <c r="P2" s="34">
        <v>1.1200000000000001</v>
      </c>
    </row>
    <row r="3" spans="1:16" ht="15.75" customHeight="1" x14ac:dyDescent="0.25">
      <c r="A3" s="30" t="s">
        <v>637</v>
      </c>
      <c r="B3" s="30" t="s">
        <v>638</v>
      </c>
      <c r="C3" s="31">
        <v>50.9</v>
      </c>
      <c r="D3" s="31">
        <v>0.9</v>
      </c>
      <c r="E3" s="32">
        <v>0.24</v>
      </c>
      <c r="F3" s="32">
        <v>8.2000000000000003E-2</v>
      </c>
      <c r="G3" s="33">
        <v>2.21</v>
      </c>
      <c r="H3" s="31">
        <v>0.15</v>
      </c>
      <c r="I3" s="32">
        <v>0.24</v>
      </c>
      <c r="J3" s="34">
        <f t="shared" si="0"/>
        <v>73.157298474945534</v>
      </c>
      <c r="K3" s="34">
        <v>12.33</v>
      </c>
      <c r="L3" s="34">
        <v>1.1100000000000001</v>
      </c>
      <c r="M3" s="34">
        <v>0.46</v>
      </c>
      <c r="N3" s="34">
        <v>2.39</v>
      </c>
      <c r="O3" s="34">
        <v>12.9</v>
      </c>
      <c r="P3" s="34">
        <v>2.9</v>
      </c>
    </row>
    <row r="4" spans="1:16" ht="15.75" customHeight="1" x14ac:dyDescent="0.25">
      <c r="A4" s="30" t="s">
        <v>639</v>
      </c>
      <c r="B4" s="30" t="s">
        <v>640</v>
      </c>
      <c r="C4" s="31">
        <v>59.5</v>
      </c>
      <c r="D4" s="31">
        <v>0.9</v>
      </c>
      <c r="E4" s="32">
        <v>0.24</v>
      </c>
      <c r="F4" s="32">
        <v>8.2000000000000003E-2</v>
      </c>
      <c r="G4" s="33">
        <v>2.21</v>
      </c>
      <c r="H4" s="31">
        <v>0.15</v>
      </c>
      <c r="I4" s="32">
        <v>0.24</v>
      </c>
      <c r="J4" s="34">
        <f t="shared" si="0"/>
        <v>84.773856209150324</v>
      </c>
      <c r="K4" s="34">
        <v>7.18</v>
      </c>
      <c r="L4" s="34">
        <v>0.61</v>
      </c>
      <c r="M4" s="34">
        <v>0.31</v>
      </c>
      <c r="N4" s="34">
        <v>1.59</v>
      </c>
      <c r="O4" s="34">
        <v>7.32</v>
      </c>
      <c r="P4" s="34">
        <v>2.3199999999999998</v>
      </c>
    </row>
    <row r="5" spans="1:16" ht="15.75" customHeight="1" x14ac:dyDescent="0.25">
      <c r="A5" s="30" t="s">
        <v>641</v>
      </c>
      <c r="B5" s="30" t="s">
        <v>642</v>
      </c>
      <c r="C5" s="31">
        <v>50.9</v>
      </c>
      <c r="D5" s="31">
        <v>0.9</v>
      </c>
      <c r="E5" s="32">
        <v>0.24</v>
      </c>
      <c r="F5" s="32">
        <v>8.2000000000000003E-2</v>
      </c>
      <c r="G5" s="33">
        <v>2.21</v>
      </c>
      <c r="H5" s="31">
        <v>0.15</v>
      </c>
      <c r="I5" s="32">
        <v>0.24</v>
      </c>
      <c r="J5" s="34">
        <f t="shared" si="0"/>
        <v>73.157298474945534</v>
      </c>
      <c r="K5" s="34">
        <v>7.18</v>
      </c>
      <c r="L5" s="34">
        <v>0.61</v>
      </c>
      <c r="M5" s="34">
        <v>0.31</v>
      </c>
      <c r="N5" s="34">
        <v>1.59</v>
      </c>
      <c r="O5" s="34">
        <v>7.32</v>
      </c>
      <c r="P5" s="34">
        <v>2.3199999999999998</v>
      </c>
    </row>
    <row r="6" spans="1:16" ht="15.75" customHeight="1" x14ac:dyDescent="0.25">
      <c r="A6" s="30" t="s">
        <v>643</v>
      </c>
      <c r="B6" s="30" t="s">
        <v>644</v>
      </c>
      <c r="C6" s="31">
        <v>12.9</v>
      </c>
      <c r="D6" s="31">
        <v>0.9</v>
      </c>
      <c r="E6" s="32">
        <v>0.24</v>
      </c>
      <c r="F6" s="32">
        <v>8.2000000000000003E-2</v>
      </c>
      <c r="G6" s="33">
        <v>1.02</v>
      </c>
      <c r="H6" s="31">
        <v>0.15</v>
      </c>
      <c r="I6" s="32">
        <v>0.24</v>
      </c>
      <c r="J6" s="34">
        <f t="shared" si="0"/>
        <v>20.220915032679738</v>
      </c>
      <c r="K6" s="34">
        <v>7.18</v>
      </c>
      <c r="L6" s="34">
        <v>0.61</v>
      </c>
      <c r="M6" s="34">
        <v>0.31</v>
      </c>
      <c r="N6" s="34">
        <v>1.59</v>
      </c>
      <c r="O6" s="34">
        <v>7.32</v>
      </c>
      <c r="P6" s="34">
        <v>2.3199999999999998</v>
      </c>
    </row>
    <row r="7" spans="1:16" ht="15.75" customHeight="1" x14ac:dyDescent="0.25">
      <c r="A7" s="30" t="s">
        <v>645</v>
      </c>
      <c r="B7" s="30" t="s">
        <v>646</v>
      </c>
      <c r="C7" s="31">
        <v>2.15</v>
      </c>
      <c r="D7" s="31">
        <v>0.5</v>
      </c>
      <c r="E7" s="32">
        <v>0.24</v>
      </c>
      <c r="F7" s="32">
        <v>8.2000000000000003E-2</v>
      </c>
      <c r="G7" s="35">
        <v>0.2</v>
      </c>
      <c r="H7" s="31">
        <v>0.15</v>
      </c>
      <c r="I7" s="32">
        <v>0.24</v>
      </c>
      <c r="J7" s="34">
        <f t="shared" si="0"/>
        <v>4.0522875816993462</v>
      </c>
      <c r="K7" s="34">
        <v>7.18</v>
      </c>
      <c r="L7" s="34">
        <v>0.61</v>
      </c>
      <c r="M7" s="34">
        <v>0.31</v>
      </c>
      <c r="N7" s="34">
        <v>1.59</v>
      </c>
      <c r="O7" s="34">
        <v>7.32</v>
      </c>
      <c r="P7" s="34">
        <v>2.3199999999999998</v>
      </c>
    </row>
    <row r="8" spans="1:16" ht="15.75" customHeight="1" x14ac:dyDescent="0.25">
      <c r="A8" s="30" t="s">
        <v>647</v>
      </c>
      <c r="B8" s="30" t="s">
        <v>648</v>
      </c>
      <c r="C8" s="31">
        <v>2.15</v>
      </c>
      <c r="D8" s="31">
        <v>0.5</v>
      </c>
      <c r="E8" s="32">
        <v>0.24</v>
      </c>
      <c r="F8" s="32">
        <v>8.2000000000000003E-2</v>
      </c>
      <c r="G8" s="31">
        <v>0.2</v>
      </c>
      <c r="H8" s="31">
        <v>0.15</v>
      </c>
      <c r="I8" s="32">
        <v>0.24</v>
      </c>
      <c r="J8" s="34">
        <f t="shared" si="0"/>
        <v>4.0522875816993462</v>
      </c>
      <c r="K8" s="34">
        <v>7.18</v>
      </c>
      <c r="L8" s="34">
        <v>0.61</v>
      </c>
      <c r="M8" s="34">
        <v>0.31</v>
      </c>
      <c r="N8" s="34">
        <v>1.59</v>
      </c>
      <c r="O8" s="34">
        <v>7.32</v>
      </c>
      <c r="P8" s="34">
        <v>2.3199999999999998</v>
      </c>
    </row>
    <row r="9" spans="1:16" ht="15.75" customHeight="1" x14ac:dyDescent="0.25">
      <c r="A9" s="36"/>
      <c r="B9" s="36"/>
      <c r="C9" s="31">
        <v>50.9</v>
      </c>
      <c r="D9" s="31">
        <v>0.9</v>
      </c>
      <c r="E9" s="32">
        <v>0.24</v>
      </c>
      <c r="F9" s="32">
        <v>8.2000000000000003E-2</v>
      </c>
      <c r="G9" s="31">
        <v>0.52</v>
      </c>
      <c r="H9" s="31">
        <v>0.15</v>
      </c>
      <c r="I9" s="32">
        <v>0.24</v>
      </c>
      <c r="J9" s="34">
        <f t="shared" si="0"/>
        <v>70.874509803921555</v>
      </c>
      <c r="K9" s="34">
        <v>7.18</v>
      </c>
      <c r="L9" s="34">
        <v>0.61</v>
      </c>
      <c r="M9" s="34">
        <v>0.31</v>
      </c>
      <c r="N9" s="34">
        <v>1.59</v>
      </c>
      <c r="O9" s="34">
        <v>7.32</v>
      </c>
      <c r="P9" s="34">
        <v>2.3199999999999998</v>
      </c>
    </row>
    <row r="10" spans="1:16" ht="15.75" customHeight="1" x14ac:dyDescent="0.25">
      <c r="A10" s="36"/>
      <c r="B10" s="36"/>
      <c r="C10" s="31">
        <v>12.34</v>
      </c>
      <c r="D10" s="31">
        <v>0.9</v>
      </c>
      <c r="E10" s="32">
        <v>0.24</v>
      </c>
      <c r="F10" s="32">
        <v>8.2000000000000003E-2</v>
      </c>
      <c r="G10" s="31">
        <v>0.52</v>
      </c>
      <c r="H10" s="31">
        <v>0.15</v>
      </c>
      <c r="I10" s="32">
        <v>0.24</v>
      </c>
      <c r="J10" s="34">
        <f t="shared" si="0"/>
        <v>18.789106753812636</v>
      </c>
      <c r="K10" s="34">
        <v>7.18</v>
      </c>
      <c r="L10" s="34">
        <v>0.61</v>
      </c>
      <c r="M10" s="34">
        <v>0.31</v>
      </c>
      <c r="N10" s="34">
        <v>1.59</v>
      </c>
      <c r="O10" s="34">
        <v>7.32</v>
      </c>
      <c r="P10" s="34">
        <v>2.3199999999999998</v>
      </c>
    </row>
    <row r="11" spans="1:16" ht="15.75" customHeight="1" x14ac:dyDescent="0.25">
      <c r="C11" s="31">
        <v>12.34</v>
      </c>
      <c r="D11" s="31">
        <v>0.9</v>
      </c>
      <c r="E11" s="32">
        <v>0.24</v>
      </c>
      <c r="F11" s="32">
        <v>8.2000000000000003E-2</v>
      </c>
      <c r="G11" s="31">
        <v>0.52</v>
      </c>
      <c r="H11" s="31">
        <v>0.15</v>
      </c>
      <c r="I11" s="32">
        <v>0.24</v>
      </c>
      <c r="J11" s="34">
        <f t="shared" si="0"/>
        <v>18.789106753812636</v>
      </c>
      <c r="K11" s="34">
        <v>7.18</v>
      </c>
      <c r="L11" s="34">
        <v>0.61</v>
      </c>
      <c r="M11" s="34">
        <v>0.31</v>
      </c>
      <c r="N11" s="34">
        <v>1.59</v>
      </c>
      <c r="O11" s="34">
        <v>7.32</v>
      </c>
      <c r="P11" s="34">
        <v>2.3199999999999998</v>
      </c>
    </row>
    <row r="12" spans="1:16" ht="15.75" customHeight="1" x14ac:dyDescent="0.25">
      <c r="C12" s="31">
        <v>12.34</v>
      </c>
      <c r="D12" s="31">
        <v>0.9</v>
      </c>
      <c r="E12" s="32">
        <v>0.24</v>
      </c>
      <c r="F12" s="32">
        <v>8.2000000000000003E-2</v>
      </c>
      <c r="G12" s="31">
        <v>0.52</v>
      </c>
      <c r="H12" s="31">
        <v>0.15</v>
      </c>
      <c r="I12" s="32">
        <v>0.24</v>
      </c>
      <c r="J12" s="34">
        <f t="shared" si="0"/>
        <v>18.789106753812636</v>
      </c>
      <c r="K12" s="34">
        <v>7.18</v>
      </c>
      <c r="L12" s="34">
        <v>0.61</v>
      </c>
      <c r="M12" s="34">
        <v>0.31</v>
      </c>
      <c r="N12" s="34">
        <v>1.59</v>
      </c>
      <c r="O12" s="34">
        <v>7.32</v>
      </c>
      <c r="P12" s="34">
        <v>2.3199999999999998</v>
      </c>
    </row>
    <row r="13" spans="1:16" ht="15.75" customHeight="1" x14ac:dyDescent="0.25">
      <c r="C13" s="31">
        <v>12.34</v>
      </c>
      <c r="D13" s="31">
        <v>0.9</v>
      </c>
      <c r="E13" s="32">
        <v>0.24</v>
      </c>
      <c r="F13" s="32">
        <v>8.2000000000000003E-2</v>
      </c>
      <c r="G13" s="31">
        <v>0.52</v>
      </c>
      <c r="H13" s="31">
        <v>0.15</v>
      </c>
      <c r="I13" s="32">
        <v>0.24</v>
      </c>
      <c r="J13" s="34">
        <f t="shared" si="0"/>
        <v>18.789106753812636</v>
      </c>
      <c r="K13" s="34">
        <v>7.18</v>
      </c>
      <c r="L13" s="34">
        <v>0.61</v>
      </c>
      <c r="M13" s="34">
        <v>0.31</v>
      </c>
      <c r="N13" s="34">
        <v>1.59</v>
      </c>
      <c r="O13" s="34">
        <v>7.32</v>
      </c>
      <c r="P13" s="34">
        <v>2.3199999999999998</v>
      </c>
    </row>
    <row r="14" spans="1:16" ht="15.75" customHeight="1" x14ac:dyDescent="0.25">
      <c r="C14" s="31">
        <v>12.34</v>
      </c>
      <c r="D14" s="31">
        <v>0.9</v>
      </c>
      <c r="E14" s="32">
        <v>0.24</v>
      </c>
      <c r="F14" s="32">
        <v>8.2000000000000003E-2</v>
      </c>
      <c r="G14" s="31">
        <v>0.52</v>
      </c>
      <c r="H14" s="31">
        <v>0.15</v>
      </c>
      <c r="I14" s="32">
        <v>0.24</v>
      </c>
      <c r="J14" s="34">
        <f t="shared" si="0"/>
        <v>18.789106753812636</v>
      </c>
      <c r="K14" s="34">
        <v>7.18</v>
      </c>
      <c r="L14" s="34">
        <v>0.61</v>
      </c>
      <c r="M14" s="34">
        <v>0.31</v>
      </c>
      <c r="N14" s="34">
        <v>1.59</v>
      </c>
      <c r="O14" s="34">
        <v>7.32</v>
      </c>
      <c r="P14" s="34">
        <v>2.3199999999999998</v>
      </c>
    </row>
    <row r="15" spans="1:16" ht="15.75" customHeight="1" x14ac:dyDescent="0.25">
      <c r="C15" s="31">
        <v>12.34</v>
      </c>
      <c r="D15" s="31">
        <v>0.9</v>
      </c>
      <c r="E15" s="32">
        <v>0.24</v>
      </c>
      <c r="F15" s="32">
        <v>8.2000000000000003E-2</v>
      </c>
      <c r="G15" s="31">
        <v>0.52</v>
      </c>
      <c r="H15" s="31">
        <v>0.15</v>
      </c>
      <c r="I15" s="32">
        <v>0.24</v>
      </c>
      <c r="J15" s="34">
        <f t="shared" si="0"/>
        <v>18.789106753812636</v>
      </c>
      <c r="K15" s="34">
        <v>7.18</v>
      </c>
      <c r="L15" s="34">
        <v>0.61</v>
      </c>
      <c r="M15" s="34">
        <v>0.31</v>
      </c>
      <c r="N15" s="34">
        <v>1.59</v>
      </c>
      <c r="O15" s="34">
        <v>7.32</v>
      </c>
      <c r="P15" s="34">
        <v>2.3199999999999998</v>
      </c>
    </row>
    <row r="16" spans="1:16" ht="15.75" customHeight="1" x14ac:dyDescent="0.25">
      <c r="C16" s="31">
        <v>12.34</v>
      </c>
      <c r="D16" s="31">
        <v>0.9</v>
      </c>
      <c r="E16" s="32">
        <v>0.24</v>
      </c>
      <c r="F16" s="32">
        <v>8.2000000000000003E-2</v>
      </c>
      <c r="G16" s="31">
        <v>0.52</v>
      </c>
      <c r="H16" s="31">
        <v>0.15</v>
      </c>
      <c r="I16" s="32">
        <v>0.24</v>
      </c>
      <c r="J16" s="34">
        <f t="shared" si="0"/>
        <v>18.789106753812636</v>
      </c>
      <c r="K16" s="34">
        <v>7.18</v>
      </c>
      <c r="L16" s="34">
        <v>0.61</v>
      </c>
      <c r="M16" s="34">
        <v>0.31</v>
      </c>
      <c r="N16" s="34">
        <v>1.59</v>
      </c>
      <c r="O16" s="34">
        <v>7.32</v>
      </c>
      <c r="P16" s="34">
        <v>2.3199999999999998</v>
      </c>
    </row>
    <row r="17" spans="3:16" ht="15.75" customHeight="1" x14ac:dyDescent="0.25">
      <c r="C17" s="31">
        <v>12.34</v>
      </c>
      <c r="D17" s="31">
        <v>0.9</v>
      </c>
      <c r="E17" s="32">
        <v>0.24</v>
      </c>
      <c r="F17" s="32">
        <v>8.2000000000000003E-2</v>
      </c>
      <c r="G17" s="31">
        <v>0.52</v>
      </c>
      <c r="H17" s="31">
        <v>0.15</v>
      </c>
      <c r="I17" s="32">
        <v>0.24</v>
      </c>
      <c r="J17" s="34">
        <f t="shared" si="0"/>
        <v>18.789106753812636</v>
      </c>
      <c r="K17" s="34">
        <v>7.18</v>
      </c>
      <c r="L17" s="34">
        <v>0.61</v>
      </c>
      <c r="M17" s="34">
        <v>0.31</v>
      </c>
      <c r="N17" s="34">
        <v>1.59</v>
      </c>
      <c r="O17" s="34">
        <v>7.32</v>
      </c>
      <c r="P17" s="34">
        <v>2.3199999999999998</v>
      </c>
    </row>
    <row r="18" spans="3:16" ht="15.75" customHeight="1" x14ac:dyDescent="0.25">
      <c r="C18" s="31">
        <v>12.34</v>
      </c>
      <c r="D18" s="31">
        <v>0.9</v>
      </c>
      <c r="E18" s="32">
        <v>0.24</v>
      </c>
      <c r="F18" s="32">
        <v>8.2000000000000003E-2</v>
      </c>
      <c r="G18" s="31">
        <v>0.52</v>
      </c>
      <c r="H18" s="31">
        <v>0.15</v>
      </c>
      <c r="I18" s="32">
        <v>0.24</v>
      </c>
      <c r="J18" s="34">
        <f t="shared" si="0"/>
        <v>18.789106753812636</v>
      </c>
      <c r="K18" s="34">
        <v>7.18</v>
      </c>
      <c r="L18" s="34">
        <v>0.61</v>
      </c>
      <c r="M18" s="34">
        <v>0.31</v>
      </c>
      <c r="N18" s="34">
        <v>1.59</v>
      </c>
      <c r="O18" s="34">
        <v>7.32</v>
      </c>
      <c r="P18" s="34">
        <v>2.3199999999999998</v>
      </c>
    </row>
    <row r="19" spans="3:16" ht="15.75" customHeight="1" x14ac:dyDescent="0.25">
      <c r="C19" s="31">
        <v>12.34</v>
      </c>
      <c r="D19" s="31">
        <v>0.9</v>
      </c>
      <c r="E19" s="32">
        <v>0.24</v>
      </c>
      <c r="F19" s="32">
        <v>8.2000000000000003E-2</v>
      </c>
      <c r="G19" s="31">
        <v>0.52</v>
      </c>
      <c r="H19" s="31">
        <v>0.15</v>
      </c>
      <c r="I19" s="32">
        <v>0.24</v>
      </c>
      <c r="J19" s="34">
        <f t="shared" si="0"/>
        <v>18.789106753812636</v>
      </c>
      <c r="K19" s="34">
        <v>7.18</v>
      </c>
      <c r="L19" s="34">
        <v>0.61</v>
      </c>
      <c r="M19" s="34">
        <v>0.31</v>
      </c>
      <c r="N19" s="34">
        <v>1.59</v>
      </c>
      <c r="O19" s="34">
        <v>7.32</v>
      </c>
      <c r="P19" s="34">
        <v>2.3199999999999998</v>
      </c>
    </row>
    <row r="20" spans="3:16" ht="15.75" customHeight="1" x14ac:dyDescent="0.25">
      <c r="C20" s="31">
        <v>7.64</v>
      </c>
      <c r="D20" s="31">
        <v>0.9</v>
      </c>
      <c r="E20" s="32">
        <v>0.24</v>
      </c>
      <c r="F20" s="32">
        <v>8.2000000000000003E-2</v>
      </c>
      <c r="G20" s="31">
        <v>0.52</v>
      </c>
      <c r="H20" s="31">
        <v>0.15</v>
      </c>
      <c r="I20" s="32">
        <v>0.24</v>
      </c>
      <c r="J20" s="34">
        <f t="shared" si="0"/>
        <v>12.440522875816992</v>
      </c>
      <c r="K20" s="34">
        <v>7.18</v>
      </c>
      <c r="L20" s="34">
        <v>0.61</v>
      </c>
      <c r="M20" s="34">
        <v>0.31</v>
      </c>
      <c r="N20" s="34">
        <v>1.59</v>
      </c>
      <c r="O20" s="34">
        <v>7.32</v>
      </c>
      <c r="P20" s="34">
        <v>2.3199999999999998</v>
      </c>
    </row>
    <row r="21" spans="3:16" ht="15.75" customHeight="1" x14ac:dyDescent="0.25">
      <c r="C21" s="31">
        <v>16.399999999999999</v>
      </c>
      <c r="D21" s="31">
        <v>0.9</v>
      </c>
      <c r="E21" s="32">
        <v>0.24</v>
      </c>
      <c r="F21" s="32">
        <v>8.2000000000000003E-2</v>
      </c>
      <c r="G21" s="31">
        <v>0.52</v>
      </c>
      <c r="H21" s="31">
        <v>0.15</v>
      </c>
      <c r="I21" s="32">
        <v>0.24</v>
      </c>
      <c r="J21" s="34">
        <f t="shared" si="0"/>
        <v>24.273202614379077</v>
      </c>
      <c r="K21" s="34">
        <v>7.18</v>
      </c>
      <c r="L21" s="34">
        <v>0.61</v>
      </c>
      <c r="M21" s="34">
        <v>0.31</v>
      </c>
      <c r="N21" s="34">
        <v>1.59</v>
      </c>
      <c r="O21" s="34">
        <v>7.32</v>
      </c>
      <c r="P21" s="34">
        <v>2.3199999999999998</v>
      </c>
    </row>
    <row r="22" spans="3:16" ht="15.75" customHeight="1" x14ac:dyDescent="0.25">
      <c r="C22" s="31">
        <v>19.18</v>
      </c>
      <c r="D22" s="31">
        <v>0.9</v>
      </c>
      <c r="E22" s="32">
        <v>0.24</v>
      </c>
      <c r="F22" s="32">
        <v>8.2000000000000003E-2</v>
      </c>
      <c r="G22" s="31">
        <v>0.52</v>
      </c>
      <c r="H22" s="31">
        <v>0.15</v>
      </c>
      <c r="I22" s="32">
        <v>0.24</v>
      </c>
      <c r="J22" s="34">
        <f t="shared" si="0"/>
        <v>28.028322440087141</v>
      </c>
      <c r="K22" s="34">
        <v>7.18</v>
      </c>
      <c r="L22" s="34">
        <v>0.61</v>
      </c>
      <c r="M22" s="34">
        <v>0.31</v>
      </c>
      <c r="N22" s="34">
        <v>1.59</v>
      </c>
      <c r="O22" s="34">
        <v>7.32</v>
      </c>
      <c r="P22" s="34">
        <v>2.3199999999999998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2:K11"/>
  <sheetViews>
    <sheetView workbookViewId="0"/>
  </sheetViews>
  <sheetFormatPr defaultColWidth="12.5703125" defaultRowHeight="15.75" customHeight="1" x14ac:dyDescent="0.2"/>
  <sheetData>
    <row r="2" spans="1:11" x14ac:dyDescent="0.2">
      <c r="A2" s="26" t="s">
        <v>649</v>
      </c>
      <c r="B2" s="26" t="s">
        <v>650</v>
      </c>
      <c r="C2" s="12">
        <v>13.59</v>
      </c>
      <c r="D2" s="12">
        <v>0.9</v>
      </c>
      <c r="E2" s="12">
        <f t="shared" ref="E2:E11" si="0">SUM(C2)+D2</f>
        <v>14.49</v>
      </c>
      <c r="F2" s="12">
        <v>1.1299999999999999</v>
      </c>
      <c r="G2" s="12">
        <f t="shared" ref="G2:G11" si="1">SUM(E2)*F2</f>
        <v>16.373699999999999</v>
      </c>
      <c r="H2" s="12">
        <v>1.1214999999999999</v>
      </c>
      <c r="I2" s="12">
        <f t="shared" ref="I2:I11" si="2">SUM(G2)*H2</f>
        <v>18.363104549999999</v>
      </c>
      <c r="J2" s="12">
        <v>0.73999999999999899</v>
      </c>
      <c r="K2" s="12">
        <f t="shared" ref="K2:K11" si="3">SUM(I2)+J2</f>
        <v>19.103104549999998</v>
      </c>
    </row>
    <row r="3" spans="1:11" x14ac:dyDescent="0.2">
      <c r="A3" s="26" t="s">
        <v>651</v>
      </c>
      <c r="B3" s="26" t="s">
        <v>652</v>
      </c>
      <c r="C3" s="12">
        <v>12.34</v>
      </c>
      <c r="D3" s="12">
        <v>0.9</v>
      </c>
      <c r="E3" s="12">
        <f t="shared" si="0"/>
        <v>13.24</v>
      </c>
      <c r="F3" s="12">
        <v>1.24</v>
      </c>
      <c r="G3" s="12">
        <f t="shared" si="1"/>
        <v>16.4176</v>
      </c>
      <c r="H3" s="12">
        <v>1.1214999999999999</v>
      </c>
      <c r="I3" s="12">
        <f t="shared" si="2"/>
        <v>18.412338399999999</v>
      </c>
      <c r="J3" s="12">
        <v>0.73999999999999899</v>
      </c>
      <c r="K3" s="12">
        <f t="shared" si="3"/>
        <v>19.152338399999998</v>
      </c>
    </row>
    <row r="4" spans="1:11" x14ac:dyDescent="0.2">
      <c r="A4" s="26" t="s">
        <v>653</v>
      </c>
      <c r="B4" s="26" t="s">
        <v>654</v>
      </c>
      <c r="C4" s="12">
        <v>12.34</v>
      </c>
      <c r="D4" s="12">
        <v>0.9</v>
      </c>
      <c r="E4" s="12">
        <f t="shared" si="0"/>
        <v>13.24</v>
      </c>
      <c r="F4" s="12">
        <v>1.24</v>
      </c>
      <c r="G4" s="12">
        <f t="shared" si="1"/>
        <v>16.4176</v>
      </c>
      <c r="H4" s="12">
        <v>1.1214999999999999</v>
      </c>
      <c r="I4" s="12">
        <f t="shared" si="2"/>
        <v>18.412338399999999</v>
      </c>
      <c r="J4" s="12">
        <v>0.73999999999999899</v>
      </c>
      <c r="K4" s="12">
        <f t="shared" si="3"/>
        <v>19.152338399999998</v>
      </c>
    </row>
    <row r="5" spans="1:11" x14ac:dyDescent="0.2">
      <c r="A5" s="26" t="s">
        <v>655</v>
      </c>
      <c r="B5" s="26" t="s">
        <v>656</v>
      </c>
      <c r="C5" s="12">
        <v>14.38</v>
      </c>
      <c r="D5" s="12">
        <v>0.9</v>
      </c>
      <c r="E5" s="12">
        <f t="shared" si="0"/>
        <v>15.280000000000001</v>
      </c>
      <c r="F5" s="12">
        <v>1.24</v>
      </c>
      <c r="G5" s="12">
        <f t="shared" si="1"/>
        <v>18.947200000000002</v>
      </c>
      <c r="H5" s="12">
        <v>1.1214999999999999</v>
      </c>
      <c r="I5" s="12">
        <f t="shared" si="2"/>
        <v>21.249284800000002</v>
      </c>
      <c r="J5" s="12">
        <v>0.73999999999999899</v>
      </c>
      <c r="K5" s="12">
        <f t="shared" si="3"/>
        <v>21.9892848</v>
      </c>
    </row>
    <row r="6" spans="1:11" x14ac:dyDescent="0.2">
      <c r="A6" s="26" t="s">
        <v>657</v>
      </c>
      <c r="B6" s="26" t="s">
        <v>658</v>
      </c>
      <c r="C6" s="12">
        <v>11.05</v>
      </c>
      <c r="D6" s="12">
        <v>0.9</v>
      </c>
      <c r="E6" s="12">
        <f t="shared" si="0"/>
        <v>11.950000000000001</v>
      </c>
      <c r="F6" s="12">
        <v>1.24</v>
      </c>
      <c r="G6" s="12">
        <f t="shared" si="1"/>
        <v>14.818000000000001</v>
      </c>
      <c r="H6" s="12">
        <v>1.1214999999999999</v>
      </c>
      <c r="I6" s="12">
        <f t="shared" si="2"/>
        <v>16.618387000000002</v>
      </c>
      <c r="J6" s="12">
        <v>0.73999999999999899</v>
      </c>
      <c r="K6" s="12">
        <f t="shared" si="3"/>
        <v>17.358387</v>
      </c>
    </row>
    <row r="7" spans="1:11" x14ac:dyDescent="0.2">
      <c r="A7" s="26" t="s">
        <v>659</v>
      </c>
      <c r="B7" s="26" t="s">
        <v>660</v>
      </c>
      <c r="C7" s="12">
        <v>11.27</v>
      </c>
      <c r="D7" s="12">
        <v>0.9</v>
      </c>
      <c r="E7" s="12">
        <f t="shared" si="0"/>
        <v>12.17</v>
      </c>
      <c r="F7" s="12">
        <v>1.24</v>
      </c>
      <c r="G7" s="12">
        <f t="shared" si="1"/>
        <v>15.0908</v>
      </c>
      <c r="H7" s="12">
        <v>1.1214999999999999</v>
      </c>
      <c r="I7" s="12">
        <f t="shared" si="2"/>
        <v>16.924332199999998</v>
      </c>
      <c r="J7" s="12">
        <v>0.73999999999999899</v>
      </c>
      <c r="K7" s="12">
        <f t="shared" si="3"/>
        <v>17.664332199999997</v>
      </c>
    </row>
    <row r="8" spans="1:11" x14ac:dyDescent="0.2">
      <c r="C8" s="12">
        <v>0</v>
      </c>
      <c r="D8" s="12">
        <v>0.9</v>
      </c>
      <c r="E8" s="12">
        <f t="shared" si="0"/>
        <v>0.9</v>
      </c>
      <c r="F8" s="12">
        <v>1.24</v>
      </c>
      <c r="G8" s="12">
        <f t="shared" si="1"/>
        <v>1.1160000000000001</v>
      </c>
      <c r="H8" s="12">
        <v>1.1214999999999999</v>
      </c>
      <c r="I8" s="12">
        <f t="shared" si="2"/>
        <v>1.2515940000000001</v>
      </c>
      <c r="J8" s="12">
        <v>0.73999999999999899</v>
      </c>
      <c r="K8" s="12">
        <f t="shared" si="3"/>
        <v>1.9915939999999992</v>
      </c>
    </row>
    <row r="9" spans="1:11" x14ac:dyDescent="0.2">
      <c r="C9" s="12">
        <v>0</v>
      </c>
      <c r="D9" s="12">
        <v>0.9</v>
      </c>
      <c r="E9" s="12">
        <f t="shared" si="0"/>
        <v>0.9</v>
      </c>
      <c r="F9" s="12">
        <v>1.24</v>
      </c>
      <c r="G9" s="12">
        <f t="shared" si="1"/>
        <v>1.1160000000000001</v>
      </c>
      <c r="H9" s="12">
        <v>1.1214999999999999</v>
      </c>
      <c r="I9" s="12">
        <f t="shared" si="2"/>
        <v>1.2515940000000001</v>
      </c>
      <c r="J9" s="12">
        <v>0.73999999999999899</v>
      </c>
      <c r="K9" s="12">
        <f t="shared" si="3"/>
        <v>1.9915939999999992</v>
      </c>
    </row>
    <row r="10" spans="1:11" x14ac:dyDescent="0.2">
      <c r="C10" s="12">
        <v>0</v>
      </c>
      <c r="D10" s="12">
        <v>0.9</v>
      </c>
      <c r="E10" s="12">
        <f t="shared" si="0"/>
        <v>0.9</v>
      </c>
      <c r="F10" s="12">
        <v>1.24</v>
      </c>
      <c r="G10" s="12">
        <f t="shared" si="1"/>
        <v>1.1160000000000001</v>
      </c>
      <c r="H10" s="12">
        <v>1.1214999999999999</v>
      </c>
      <c r="I10" s="12">
        <f t="shared" si="2"/>
        <v>1.2515940000000001</v>
      </c>
      <c r="J10" s="12">
        <v>0.73999999999999899</v>
      </c>
      <c r="K10" s="12">
        <f t="shared" si="3"/>
        <v>1.9915939999999992</v>
      </c>
    </row>
    <row r="11" spans="1:11" x14ac:dyDescent="0.2">
      <c r="C11" s="12">
        <v>0</v>
      </c>
      <c r="D11" s="12">
        <v>0.9</v>
      </c>
      <c r="E11" s="12">
        <f t="shared" si="0"/>
        <v>0.9</v>
      </c>
      <c r="F11" s="12">
        <v>1.24</v>
      </c>
      <c r="G11" s="12">
        <f t="shared" si="1"/>
        <v>1.1160000000000001</v>
      </c>
      <c r="H11" s="12">
        <v>1.1214999999999999</v>
      </c>
      <c r="I11" s="12">
        <f t="shared" si="2"/>
        <v>1.2515940000000001</v>
      </c>
      <c r="J11" s="12">
        <v>0.73999999999999899</v>
      </c>
      <c r="K11" s="12">
        <f t="shared" si="3"/>
        <v>1.9915939999999992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C38"/>
  <sheetViews>
    <sheetView workbookViewId="0"/>
  </sheetViews>
  <sheetFormatPr defaultColWidth="12.5703125" defaultRowHeight="15.75" customHeight="1" x14ac:dyDescent="0.2"/>
  <cols>
    <col min="1" max="1" width="46.85546875" customWidth="1"/>
  </cols>
  <sheetData>
    <row r="1" spans="1:29" ht="17.25" customHeight="1" x14ac:dyDescent="0.2">
      <c r="A1" s="12"/>
      <c r="B1" s="25"/>
      <c r="C1" s="12" t="s">
        <v>542</v>
      </c>
      <c r="D1" s="12"/>
      <c r="E1" s="12" t="s">
        <v>497</v>
      </c>
      <c r="F1" s="12" t="s">
        <v>498</v>
      </c>
      <c r="G1" s="12" t="s">
        <v>497</v>
      </c>
      <c r="H1" s="12" t="s">
        <v>499</v>
      </c>
      <c r="I1" s="12" t="s">
        <v>497</v>
      </c>
      <c r="J1" s="12" t="s">
        <v>500</v>
      </c>
      <c r="K1" s="12" t="s">
        <v>497</v>
      </c>
    </row>
    <row r="2" spans="1:29" ht="12.75" x14ac:dyDescent="0.2">
      <c r="A2" s="6" t="s">
        <v>661</v>
      </c>
      <c r="B2" s="6" t="s">
        <v>662</v>
      </c>
      <c r="C2" s="15">
        <v>5.13</v>
      </c>
      <c r="D2" s="15">
        <v>0.54</v>
      </c>
      <c r="E2" s="15">
        <f t="shared" ref="E2:E38" si="0">SUM(C2)+D2</f>
        <v>5.67</v>
      </c>
      <c r="F2" s="15">
        <v>1.06</v>
      </c>
      <c r="G2" s="15">
        <f t="shared" ref="G2:G38" si="1">SUM(E2)*F2</f>
        <v>6.0102000000000002</v>
      </c>
      <c r="H2" s="15">
        <v>1.1214999999999999</v>
      </c>
      <c r="I2" s="15">
        <f t="shared" ref="I2:I38" si="2">SUM(G2)*H2</f>
        <v>6.7404393000000002</v>
      </c>
      <c r="J2" s="15">
        <v>0.25</v>
      </c>
      <c r="K2" s="15">
        <f t="shared" ref="K2:K38" si="3">SUM(I2)+J2</f>
        <v>6.9904393000000002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1:29" ht="12.75" x14ac:dyDescent="0.2">
      <c r="A3" s="6" t="s">
        <v>663</v>
      </c>
      <c r="B3" s="6" t="s">
        <v>664</v>
      </c>
      <c r="C3" s="15">
        <v>5.13</v>
      </c>
      <c r="D3" s="15">
        <v>0.54</v>
      </c>
      <c r="E3" s="15">
        <f t="shared" si="0"/>
        <v>5.67</v>
      </c>
      <c r="F3" s="15">
        <v>1.06</v>
      </c>
      <c r="G3" s="15">
        <f t="shared" si="1"/>
        <v>6.0102000000000002</v>
      </c>
      <c r="H3" s="15">
        <v>1.1214999999999999</v>
      </c>
      <c r="I3" s="15">
        <f t="shared" si="2"/>
        <v>6.7404393000000002</v>
      </c>
      <c r="J3" s="15">
        <v>0.25</v>
      </c>
      <c r="K3" s="15">
        <f t="shared" si="3"/>
        <v>6.9904393000000002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29" ht="12.75" x14ac:dyDescent="0.2">
      <c r="A4" s="6" t="s">
        <v>665</v>
      </c>
      <c r="B4" s="6" t="s">
        <v>666</v>
      </c>
      <c r="C4" s="15">
        <v>5.13</v>
      </c>
      <c r="D4" s="15">
        <v>0.54</v>
      </c>
      <c r="E4" s="15">
        <f t="shared" si="0"/>
        <v>5.67</v>
      </c>
      <c r="F4" s="15">
        <v>1.06</v>
      </c>
      <c r="G4" s="15">
        <f t="shared" si="1"/>
        <v>6.0102000000000002</v>
      </c>
      <c r="H4" s="15">
        <v>1.1214999999999999</v>
      </c>
      <c r="I4" s="15">
        <f t="shared" si="2"/>
        <v>6.7404393000000002</v>
      </c>
      <c r="J4" s="15">
        <v>0.25</v>
      </c>
      <c r="K4" s="15">
        <f t="shared" si="3"/>
        <v>6.9904393000000002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29" ht="12.75" x14ac:dyDescent="0.2">
      <c r="A5" s="6" t="s">
        <v>667</v>
      </c>
      <c r="B5" s="6" t="s">
        <v>668</v>
      </c>
      <c r="C5" s="15">
        <v>5.13</v>
      </c>
      <c r="D5" s="15">
        <v>0.54</v>
      </c>
      <c r="E5" s="15">
        <f t="shared" si="0"/>
        <v>5.67</v>
      </c>
      <c r="F5" s="15">
        <v>1.06</v>
      </c>
      <c r="G5" s="15">
        <f t="shared" si="1"/>
        <v>6.0102000000000002</v>
      </c>
      <c r="H5" s="15">
        <v>1.1214999999999999</v>
      </c>
      <c r="I5" s="15">
        <f t="shared" si="2"/>
        <v>6.7404393000000002</v>
      </c>
      <c r="J5" s="15">
        <v>0.25</v>
      </c>
      <c r="K5" s="15">
        <f t="shared" si="3"/>
        <v>6.9904393000000002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1:29" ht="12.75" x14ac:dyDescent="0.2">
      <c r="A6" s="6" t="s">
        <v>669</v>
      </c>
      <c r="B6" s="6" t="s">
        <v>670</v>
      </c>
      <c r="C6" s="15">
        <v>4.74</v>
      </c>
      <c r="D6" s="15">
        <v>0.7</v>
      </c>
      <c r="E6" s="15">
        <f t="shared" si="0"/>
        <v>5.44</v>
      </c>
      <c r="F6" s="15">
        <v>1.06</v>
      </c>
      <c r="G6" s="15">
        <f t="shared" si="1"/>
        <v>5.7664000000000009</v>
      </c>
      <c r="H6" s="15">
        <v>1.1214999999999999</v>
      </c>
      <c r="I6" s="15">
        <f t="shared" si="2"/>
        <v>6.467017600000001</v>
      </c>
      <c r="J6" s="15">
        <v>0.25</v>
      </c>
      <c r="K6" s="15">
        <f t="shared" si="3"/>
        <v>6.717017600000001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spans="1:29" ht="12.75" x14ac:dyDescent="0.2">
      <c r="A7" s="6" t="s">
        <v>671</v>
      </c>
      <c r="B7" s="6" t="s">
        <v>672</v>
      </c>
      <c r="C7" s="15">
        <v>4.26</v>
      </c>
      <c r="D7" s="15">
        <v>0.7</v>
      </c>
      <c r="E7" s="15">
        <f t="shared" si="0"/>
        <v>4.96</v>
      </c>
      <c r="F7" s="15">
        <v>1.06</v>
      </c>
      <c r="G7" s="15">
        <f t="shared" si="1"/>
        <v>5.2576000000000001</v>
      </c>
      <c r="H7" s="15">
        <v>1.1214999999999999</v>
      </c>
      <c r="I7" s="15">
        <f t="shared" si="2"/>
        <v>5.8963983999999998</v>
      </c>
      <c r="J7" s="15">
        <v>0.25</v>
      </c>
      <c r="K7" s="15">
        <f t="shared" si="3"/>
        <v>6.1463983999999998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29" ht="12.75" x14ac:dyDescent="0.2">
      <c r="A8" s="6" t="s">
        <v>673</v>
      </c>
      <c r="B8" s="6" t="s">
        <v>674</v>
      </c>
      <c r="C8" s="15">
        <v>4.74</v>
      </c>
      <c r="D8" s="15">
        <v>0.7</v>
      </c>
      <c r="E8" s="15">
        <f t="shared" si="0"/>
        <v>5.44</v>
      </c>
      <c r="F8" s="15">
        <v>1.06</v>
      </c>
      <c r="G8" s="15">
        <f t="shared" si="1"/>
        <v>5.7664000000000009</v>
      </c>
      <c r="H8" s="15">
        <v>1.1214999999999999</v>
      </c>
      <c r="I8" s="15">
        <f t="shared" si="2"/>
        <v>6.467017600000001</v>
      </c>
      <c r="J8" s="15">
        <v>0.25</v>
      </c>
      <c r="K8" s="15">
        <f t="shared" si="3"/>
        <v>6.717017600000001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29" ht="12.75" x14ac:dyDescent="0.2">
      <c r="A9" s="6" t="s">
        <v>675</v>
      </c>
      <c r="B9" s="6" t="s">
        <v>676</v>
      </c>
      <c r="C9" s="15">
        <v>5.13</v>
      </c>
      <c r="D9" s="15">
        <v>0.54</v>
      </c>
      <c r="E9" s="15">
        <f t="shared" si="0"/>
        <v>5.67</v>
      </c>
      <c r="F9" s="15">
        <v>1.06</v>
      </c>
      <c r="G9" s="15">
        <f t="shared" si="1"/>
        <v>6.0102000000000002</v>
      </c>
      <c r="H9" s="15">
        <v>1.1214999999999999</v>
      </c>
      <c r="I9" s="15">
        <f t="shared" si="2"/>
        <v>6.7404393000000002</v>
      </c>
      <c r="J9" s="15">
        <v>0.25</v>
      </c>
      <c r="K9" s="15">
        <f t="shared" si="3"/>
        <v>6.9904393000000002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29" ht="12.75" x14ac:dyDescent="0.2">
      <c r="A10" s="13" t="s">
        <v>677</v>
      </c>
      <c r="B10" s="15">
        <v>8052787970917</v>
      </c>
      <c r="C10" s="15">
        <v>5.13</v>
      </c>
      <c r="D10" s="15">
        <v>0.54</v>
      </c>
      <c r="E10" s="15">
        <f t="shared" si="0"/>
        <v>5.67</v>
      </c>
      <c r="F10" s="15">
        <v>1.06</v>
      </c>
      <c r="G10" s="15">
        <f t="shared" si="1"/>
        <v>6.0102000000000002</v>
      </c>
      <c r="H10" s="15">
        <v>1.1214999999999999</v>
      </c>
      <c r="I10" s="15">
        <f t="shared" si="2"/>
        <v>6.7404393000000002</v>
      </c>
      <c r="J10" s="15">
        <v>0.25</v>
      </c>
      <c r="K10" s="15">
        <f t="shared" si="3"/>
        <v>6.9904393000000002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spans="1:29" ht="12.75" x14ac:dyDescent="0.2">
      <c r="A11" s="13" t="s">
        <v>678</v>
      </c>
      <c r="B11" s="15">
        <v>8052787973864</v>
      </c>
      <c r="C11" s="15">
        <v>5.13</v>
      </c>
      <c r="D11" s="15">
        <v>0.54</v>
      </c>
      <c r="E11" s="15">
        <f t="shared" si="0"/>
        <v>5.67</v>
      </c>
      <c r="F11" s="15">
        <v>1.06</v>
      </c>
      <c r="G11" s="15">
        <f t="shared" si="1"/>
        <v>6.0102000000000002</v>
      </c>
      <c r="H11" s="15">
        <v>1.1214999999999999</v>
      </c>
      <c r="I11" s="15">
        <f t="shared" si="2"/>
        <v>6.7404393000000002</v>
      </c>
      <c r="J11" s="15">
        <v>0.25</v>
      </c>
      <c r="K11" s="15">
        <f t="shared" si="3"/>
        <v>6.9904393000000002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29" ht="12.75" x14ac:dyDescent="0.2">
      <c r="A12" s="13" t="s">
        <v>679</v>
      </c>
      <c r="B12" s="15">
        <v>8052787970467</v>
      </c>
      <c r="C12" s="15">
        <v>4.26</v>
      </c>
      <c r="D12" s="15">
        <v>0.54</v>
      </c>
      <c r="E12" s="15">
        <f t="shared" si="0"/>
        <v>4.8</v>
      </c>
      <c r="F12" s="15">
        <v>1.06</v>
      </c>
      <c r="G12" s="15">
        <f t="shared" si="1"/>
        <v>5.0880000000000001</v>
      </c>
      <c r="H12" s="15">
        <v>1.1214999999999999</v>
      </c>
      <c r="I12" s="15">
        <f t="shared" si="2"/>
        <v>5.7061919999999997</v>
      </c>
      <c r="J12" s="15">
        <v>0.25</v>
      </c>
      <c r="K12" s="15">
        <f t="shared" si="3"/>
        <v>5.9561919999999997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29" ht="12.75" x14ac:dyDescent="0.2">
      <c r="A13" s="13" t="s">
        <v>680</v>
      </c>
      <c r="B13" s="15">
        <v>8052787971631</v>
      </c>
      <c r="C13" s="15">
        <v>9.06</v>
      </c>
      <c r="D13" s="15">
        <v>0.9</v>
      </c>
      <c r="E13" s="15">
        <f t="shared" si="0"/>
        <v>9.9600000000000009</v>
      </c>
      <c r="F13" s="15">
        <v>1.06</v>
      </c>
      <c r="G13" s="15">
        <f t="shared" si="1"/>
        <v>10.557600000000001</v>
      </c>
      <c r="H13" s="15">
        <v>1.1214999999999999</v>
      </c>
      <c r="I13" s="15">
        <f t="shared" si="2"/>
        <v>11.8403484</v>
      </c>
      <c r="J13" s="15">
        <v>0.74</v>
      </c>
      <c r="K13" s="15">
        <f t="shared" si="3"/>
        <v>12.5803484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spans="1:29" ht="12.75" x14ac:dyDescent="0.2">
      <c r="A14" s="13" t="s">
        <v>681</v>
      </c>
      <c r="B14" s="15">
        <v>8052787973970</v>
      </c>
      <c r="C14" s="15">
        <v>10.4</v>
      </c>
      <c r="D14" s="15">
        <v>0.9</v>
      </c>
      <c r="E14" s="15">
        <f t="shared" si="0"/>
        <v>11.3</v>
      </c>
      <c r="F14" s="15">
        <v>1.06</v>
      </c>
      <c r="G14" s="15">
        <f t="shared" si="1"/>
        <v>11.978000000000002</v>
      </c>
      <c r="H14" s="15">
        <v>1.1214999999999999</v>
      </c>
      <c r="I14" s="15">
        <f t="shared" si="2"/>
        <v>13.433327</v>
      </c>
      <c r="J14" s="15">
        <v>0.74</v>
      </c>
      <c r="K14" s="15">
        <f t="shared" si="3"/>
        <v>14.173327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spans="1:29" ht="12.75" x14ac:dyDescent="0.2">
      <c r="A15" s="13" t="s">
        <v>682</v>
      </c>
      <c r="B15" s="15">
        <v>8052787971624</v>
      </c>
      <c r="C15" s="15">
        <v>9.06</v>
      </c>
      <c r="D15" s="15">
        <v>0.9</v>
      </c>
      <c r="E15" s="15">
        <f t="shared" si="0"/>
        <v>9.9600000000000009</v>
      </c>
      <c r="F15" s="15">
        <v>1.06</v>
      </c>
      <c r="G15" s="15">
        <f t="shared" si="1"/>
        <v>10.557600000000001</v>
      </c>
      <c r="H15" s="15">
        <v>1.1214999999999999</v>
      </c>
      <c r="I15" s="15">
        <f t="shared" si="2"/>
        <v>11.8403484</v>
      </c>
      <c r="J15" s="15">
        <v>0.74</v>
      </c>
      <c r="K15" s="15">
        <f t="shared" si="3"/>
        <v>12.5803484</v>
      </c>
      <c r="L15" s="13">
        <v>12.79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spans="1:29" ht="12.75" x14ac:dyDescent="0.2">
      <c r="A16" s="13" t="s">
        <v>683</v>
      </c>
      <c r="B16" s="15">
        <v>8052787970481</v>
      </c>
      <c r="C16" s="15">
        <v>5.13</v>
      </c>
      <c r="D16" s="15">
        <v>0.54</v>
      </c>
      <c r="E16" s="15">
        <f t="shared" si="0"/>
        <v>5.67</v>
      </c>
      <c r="F16" s="15">
        <v>1.06</v>
      </c>
      <c r="G16" s="15">
        <f t="shared" si="1"/>
        <v>6.0102000000000002</v>
      </c>
      <c r="H16" s="15">
        <v>1.1214999999999999</v>
      </c>
      <c r="I16" s="15">
        <f t="shared" si="2"/>
        <v>6.7404393000000002</v>
      </c>
      <c r="J16" s="15">
        <v>0.25</v>
      </c>
      <c r="K16" s="15">
        <f t="shared" si="3"/>
        <v>6.9904393000000002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spans="1:29" ht="12.75" x14ac:dyDescent="0.2">
      <c r="A17" s="13" t="s">
        <v>684</v>
      </c>
      <c r="B17" s="15">
        <v>8052787971532</v>
      </c>
      <c r="C17" s="15">
        <v>6.31</v>
      </c>
      <c r="D17" s="15">
        <v>0.9</v>
      </c>
      <c r="E17" s="15">
        <f t="shared" si="0"/>
        <v>7.21</v>
      </c>
      <c r="F17" s="15">
        <v>1.06</v>
      </c>
      <c r="G17" s="15">
        <f t="shared" si="1"/>
        <v>7.6426000000000007</v>
      </c>
      <c r="H17" s="15">
        <v>1.1214999999999999</v>
      </c>
      <c r="I17" s="15">
        <f t="shared" si="2"/>
        <v>8.5711759000000001</v>
      </c>
      <c r="J17" s="15">
        <v>0.74</v>
      </c>
      <c r="K17" s="15">
        <f t="shared" si="3"/>
        <v>9.3111759000000003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spans="1:29" ht="12.75" x14ac:dyDescent="0.2">
      <c r="A18" s="12" t="s">
        <v>685</v>
      </c>
      <c r="B18" s="25">
        <v>8052787971761</v>
      </c>
      <c r="C18" s="12">
        <v>4.8099999999999996</v>
      </c>
      <c r="D18" s="12">
        <v>0.9</v>
      </c>
      <c r="E18" s="12">
        <f t="shared" si="0"/>
        <v>5.71</v>
      </c>
      <c r="F18" s="12">
        <v>1.06</v>
      </c>
      <c r="G18" s="12">
        <f t="shared" si="1"/>
        <v>6.0526</v>
      </c>
      <c r="H18" s="12">
        <v>1.1214999999999999</v>
      </c>
      <c r="I18" s="12">
        <f t="shared" si="2"/>
        <v>6.7879908999999996</v>
      </c>
      <c r="J18" s="12">
        <v>0.74</v>
      </c>
      <c r="K18" s="12">
        <f t="shared" si="3"/>
        <v>7.5279908999999998</v>
      </c>
    </row>
    <row r="19" spans="1:29" ht="12.75" x14ac:dyDescent="0.2">
      <c r="A19" s="12" t="s">
        <v>686</v>
      </c>
      <c r="B19" s="12">
        <v>8052787972379</v>
      </c>
      <c r="C19" s="12">
        <v>13</v>
      </c>
      <c r="D19" s="12">
        <v>0.9</v>
      </c>
      <c r="E19" s="12">
        <f t="shared" si="0"/>
        <v>13.9</v>
      </c>
      <c r="F19" s="12">
        <v>1.24</v>
      </c>
      <c r="G19" s="12">
        <f t="shared" si="1"/>
        <v>17.236000000000001</v>
      </c>
      <c r="H19" s="12">
        <v>1.1214999999999999</v>
      </c>
      <c r="I19" s="12">
        <f t="shared" si="2"/>
        <v>19.330174</v>
      </c>
      <c r="J19" s="12">
        <v>0.74</v>
      </c>
      <c r="K19" s="12">
        <f t="shared" si="3"/>
        <v>20.070173999999998</v>
      </c>
    </row>
    <row r="20" spans="1:29" ht="12.75" x14ac:dyDescent="0.2">
      <c r="A20" s="12" t="s">
        <v>687</v>
      </c>
      <c r="B20" s="12">
        <v>8052787971501</v>
      </c>
      <c r="C20" s="12">
        <v>4.74</v>
      </c>
      <c r="D20" s="12">
        <v>0.9</v>
      </c>
      <c r="E20" s="12">
        <f t="shared" si="0"/>
        <v>5.6400000000000006</v>
      </c>
      <c r="F20" s="12">
        <v>1.24</v>
      </c>
      <c r="G20" s="12">
        <f t="shared" si="1"/>
        <v>6.9936000000000007</v>
      </c>
      <c r="H20" s="12">
        <v>1.1214999999999999</v>
      </c>
      <c r="I20" s="12">
        <f t="shared" si="2"/>
        <v>7.8433224000000008</v>
      </c>
      <c r="J20" s="12">
        <v>0.74</v>
      </c>
      <c r="K20" s="12">
        <f t="shared" si="3"/>
        <v>8.5833224000000001</v>
      </c>
    </row>
    <row r="21" spans="1:29" ht="12.75" x14ac:dyDescent="0.2">
      <c r="C21" s="12">
        <v>0</v>
      </c>
      <c r="D21" s="12">
        <v>0.9</v>
      </c>
      <c r="E21" s="12">
        <f t="shared" si="0"/>
        <v>0.9</v>
      </c>
      <c r="F21" s="12">
        <v>1.24</v>
      </c>
      <c r="G21" s="12">
        <f t="shared" si="1"/>
        <v>1.1160000000000001</v>
      </c>
      <c r="H21" s="12">
        <v>1.1214999999999999</v>
      </c>
      <c r="I21" s="12">
        <f t="shared" si="2"/>
        <v>1.2515940000000001</v>
      </c>
      <c r="J21" s="12">
        <v>0.73999999999999899</v>
      </c>
      <c r="K21" s="12">
        <f t="shared" si="3"/>
        <v>1.9915939999999992</v>
      </c>
    </row>
    <row r="22" spans="1:29" ht="12.75" x14ac:dyDescent="0.2">
      <c r="C22" s="12">
        <v>0</v>
      </c>
      <c r="D22" s="12">
        <v>0.9</v>
      </c>
      <c r="E22" s="12">
        <f t="shared" si="0"/>
        <v>0.9</v>
      </c>
      <c r="F22" s="12">
        <v>1.24</v>
      </c>
      <c r="G22" s="12">
        <f t="shared" si="1"/>
        <v>1.1160000000000001</v>
      </c>
      <c r="H22" s="12">
        <v>1.1214999999999999</v>
      </c>
      <c r="I22" s="12">
        <f t="shared" si="2"/>
        <v>1.2515940000000001</v>
      </c>
      <c r="J22" s="12">
        <v>0.73999999999999899</v>
      </c>
      <c r="K22" s="12">
        <f t="shared" si="3"/>
        <v>1.9915939999999992</v>
      </c>
    </row>
    <row r="23" spans="1:29" ht="12.75" x14ac:dyDescent="0.2">
      <c r="C23" s="12">
        <v>0</v>
      </c>
      <c r="D23" s="12">
        <v>0.9</v>
      </c>
      <c r="E23" s="12">
        <f t="shared" si="0"/>
        <v>0.9</v>
      </c>
      <c r="F23" s="12">
        <v>1.24</v>
      </c>
      <c r="G23" s="12">
        <f t="shared" si="1"/>
        <v>1.1160000000000001</v>
      </c>
      <c r="H23" s="12">
        <v>1.1214999999999999</v>
      </c>
      <c r="I23" s="12">
        <f t="shared" si="2"/>
        <v>1.2515940000000001</v>
      </c>
      <c r="J23" s="12">
        <v>0.73999999999999899</v>
      </c>
      <c r="K23" s="12">
        <f t="shared" si="3"/>
        <v>1.9915939999999992</v>
      </c>
    </row>
    <row r="24" spans="1:29" ht="12.75" x14ac:dyDescent="0.2">
      <c r="C24" s="12">
        <v>0</v>
      </c>
      <c r="D24" s="12">
        <v>0.9</v>
      </c>
      <c r="E24" s="12">
        <f t="shared" si="0"/>
        <v>0.9</v>
      </c>
      <c r="F24" s="12">
        <v>1.24</v>
      </c>
      <c r="G24" s="12">
        <f t="shared" si="1"/>
        <v>1.1160000000000001</v>
      </c>
      <c r="H24" s="12">
        <v>1.1214999999999999</v>
      </c>
      <c r="I24" s="12">
        <f t="shared" si="2"/>
        <v>1.2515940000000001</v>
      </c>
      <c r="J24" s="12">
        <v>0.73999999999999899</v>
      </c>
      <c r="K24" s="12">
        <f t="shared" si="3"/>
        <v>1.9915939999999992</v>
      </c>
    </row>
    <row r="25" spans="1:29" ht="12.75" x14ac:dyDescent="0.2">
      <c r="C25" s="12">
        <v>0</v>
      </c>
      <c r="D25" s="12">
        <v>0.9</v>
      </c>
      <c r="E25" s="12">
        <f t="shared" si="0"/>
        <v>0.9</v>
      </c>
      <c r="F25" s="12">
        <v>1.24</v>
      </c>
      <c r="G25" s="12">
        <f t="shared" si="1"/>
        <v>1.1160000000000001</v>
      </c>
      <c r="H25" s="12">
        <v>1.1214999999999999</v>
      </c>
      <c r="I25" s="12">
        <f t="shared" si="2"/>
        <v>1.2515940000000001</v>
      </c>
      <c r="J25" s="12">
        <v>0.73999999999999899</v>
      </c>
      <c r="K25" s="12">
        <f t="shared" si="3"/>
        <v>1.9915939999999992</v>
      </c>
    </row>
    <row r="26" spans="1:29" ht="12.75" x14ac:dyDescent="0.2">
      <c r="C26" s="12">
        <v>0</v>
      </c>
      <c r="D26" s="12">
        <v>0.9</v>
      </c>
      <c r="E26" s="12">
        <f t="shared" si="0"/>
        <v>0.9</v>
      </c>
      <c r="F26" s="12">
        <v>1.24</v>
      </c>
      <c r="G26" s="12">
        <f t="shared" si="1"/>
        <v>1.1160000000000001</v>
      </c>
      <c r="H26" s="12">
        <v>1.1214999999999999</v>
      </c>
      <c r="I26" s="12">
        <f t="shared" si="2"/>
        <v>1.2515940000000001</v>
      </c>
      <c r="J26" s="12">
        <v>0.73999999999999899</v>
      </c>
      <c r="K26" s="12">
        <f t="shared" si="3"/>
        <v>1.9915939999999992</v>
      </c>
    </row>
    <row r="27" spans="1:29" ht="12.75" x14ac:dyDescent="0.2">
      <c r="C27" s="12">
        <v>0</v>
      </c>
      <c r="D27" s="12">
        <v>0.9</v>
      </c>
      <c r="E27" s="12">
        <f t="shared" si="0"/>
        <v>0.9</v>
      </c>
      <c r="F27" s="12">
        <v>1.24</v>
      </c>
      <c r="G27" s="12">
        <f t="shared" si="1"/>
        <v>1.1160000000000001</v>
      </c>
      <c r="H27" s="12">
        <v>1.1214999999999999</v>
      </c>
      <c r="I27" s="12">
        <f t="shared" si="2"/>
        <v>1.2515940000000001</v>
      </c>
      <c r="J27" s="12">
        <v>0.73999999999999899</v>
      </c>
      <c r="K27" s="12">
        <f t="shared" si="3"/>
        <v>1.9915939999999992</v>
      </c>
    </row>
    <row r="28" spans="1:29" ht="12.75" x14ac:dyDescent="0.2">
      <c r="C28" s="12">
        <v>0</v>
      </c>
      <c r="D28" s="12">
        <v>0.9</v>
      </c>
      <c r="E28" s="12">
        <f t="shared" si="0"/>
        <v>0.9</v>
      </c>
      <c r="F28" s="12">
        <v>1.24</v>
      </c>
      <c r="G28" s="12">
        <f t="shared" si="1"/>
        <v>1.1160000000000001</v>
      </c>
      <c r="H28" s="12">
        <v>1.1214999999999999</v>
      </c>
      <c r="I28" s="12">
        <f t="shared" si="2"/>
        <v>1.2515940000000001</v>
      </c>
      <c r="J28" s="12">
        <v>0.73999999999999899</v>
      </c>
      <c r="K28" s="12">
        <f t="shared" si="3"/>
        <v>1.9915939999999992</v>
      </c>
    </row>
    <row r="29" spans="1:29" ht="12.75" x14ac:dyDescent="0.2">
      <c r="C29" s="12">
        <v>0</v>
      </c>
      <c r="D29" s="12">
        <v>0.9</v>
      </c>
      <c r="E29" s="12">
        <f t="shared" si="0"/>
        <v>0.9</v>
      </c>
      <c r="F29" s="12">
        <v>1.24</v>
      </c>
      <c r="G29" s="12">
        <f t="shared" si="1"/>
        <v>1.1160000000000001</v>
      </c>
      <c r="H29" s="12">
        <v>1.1214999999999999</v>
      </c>
      <c r="I29" s="12">
        <f t="shared" si="2"/>
        <v>1.2515940000000001</v>
      </c>
      <c r="J29" s="12">
        <v>0.73999999999999899</v>
      </c>
      <c r="K29" s="12">
        <f t="shared" si="3"/>
        <v>1.9915939999999992</v>
      </c>
    </row>
    <row r="30" spans="1:29" ht="12.75" x14ac:dyDescent="0.2">
      <c r="C30" s="12">
        <v>0</v>
      </c>
      <c r="D30" s="12">
        <v>0.9</v>
      </c>
      <c r="E30" s="12">
        <f t="shared" si="0"/>
        <v>0.9</v>
      </c>
      <c r="F30" s="12">
        <v>1.24</v>
      </c>
      <c r="G30" s="12">
        <f t="shared" si="1"/>
        <v>1.1160000000000001</v>
      </c>
      <c r="H30" s="12">
        <v>1.1214999999999999</v>
      </c>
      <c r="I30" s="12">
        <f t="shared" si="2"/>
        <v>1.2515940000000001</v>
      </c>
      <c r="J30" s="12">
        <v>0.73999999999999899</v>
      </c>
      <c r="K30" s="12">
        <f t="shared" si="3"/>
        <v>1.9915939999999992</v>
      </c>
    </row>
    <row r="31" spans="1:29" ht="12.75" x14ac:dyDescent="0.2">
      <c r="C31" s="12">
        <v>0</v>
      </c>
      <c r="D31" s="12">
        <v>0.9</v>
      </c>
      <c r="E31" s="12">
        <f t="shared" si="0"/>
        <v>0.9</v>
      </c>
      <c r="F31" s="12">
        <v>1.24</v>
      </c>
      <c r="G31" s="12">
        <f t="shared" si="1"/>
        <v>1.1160000000000001</v>
      </c>
      <c r="H31" s="12">
        <v>1.1214999999999999</v>
      </c>
      <c r="I31" s="12">
        <f t="shared" si="2"/>
        <v>1.2515940000000001</v>
      </c>
      <c r="J31" s="12">
        <v>0.73999999999999899</v>
      </c>
      <c r="K31" s="12">
        <f t="shared" si="3"/>
        <v>1.9915939999999992</v>
      </c>
    </row>
    <row r="32" spans="1:29" ht="12.75" x14ac:dyDescent="0.2">
      <c r="C32" s="12">
        <v>0</v>
      </c>
      <c r="D32" s="12">
        <v>0.9</v>
      </c>
      <c r="E32" s="12">
        <f t="shared" si="0"/>
        <v>0.9</v>
      </c>
      <c r="F32" s="12">
        <v>1.24</v>
      </c>
      <c r="G32" s="12">
        <f t="shared" si="1"/>
        <v>1.1160000000000001</v>
      </c>
      <c r="H32" s="12">
        <v>1.1214999999999999</v>
      </c>
      <c r="I32" s="12">
        <f t="shared" si="2"/>
        <v>1.2515940000000001</v>
      </c>
      <c r="J32" s="12">
        <v>0.73999999999999899</v>
      </c>
      <c r="K32" s="12">
        <f t="shared" si="3"/>
        <v>1.9915939999999992</v>
      </c>
    </row>
    <row r="33" spans="3:11" ht="12.75" x14ac:dyDescent="0.2">
      <c r="C33" s="12">
        <v>0</v>
      </c>
      <c r="D33" s="12">
        <v>0.9</v>
      </c>
      <c r="E33" s="12">
        <f t="shared" si="0"/>
        <v>0.9</v>
      </c>
      <c r="F33" s="12">
        <v>1.24</v>
      </c>
      <c r="G33" s="12">
        <f t="shared" si="1"/>
        <v>1.1160000000000001</v>
      </c>
      <c r="H33" s="12">
        <v>1.1214999999999999</v>
      </c>
      <c r="I33" s="12">
        <f t="shared" si="2"/>
        <v>1.2515940000000001</v>
      </c>
      <c r="J33" s="12">
        <v>0.73999999999999899</v>
      </c>
      <c r="K33" s="12">
        <f t="shared" si="3"/>
        <v>1.9915939999999992</v>
      </c>
    </row>
    <row r="34" spans="3:11" ht="12.75" x14ac:dyDescent="0.2">
      <c r="C34" s="12">
        <v>0</v>
      </c>
      <c r="D34" s="12">
        <v>0.9</v>
      </c>
      <c r="E34" s="12">
        <f t="shared" si="0"/>
        <v>0.9</v>
      </c>
      <c r="F34" s="12">
        <v>1.24</v>
      </c>
      <c r="G34" s="12">
        <f t="shared" si="1"/>
        <v>1.1160000000000001</v>
      </c>
      <c r="H34" s="12">
        <v>1.1214999999999999</v>
      </c>
      <c r="I34" s="12">
        <f t="shared" si="2"/>
        <v>1.2515940000000001</v>
      </c>
      <c r="J34" s="12">
        <v>0.73999999999999899</v>
      </c>
      <c r="K34" s="12">
        <f t="shared" si="3"/>
        <v>1.9915939999999992</v>
      </c>
    </row>
    <row r="35" spans="3:11" ht="12.75" x14ac:dyDescent="0.2">
      <c r="C35" s="12">
        <v>0</v>
      </c>
      <c r="D35" s="12">
        <v>0.9</v>
      </c>
      <c r="E35" s="12">
        <f t="shared" si="0"/>
        <v>0.9</v>
      </c>
      <c r="F35" s="12">
        <v>1.24</v>
      </c>
      <c r="G35" s="12">
        <f t="shared" si="1"/>
        <v>1.1160000000000001</v>
      </c>
      <c r="H35" s="12">
        <v>1.1214999999999999</v>
      </c>
      <c r="I35" s="12">
        <f t="shared" si="2"/>
        <v>1.2515940000000001</v>
      </c>
      <c r="J35" s="12">
        <v>0.73999999999999899</v>
      </c>
      <c r="K35" s="12">
        <f t="shared" si="3"/>
        <v>1.9915939999999992</v>
      </c>
    </row>
    <row r="36" spans="3:11" ht="12.75" x14ac:dyDescent="0.2">
      <c r="C36" s="12">
        <v>0</v>
      </c>
      <c r="D36" s="12">
        <v>0.9</v>
      </c>
      <c r="E36" s="12">
        <f t="shared" si="0"/>
        <v>0.9</v>
      </c>
      <c r="F36" s="12">
        <v>1.24</v>
      </c>
      <c r="G36" s="12">
        <f t="shared" si="1"/>
        <v>1.1160000000000001</v>
      </c>
      <c r="H36" s="12">
        <v>1.1214999999999999</v>
      </c>
      <c r="I36" s="12">
        <f t="shared" si="2"/>
        <v>1.2515940000000001</v>
      </c>
      <c r="J36" s="12">
        <v>0.73999999999999899</v>
      </c>
      <c r="K36" s="12">
        <f t="shared" si="3"/>
        <v>1.9915939999999992</v>
      </c>
    </row>
    <row r="37" spans="3:11" ht="12.75" x14ac:dyDescent="0.2">
      <c r="C37" s="12">
        <v>0</v>
      </c>
      <c r="D37" s="12">
        <v>0.9</v>
      </c>
      <c r="E37" s="12">
        <f t="shared" si="0"/>
        <v>0.9</v>
      </c>
      <c r="F37" s="12">
        <v>1.24</v>
      </c>
      <c r="G37" s="12">
        <f t="shared" si="1"/>
        <v>1.1160000000000001</v>
      </c>
      <c r="H37" s="12">
        <v>1.1214999999999999</v>
      </c>
      <c r="I37" s="12">
        <f t="shared" si="2"/>
        <v>1.2515940000000001</v>
      </c>
      <c r="J37" s="12">
        <v>0.73999999999999899</v>
      </c>
      <c r="K37" s="12">
        <f t="shared" si="3"/>
        <v>1.9915939999999992</v>
      </c>
    </row>
    <row r="38" spans="3:11" ht="12.75" x14ac:dyDescent="0.2">
      <c r="C38" s="12">
        <v>0</v>
      </c>
      <c r="D38" s="12">
        <v>0.9</v>
      </c>
      <c r="E38" s="12">
        <f t="shared" si="0"/>
        <v>0.9</v>
      </c>
      <c r="F38" s="12">
        <v>1.24</v>
      </c>
      <c r="G38" s="12">
        <f t="shared" si="1"/>
        <v>1.1160000000000001</v>
      </c>
      <c r="H38" s="12">
        <v>1.1214999999999999</v>
      </c>
      <c r="I38" s="12">
        <f t="shared" si="2"/>
        <v>1.2515940000000001</v>
      </c>
      <c r="J38" s="12">
        <v>0.73999999999999899</v>
      </c>
      <c r="K38" s="12">
        <f t="shared" si="3"/>
        <v>1.9915939999999992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2:L10"/>
  <sheetViews>
    <sheetView workbookViewId="0"/>
  </sheetViews>
  <sheetFormatPr defaultColWidth="12.5703125" defaultRowHeight="15.75" customHeight="1" x14ac:dyDescent="0.2"/>
  <sheetData>
    <row r="2" spans="1:12" x14ac:dyDescent="0.2">
      <c r="A2" s="26" t="s">
        <v>688</v>
      </c>
      <c r="B2" s="26"/>
      <c r="C2" s="26" t="s">
        <v>689</v>
      </c>
      <c r="D2" s="12">
        <v>8.08</v>
      </c>
      <c r="E2" s="12">
        <v>0.9</v>
      </c>
      <c r="F2" s="12">
        <f t="shared" ref="F2:F10" si="0">SUM(D2)+E2</f>
        <v>8.98</v>
      </c>
      <c r="G2" s="12">
        <v>1.24</v>
      </c>
      <c r="H2" s="12">
        <f t="shared" ref="H2:H10" si="1">SUM(F2)*G2</f>
        <v>11.135200000000001</v>
      </c>
      <c r="I2" s="12">
        <v>1.1214999999999999</v>
      </c>
      <c r="J2" s="12">
        <f t="shared" ref="J2:J10" si="2">SUM(H2)*I2</f>
        <v>12.4881268</v>
      </c>
      <c r="K2" s="12">
        <v>0.73999999999999899</v>
      </c>
      <c r="L2" s="12">
        <f t="shared" ref="L2:L10" si="3">SUM(J2)+K2</f>
        <v>13.228126799999998</v>
      </c>
    </row>
    <row r="3" spans="1:12" x14ac:dyDescent="0.2">
      <c r="A3" s="26" t="s">
        <v>690</v>
      </c>
      <c r="B3" s="26"/>
      <c r="C3" s="26" t="s">
        <v>691</v>
      </c>
      <c r="D3" s="12">
        <v>8.08</v>
      </c>
      <c r="E3" s="12">
        <v>0.9</v>
      </c>
      <c r="F3" s="12">
        <f t="shared" si="0"/>
        <v>8.98</v>
      </c>
      <c r="G3" s="12">
        <v>1.24</v>
      </c>
      <c r="H3" s="12">
        <f t="shared" si="1"/>
        <v>11.135200000000001</v>
      </c>
      <c r="I3" s="12">
        <v>1.1214999999999999</v>
      </c>
      <c r="J3" s="12">
        <f t="shared" si="2"/>
        <v>12.4881268</v>
      </c>
      <c r="K3" s="12">
        <v>0.73999999999999899</v>
      </c>
      <c r="L3" s="12">
        <f t="shared" si="3"/>
        <v>13.228126799999998</v>
      </c>
    </row>
    <row r="4" spans="1:12" x14ac:dyDescent="0.2">
      <c r="A4" s="26" t="s">
        <v>692</v>
      </c>
      <c r="B4" s="26"/>
      <c r="C4" s="26" t="s">
        <v>693</v>
      </c>
      <c r="D4" s="12">
        <v>5.26</v>
      </c>
      <c r="E4" s="12">
        <v>0.9</v>
      </c>
      <c r="F4" s="12">
        <f t="shared" si="0"/>
        <v>6.16</v>
      </c>
      <c r="G4" s="12">
        <v>1.24</v>
      </c>
      <c r="H4" s="12">
        <f t="shared" si="1"/>
        <v>7.6383999999999999</v>
      </c>
      <c r="I4" s="12">
        <v>1.1214999999999999</v>
      </c>
      <c r="J4" s="12">
        <f t="shared" si="2"/>
        <v>8.566465599999999</v>
      </c>
      <c r="K4" s="12">
        <v>0.43</v>
      </c>
      <c r="L4" s="12">
        <f t="shared" si="3"/>
        <v>8.9964655999999987</v>
      </c>
    </row>
    <row r="5" spans="1:12" x14ac:dyDescent="0.2">
      <c r="A5" s="26" t="s">
        <v>694</v>
      </c>
      <c r="B5" s="26"/>
      <c r="C5" s="26" t="s">
        <v>695</v>
      </c>
      <c r="D5" s="12">
        <v>7.55</v>
      </c>
      <c r="E5" s="12">
        <v>0.9</v>
      </c>
      <c r="F5" s="12">
        <f t="shared" si="0"/>
        <v>8.4499999999999993</v>
      </c>
      <c r="G5" s="12">
        <v>1.24</v>
      </c>
      <c r="H5" s="12">
        <f t="shared" si="1"/>
        <v>10.478</v>
      </c>
      <c r="I5" s="12">
        <v>1.1214999999999999</v>
      </c>
      <c r="J5" s="12">
        <f t="shared" si="2"/>
        <v>11.751076999999999</v>
      </c>
      <c r="K5" s="12">
        <v>0.73999999999999899</v>
      </c>
      <c r="L5" s="12">
        <f t="shared" si="3"/>
        <v>12.491076999999997</v>
      </c>
    </row>
    <row r="6" spans="1:12" x14ac:dyDescent="0.2">
      <c r="D6" s="12">
        <v>0</v>
      </c>
      <c r="E6" s="12">
        <v>0.9</v>
      </c>
      <c r="F6" s="12">
        <f t="shared" si="0"/>
        <v>0.9</v>
      </c>
      <c r="G6" s="12">
        <v>1.24</v>
      </c>
      <c r="H6" s="12">
        <f t="shared" si="1"/>
        <v>1.1160000000000001</v>
      </c>
      <c r="I6" s="12">
        <v>1.1214999999999999</v>
      </c>
      <c r="J6" s="12">
        <f t="shared" si="2"/>
        <v>1.2515940000000001</v>
      </c>
      <c r="K6" s="12">
        <v>0.73999999999999899</v>
      </c>
      <c r="L6" s="12">
        <f t="shared" si="3"/>
        <v>1.9915939999999992</v>
      </c>
    </row>
    <row r="7" spans="1:12" x14ac:dyDescent="0.2">
      <c r="D7" s="12">
        <v>0</v>
      </c>
      <c r="E7" s="12">
        <v>0.9</v>
      </c>
      <c r="F7" s="12">
        <f t="shared" si="0"/>
        <v>0.9</v>
      </c>
      <c r="G7" s="12">
        <v>1.24</v>
      </c>
      <c r="H7" s="12">
        <f t="shared" si="1"/>
        <v>1.1160000000000001</v>
      </c>
      <c r="I7" s="12">
        <v>1.1214999999999999</v>
      </c>
      <c r="J7" s="12">
        <f t="shared" si="2"/>
        <v>1.2515940000000001</v>
      </c>
      <c r="K7" s="12">
        <v>0.73999999999999899</v>
      </c>
      <c r="L7" s="12">
        <f t="shared" si="3"/>
        <v>1.9915939999999992</v>
      </c>
    </row>
    <row r="8" spans="1:12" x14ac:dyDescent="0.2">
      <c r="D8" s="12">
        <v>0</v>
      </c>
      <c r="E8" s="12">
        <v>0.9</v>
      </c>
      <c r="F8" s="12">
        <f t="shared" si="0"/>
        <v>0.9</v>
      </c>
      <c r="G8" s="12">
        <v>1.24</v>
      </c>
      <c r="H8" s="12">
        <f t="shared" si="1"/>
        <v>1.1160000000000001</v>
      </c>
      <c r="I8" s="12">
        <v>1.1214999999999999</v>
      </c>
      <c r="J8" s="12">
        <f t="shared" si="2"/>
        <v>1.2515940000000001</v>
      </c>
      <c r="K8" s="12">
        <v>0.73999999999999899</v>
      </c>
      <c r="L8" s="12">
        <f t="shared" si="3"/>
        <v>1.9915939999999992</v>
      </c>
    </row>
    <row r="9" spans="1:12" x14ac:dyDescent="0.2">
      <c r="D9" s="12">
        <v>0</v>
      </c>
      <c r="E9" s="12">
        <v>0.9</v>
      </c>
      <c r="F9" s="12">
        <f t="shared" si="0"/>
        <v>0.9</v>
      </c>
      <c r="G9" s="12">
        <v>1.24</v>
      </c>
      <c r="H9" s="12">
        <f t="shared" si="1"/>
        <v>1.1160000000000001</v>
      </c>
      <c r="I9" s="12">
        <v>1.1214999999999999</v>
      </c>
      <c r="J9" s="12">
        <f t="shared" si="2"/>
        <v>1.2515940000000001</v>
      </c>
      <c r="K9" s="12">
        <v>0.73999999999999899</v>
      </c>
      <c r="L9" s="12">
        <f t="shared" si="3"/>
        <v>1.9915939999999992</v>
      </c>
    </row>
    <row r="10" spans="1:12" x14ac:dyDescent="0.2">
      <c r="D10" s="12">
        <v>0</v>
      </c>
      <c r="E10" s="12">
        <v>0.9</v>
      </c>
      <c r="F10" s="12">
        <f t="shared" si="0"/>
        <v>0.9</v>
      </c>
      <c r="G10" s="12">
        <v>1.24</v>
      </c>
      <c r="H10" s="12">
        <f t="shared" si="1"/>
        <v>1.1160000000000001</v>
      </c>
      <c r="I10" s="12">
        <v>1.1214999999999999</v>
      </c>
      <c r="J10" s="12">
        <f t="shared" si="2"/>
        <v>1.2515940000000001</v>
      </c>
      <c r="K10" s="12">
        <v>0.73999999999999899</v>
      </c>
      <c r="L10" s="12">
        <f t="shared" si="3"/>
        <v>1.9915939999999992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C25"/>
  <sheetViews>
    <sheetView workbookViewId="0"/>
  </sheetViews>
  <sheetFormatPr defaultColWidth="12.5703125" defaultRowHeight="15.75" customHeight="1" x14ac:dyDescent="0.2"/>
  <cols>
    <col min="1" max="1" width="21.7109375" customWidth="1"/>
  </cols>
  <sheetData>
    <row r="1" spans="1:29" ht="17.25" customHeight="1" x14ac:dyDescent="0.2">
      <c r="A1" s="12"/>
      <c r="B1" s="25"/>
      <c r="C1" s="12" t="s">
        <v>542</v>
      </c>
      <c r="D1" s="12"/>
      <c r="E1" s="12" t="s">
        <v>497</v>
      </c>
      <c r="F1" s="12" t="s">
        <v>498</v>
      </c>
      <c r="G1" s="12" t="s">
        <v>497</v>
      </c>
      <c r="H1" s="12" t="s">
        <v>499</v>
      </c>
      <c r="I1" s="12" t="s">
        <v>497</v>
      </c>
      <c r="J1" s="12" t="s">
        <v>500</v>
      </c>
      <c r="K1" s="12" t="s">
        <v>497</v>
      </c>
    </row>
    <row r="2" spans="1:29" ht="12.75" x14ac:dyDescent="0.2">
      <c r="A2" s="13" t="s">
        <v>696</v>
      </c>
      <c r="B2" s="15">
        <v>5054563157188</v>
      </c>
      <c r="C2" s="15">
        <v>7.54</v>
      </c>
      <c r="D2" s="15">
        <v>0.9</v>
      </c>
      <c r="E2" s="15">
        <f t="shared" ref="E2:E25" si="0">SUM(C2)+D2</f>
        <v>8.44</v>
      </c>
      <c r="F2" s="15">
        <v>1.24</v>
      </c>
      <c r="G2" s="15">
        <f t="shared" ref="G2:G25" si="1">SUM(E2)*F2</f>
        <v>10.465599999999998</v>
      </c>
      <c r="H2" s="15">
        <v>1.1214999999999999</v>
      </c>
      <c r="I2" s="15">
        <f t="shared" ref="I2:I25" si="2">SUM(G2)*H2</f>
        <v>11.737170399999998</v>
      </c>
      <c r="J2" s="15">
        <v>0.74</v>
      </c>
      <c r="K2" s="15">
        <f t="shared" ref="K2:K25" si="3">SUM(I2)+J2</f>
        <v>12.477170399999999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1:29" ht="12.75" x14ac:dyDescent="0.2">
      <c r="A3" s="13" t="s">
        <v>697</v>
      </c>
      <c r="B3" s="15">
        <v>5054563158512</v>
      </c>
      <c r="C3" s="15">
        <v>7.5</v>
      </c>
      <c r="D3" s="15">
        <v>0.3</v>
      </c>
      <c r="E3" s="15">
        <f t="shared" si="0"/>
        <v>7.8</v>
      </c>
      <c r="F3" s="15">
        <v>1.24</v>
      </c>
      <c r="G3" s="15">
        <f t="shared" si="1"/>
        <v>9.6720000000000006</v>
      </c>
      <c r="H3" s="15">
        <v>1.1214999999999999</v>
      </c>
      <c r="I3" s="15">
        <f t="shared" si="2"/>
        <v>10.847148000000001</v>
      </c>
      <c r="J3" s="15">
        <v>0.74</v>
      </c>
      <c r="K3" s="15">
        <f t="shared" si="3"/>
        <v>11.587148000000001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29" ht="12.75" x14ac:dyDescent="0.2">
      <c r="A4" s="13" t="s">
        <v>698</v>
      </c>
      <c r="B4" s="15">
        <v>5054563156808</v>
      </c>
      <c r="C4" s="15">
        <v>7.21</v>
      </c>
      <c r="D4" s="15">
        <v>0.9</v>
      </c>
      <c r="E4" s="15">
        <f t="shared" si="0"/>
        <v>8.11</v>
      </c>
      <c r="F4" s="15">
        <v>1.24</v>
      </c>
      <c r="G4" s="15">
        <f t="shared" si="1"/>
        <v>10.0564</v>
      </c>
      <c r="H4" s="15">
        <v>1.1214999999999999</v>
      </c>
      <c r="I4" s="15">
        <f t="shared" si="2"/>
        <v>11.2782526</v>
      </c>
      <c r="J4" s="15">
        <v>0.74</v>
      </c>
      <c r="K4" s="15">
        <f t="shared" si="3"/>
        <v>12.0182526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29" ht="12.75" x14ac:dyDescent="0.2">
      <c r="A5" s="13" t="s">
        <v>699</v>
      </c>
      <c r="B5" s="15">
        <v>5054563158611</v>
      </c>
      <c r="C5" s="15">
        <v>8.0399999999999991</v>
      </c>
      <c r="D5" s="15">
        <v>0.5</v>
      </c>
      <c r="E5" s="15">
        <f t="shared" si="0"/>
        <v>8.5399999999999991</v>
      </c>
      <c r="F5" s="15">
        <v>1.24</v>
      </c>
      <c r="G5" s="15">
        <f t="shared" si="1"/>
        <v>10.589599999999999</v>
      </c>
      <c r="H5" s="15">
        <v>1.1214999999999999</v>
      </c>
      <c r="I5" s="15">
        <f t="shared" si="2"/>
        <v>11.876236399999998</v>
      </c>
      <c r="J5" s="15">
        <v>0.74</v>
      </c>
      <c r="K5" s="15">
        <f t="shared" si="3"/>
        <v>12.616236399999998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1:29" ht="12.75" x14ac:dyDescent="0.2">
      <c r="A6" s="13" t="s">
        <v>700</v>
      </c>
      <c r="B6" s="15">
        <v>5205396698847</v>
      </c>
      <c r="C6" s="15">
        <v>6.62</v>
      </c>
      <c r="D6" s="15">
        <v>0.9</v>
      </c>
      <c r="E6" s="15">
        <f t="shared" si="0"/>
        <v>7.5200000000000005</v>
      </c>
      <c r="F6" s="15">
        <v>1.24</v>
      </c>
      <c r="G6" s="15">
        <f t="shared" si="1"/>
        <v>9.3247999999999998</v>
      </c>
      <c r="H6" s="15">
        <v>1.1214999999999999</v>
      </c>
      <c r="I6" s="15">
        <f t="shared" si="2"/>
        <v>10.457763199999999</v>
      </c>
      <c r="J6" s="15">
        <v>0.74</v>
      </c>
      <c r="K6" s="15">
        <f t="shared" si="3"/>
        <v>11.197763199999999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spans="1:29" ht="12.75" x14ac:dyDescent="0.2">
      <c r="A7" s="13" t="s">
        <v>701</v>
      </c>
      <c r="B7" s="15">
        <v>5054563121905</v>
      </c>
      <c r="C7" s="15">
        <v>4.53</v>
      </c>
      <c r="D7" s="15">
        <v>0.9</v>
      </c>
      <c r="E7" s="15">
        <f t="shared" si="0"/>
        <v>5.4300000000000006</v>
      </c>
      <c r="F7" s="15">
        <v>1.24</v>
      </c>
      <c r="G7" s="15">
        <f t="shared" si="1"/>
        <v>6.733200000000001</v>
      </c>
      <c r="H7" s="15">
        <v>1.1214999999999999</v>
      </c>
      <c r="I7" s="15">
        <f t="shared" si="2"/>
        <v>7.5512838000000011</v>
      </c>
      <c r="J7" s="15">
        <v>0.73999999999999899</v>
      </c>
      <c r="K7" s="15">
        <f t="shared" si="3"/>
        <v>8.2912838000000004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29" ht="12.75" x14ac:dyDescent="0.2">
      <c r="A8" s="13" t="s">
        <v>702</v>
      </c>
      <c r="B8" s="15">
        <v>5054563165084</v>
      </c>
      <c r="C8" s="15">
        <v>5.92</v>
      </c>
      <c r="D8" s="15">
        <v>0.9</v>
      </c>
      <c r="E8" s="15">
        <f t="shared" si="0"/>
        <v>6.82</v>
      </c>
      <c r="F8" s="15">
        <v>1.24</v>
      </c>
      <c r="G8" s="15">
        <f t="shared" si="1"/>
        <v>8.4567999999999994</v>
      </c>
      <c r="H8" s="15">
        <v>1.1214999999999999</v>
      </c>
      <c r="I8" s="15">
        <f t="shared" si="2"/>
        <v>9.4843011999999991</v>
      </c>
      <c r="J8" s="15">
        <v>0.73999999999999899</v>
      </c>
      <c r="K8" s="15">
        <f t="shared" si="3"/>
        <v>10.224301199999998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29" ht="12.75" x14ac:dyDescent="0.2">
      <c r="A9" s="13" t="s">
        <v>703</v>
      </c>
      <c r="B9" s="15">
        <v>5054563123671</v>
      </c>
      <c r="C9" s="15">
        <v>6.3</v>
      </c>
      <c r="D9" s="15">
        <v>0.55000000000000004</v>
      </c>
      <c r="E9" s="15">
        <f t="shared" si="0"/>
        <v>6.85</v>
      </c>
      <c r="F9" s="15">
        <v>1.24</v>
      </c>
      <c r="G9" s="15">
        <f t="shared" si="1"/>
        <v>8.4939999999999998</v>
      </c>
      <c r="H9" s="15">
        <v>1.1214999999999999</v>
      </c>
      <c r="I9" s="15">
        <f t="shared" si="2"/>
        <v>9.5260210000000001</v>
      </c>
      <c r="J9" s="15">
        <v>0.43</v>
      </c>
      <c r="K9" s="15">
        <f t="shared" si="3"/>
        <v>9.9560209999999998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29" ht="12.75" x14ac:dyDescent="0.2">
      <c r="A10" s="13" t="s">
        <v>704</v>
      </c>
      <c r="B10" s="15">
        <v>5054563156921</v>
      </c>
      <c r="C10" s="15">
        <v>6.45</v>
      </c>
      <c r="D10" s="15">
        <v>0.9</v>
      </c>
      <c r="E10" s="15">
        <f t="shared" si="0"/>
        <v>7.3500000000000005</v>
      </c>
      <c r="F10" s="15">
        <v>1.24</v>
      </c>
      <c r="G10" s="15">
        <f t="shared" si="1"/>
        <v>9.1140000000000008</v>
      </c>
      <c r="H10" s="15">
        <v>1.1214999999999999</v>
      </c>
      <c r="I10" s="15">
        <f t="shared" si="2"/>
        <v>10.221351</v>
      </c>
      <c r="J10" s="15">
        <v>0.73999999999999899</v>
      </c>
      <c r="K10" s="15">
        <f t="shared" si="3"/>
        <v>10.961350999999999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spans="1:29" ht="12.75" x14ac:dyDescent="0.2">
      <c r="A11" s="13" t="s">
        <v>705</v>
      </c>
      <c r="B11" s="15">
        <v>5054563183798</v>
      </c>
      <c r="C11" s="15">
        <v>7.11</v>
      </c>
      <c r="D11" s="15">
        <v>0.8</v>
      </c>
      <c r="E11" s="15">
        <f t="shared" si="0"/>
        <v>7.91</v>
      </c>
      <c r="F11" s="15">
        <v>1.24</v>
      </c>
      <c r="G11" s="15">
        <f t="shared" si="1"/>
        <v>9.8084000000000007</v>
      </c>
      <c r="H11" s="15">
        <v>1.1214999999999999</v>
      </c>
      <c r="I11" s="15">
        <f t="shared" si="2"/>
        <v>11.000120600000001</v>
      </c>
      <c r="J11" s="15">
        <v>0.73999999999999899</v>
      </c>
      <c r="K11" s="15">
        <f t="shared" si="3"/>
        <v>11.740120599999999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29" ht="12.75" x14ac:dyDescent="0.2">
      <c r="A12" s="12" t="s">
        <v>706</v>
      </c>
      <c r="B12" s="12">
        <v>5054563222879</v>
      </c>
      <c r="C12" s="12">
        <v>7.58</v>
      </c>
      <c r="D12" s="12">
        <v>0.8</v>
      </c>
      <c r="E12" s="12">
        <f t="shared" si="0"/>
        <v>8.3800000000000008</v>
      </c>
      <c r="F12" s="12">
        <v>1.24</v>
      </c>
      <c r="G12" s="12">
        <f t="shared" si="1"/>
        <v>10.391200000000001</v>
      </c>
      <c r="H12" s="12">
        <v>1.1214999999999999</v>
      </c>
      <c r="I12" s="12">
        <f t="shared" si="2"/>
        <v>11.653730800000002</v>
      </c>
      <c r="J12" s="12">
        <v>0.73999999999999899</v>
      </c>
      <c r="K12" s="12">
        <f t="shared" si="3"/>
        <v>12.3937308</v>
      </c>
    </row>
    <row r="13" spans="1:29" ht="12.75" x14ac:dyDescent="0.2">
      <c r="A13" s="12" t="s">
        <v>707</v>
      </c>
      <c r="B13" s="12">
        <v>5054563264626</v>
      </c>
      <c r="C13" s="12">
        <v>6.79</v>
      </c>
      <c r="D13" s="12">
        <v>0.76</v>
      </c>
      <c r="E13" s="12">
        <f t="shared" si="0"/>
        <v>7.55</v>
      </c>
      <c r="F13" s="12">
        <v>1.24</v>
      </c>
      <c r="G13" s="12">
        <f t="shared" si="1"/>
        <v>9.3620000000000001</v>
      </c>
      <c r="H13" s="12">
        <v>1.1214999999999999</v>
      </c>
      <c r="I13" s="12">
        <f t="shared" si="2"/>
        <v>10.499483</v>
      </c>
      <c r="J13" s="12">
        <v>0.73999999999999899</v>
      </c>
      <c r="K13" s="12">
        <f t="shared" si="3"/>
        <v>11.239482999999998</v>
      </c>
    </row>
    <row r="14" spans="1:29" ht="12.75" x14ac:dyDescent="0.2">
      <c r="A14" s="12" t="s">
        <v>708</v>
      </c>
      <c r="B14" s="12">
        <v>5054563215109</v>
      </c>
      <c r="C14" s="12">
        <v>20.72</v>
      </c>
      <c r="D14" s="12">
        <v>0.9</v>
      </c>
      <c r="E14" s="12">
        <f t="shared" si="0"/>
        <v>21.619999999999997</v>
      </c>
      <c r="F14" s="12">
        <v>1.24</v>
      </c>
      <c r="G14" s="12">
        <f t="shared" si="1"/>
        <v>26.808799999999998</v>
      </c>
      <c r="H14" s="12">
        <v>1.1214999999999999</v>
      </c>
      <c r="I14" s="12">
        <f t="shared" si="2"/>
        <v>30.066069199999998</v>
      </c>
      <c r="J14" s="12">
        <v>0.73999999999999899</v>
      </c>
      <c r="K14" s="12">
        <f t="shared" si="3"/>
        <v>30.806069199999996</v>
      </c>
    </row>
    <row r="15" spans="1:29" ht="12.75" x14ac:dyDescent="0.2">
      <c r="A15" s="12" t="s">
        <v>709</v>
      </c>
      <c r="B15" s="12">
        <v>5054563156907</v>
      </c>
      <c r="C15" s="12">
        <v>9.33</v>
      </c>
      <c r="D15" s="12">
        <v>0.9</v>
      </c>
      <c r="E15" s="12">
        <f t="shared" si="0"/>
        <v>10.23</v>
      </c>
      <c r="F15" s="12">
        <v>1.24</v>
      </c>
      <c r="G15" s="12">
        <f t="shared" si="1"/>
        <v>12.6852</v>
      </c>
      <c r="H15" s="12">
        <v>1.1214999999999999</v>
      </c>
      <c r="I15" s="12">
        <f t="shared" si="2"/>
        <v>14.2264518</v>
      </c>
      <c r="J15" s="12">
        <v>0.73999999999999899</v>
      </c>
      <c r="K15" s="12">
        <f t="shared" si="3"/>
        <v>14.966451799999998</v>
      </c>
    </row>
    <row r="16" spans="1:29" ht="12.75" x14ac:dyDescent="0.2">
      <c r="A16" s="12" t="s">
        <v>710</v>
      </c>
      <c r="B16" s="12">
        <v>5054563129048</v>
      </c>
      <c r="C16" s="12">
        <v>11.51</v>
      </c>
      <c r="D16" s="12">
        <v>0.9</v>
      </c>
      <c r="E16" s="12">
        <f t="shared" si="0"/>
        <v>12.41</v>
      </c>
      <c r="F16" s="12">
        <v>1.24</v>
      </c>
      <c r="G16" s="12">
        <f t="shared" si="1"/>
        <v>15.388400000000001</v>
      </c>
      <c r="H16" s="12">
        <v>1.1214999999999999</v>
      </c>
      <c r="I16" s="12">
        <f t="shared" si="2"/>
        <v>17.258090599999999</v>
      </c>
      <c r="J16" s="12">
        <v>0.73999999999999899</v>
      </c>
      <c r="K16" s="12">
        <f t="shared" si="3"/>
        <v>17.998090599999998</v>
      </c>
    </row>
    <row r="17" spans="3:11" ht="12.75" x14ac:dyDescent="0.2">
      <c r="C17" s="12">
        <v>0</v>
      </c>
      <c r="D17" s="12">
        <v>0.9</v>
      </c>
      <c r="E17" s="12">
        <f t="shared" si="0"/>
        <v>0.9</v>
      </c>
      <c r="F17" s="12">
        <v>1.24</v>
      </c>
      <c r="G17" s="12">
        <f t="shared" si="1"/>
        <v>1.1160000000000001</v>
      </c>
      <c r="H17" s="12">
        <v>1.1214999999999999</v>
      </c>
      <c r="I17" s="12">
        <f t="shared" si="2"/>
        <v>1.2515940000000001</v>
      </c>
      <c r="J17" s="12">
        <v>0.73999999999999899</v>
      </c>
      <c r="K17" s="12">
        <f t="shared" si="3"/>
        <v>1.9915939999999992</v>
      </c>
    </row>
    <row r="18" spans="3:11" ht="12.75" x14ac:dyDescent="0.2">
      <c r="C18" s="12">
        <v>0</v>
      </c>
      <c r="D18" s="12">
        <v>0.9</v>
      </c>
      <c r="E18" s="12">
        <f t="shared" si="0"/>
        <v>0.9</v>
      </c>
      <c r="F18" s="12">
        <v>1.24</v>
      </c>
      <c r="G18" s="12">
        <f t="shared" si="1"/>
        <v>1.1160000000000001</v>
      </c>
      <c r="H18" s="12">
        <v>1.1214999999999999</v>
      </c>
      <c r="I18" s="12">
        <f t="shared" si="2"/>
        <v>1.2515940000000001</v>
      </c>
      <c r="J18" s="12">
        <v>0.73999999999999899</v>
      </c>
      <c r="K18" s="12">
        <f t="shared" si="3"/>
        <v>1.9915939999999992</v>
      </c>
    </row>
    <row r="19" spans="3:11" ht="12.75" x14ac:dyDescent="0.2">
      <c r="C19" s="12">
        <v>0</v>
      </c>
      <c r="D19" s="12">
        <v>0.9</v>
      </c>
      <c r="E19" s="12">
        <f t="shared" si="0"/>
        <v>0.9</v>
      </c>
      <c r="F19" s="12">
        <v>1.24</v>
      </c>
      <c r="G19" s="12">
        <f t="shared" si="1"/>
        <v>1.1160000000000001</v>
      </c>
      <c r="H19" s="12">
        <v>1.1214999999999999</v>
      </c>
      <c r="I19" s="12">
        <f t="shared" si="2"/>
        <v>1.2515940000000001</v>
      </c>
      <c r="J19" s="12">
        <v>0.73999999999999899</v>
      </c>
      <c r="K19" s="12">
        <f t="shared" si="3"/>
        <v>1.9915939999999992</v>
      </c>
    </row>
    <row r="20" spans="3:11" ht="12.75" x14ac:dyDescent="0.2">
      <c r="C20" s="12">
        <v>0</v>
      </c>
      <c r="D20" s="12">
        <v>0.9</v>
      </c>
      <c r="E20" s="12">
        <f t="shared" si="0"/>
        <v>0.9</v>
      </c>
      <c r="F20" s="12">
        <v>1.24</v>
      </c>
      <c r="G20" s="12">
        <f t="shared" si="1"/>
        <v>1.1160000000000001</v>
      </c>
      <c r="H20" s="12">
        <v>1.1214999999999999</v>
      </c>
      <c r="I20" s="12">
        <f t="shared" si="2"/>
        <v>1.2515940000000001</v>
      </c>
      <c r="J20" s="12">
        <v>0.73999999999999899</v>
      </c>
      <c r="K20" s="12">
        <f t="shared" si="3"/>
        <v>1.9915939999999992</v>
      </c>
    </row>
    <row r="21" spans="3:11" ht="12.75" x14ac:dyDescent="0.2">
      <c r="C21" s="12">
        <v>0</v>
      </c>
      <c r="D21" s="12">
        <v>0.9</v>
      </c>
      <c r="E21" s="12">
        <f t="shared" si="0"/>
        <v>0.9</v>
      </c>
      <c r="F21" s="12">
        <v>1.24</v>
      </c>
      <c r="G21" s="12">
        <f t="shared" si="1"/>
        <v>1.1160000000000001</v>
      </c>
      <c r="H21" s="12">
        <v>1.1214999999999999</v>
      </c>
      <c r="I21" s="12">
        <f t="shared" si="2"/>
        <v>1.2515940000000001</v>
      </c>
      <c r="J21" s="12">
        <v>0.73999999999999899</v>
      </c>
      <c r="K21" s="12">
        <f t="shared" si="3"/>
        <v>1.9915939999999992</v>
      </c>
    </row>
    <row r="22" spans="3:11" ht="12.75" x14ac:dyDescent="0.2">
      <c r="C22" s="12">
        <v>0</v>
      </c>
      <c r="D22" s="12">
        <v>0.9</v>
      </c>
      <c r="E22" s="12">
        <f t="shared" si="0"/>
        <v>0.9</v>
      </c>
      <c r="F22" s="12">
        <v>1.24</v>
      </c>
      <c r="G22" s="12">
        <f t="shared" si="1"/>
        <v>1.1160000000000001</v>
      </c>
      <c r="H22" s="12">
        <v>1.1214999999999999</v>
      </c>
      <c r="I22" s="12">
        <f t="shared" si="2"/>
        <v>1.2515940000000001</v>
      </c>
      <c r="J22" s="12">
        <v>0.73999999999999899</v>
      </c>
      <c r="K22" s="12">
        <f t="shared" si="3"/>
        <v>1.9915939999999992</v>
      </c>
    </row>
    <row r="23" spans="3:11" ht="12.75" x14ac:dyDescent="0.2">
      <c r="C23" s="12">
        <v>0</v>
      </c>
      <c r="D23" s="12">
        <v>0.9</v>
      </c>
      <c r="E23" s="12">
        <f t="shared" si="0"/>
        <v>0.9</v>
      </c>
      <c r="F23" s="12">
        <v>1.24</v>
      </c>
      <c r="G23" s="12">
        <f t="shared" si="1"/>
        <v>1.1160000000000001</v>
      </c>
      <c r="H23" s="12">
        <v>1.1214999999999999</v>
      </c>
      <c r="I23" s="12">
        <f t="shared" si="2"/>
        <v>1.2515940000000001</v>
      </c>
      <c r="J23" s="12">
        <v>0.73999999999999899</v>
      </c>
      <c r="K23" s="12">
        <f t="shared" si="3"/>
        <v>1.9915939999999992</v>
      </c>
    </row>
    <row r="24" spans="3:11" ht="12.75" x14ac:dyDescent="0.2">
      <c r="C24" s="12">
        <v>0</v>
      </c>
      <c r="D24" s="12">
        <v>0.9</v>
      </c>
      <c r="E24" s="12">
        <f t="shared" si="0"/>
        <v>0.9</v>
      </c>
      <c r="F24" s="12">
        <v>1.24</v>
      </c>
      <c r="G24" s="12">
        <f t="shared" si="1"/>
        <v>1.1160000000000001</v>
      </c>
      <c r="H24" s="12">
        <v>1.1214999999999999</v>
      </c>
      <c r="I24" s="12">
        <f t="shared" si="2"/>
        <v>1.2515940000000001</v>
      </c>
      <c r="J24" s="12">
        <v>0.73999999999999899</v>
      </c>
      <c r="K24" s="12">
        <f t="shared" si="3"/>
        <v>1.9915939999999992</v>
      </c>
    </row>
    <row r="25" spans="3:11" ht="12.75" x14ac:dyDescent="0.2">
      <c r="C25" s="12">
        <v>0</v>
      </c>
      <c r="D25" s="12">
        <v>0.9</v>
      </c>
      <c r="E25" s="12">
        <f t="shared" si="0"/>
        <v>0.9</v>
      </c>
      <c r="F25" s="12">
        <v>1.24</v>
      </c>
      <c r="G25" s="12">
        <f t="shared" si="1"/>
        <v>1.1160000000000001</v>
      </c>
      <c r="H25" s="12">
        <v>1.1214999999999999</v>
      </c>
      <c r="I25" s="12">
        <f t="shared" si="2"/>
        <v>1.2515940000000001</v>
      </c>
      <c r="J25" s="12">
        <v>0.73999999999999899</v>
      </c>
      <c r="K25" s="12">
        <f t="shared" si="3"/>
        <v>1.9915939999999992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2:AC30"/>
  <sheetViews>
    <sheetView workbookViewId="0"/>
  </sheetViews>
  <sheetFormatPr defaultColWidth="12.5703125" defaultRowHeight="15.75" customHeight="1" x14ac:dyDescent="0.2"/>
  <cols>
    <col min="2" max="2" width="17.42578125" customWidth="1"/>
  </cols>
  <sheetData>
    <row r="2" spans="1:29" x14ac:dyDescent="0.2">
      <c r="A2" s="13" t="s">
        <v>711</v>
      </c>
      <c r="B2" s="14">
        <v>5201314168201</v>
      </c>
      <c r="C2" s="15">
        <v>12.85</v>
      </c>
      <c r="D2" s="15">
        <v>0.9</v>
      </c>
      <c r="E2" s="15">
        <f t="shared" ref="E2:E30" si="0">SUM(C2)+D2</f>
        <v>13.75</v>
      </c>
      <c r="F2" s="15">
        <v>1.24</v>
      </c>
      <c r="G2" s="15">
        <f t="shared" ref="G2:G30" si="1">SUM(E2)*F2</f>
        <v>17.05</v>
      </c>
      <c r="H2" s="15">
        <v>1.1214999999999999</v>
      </c>
      <c r="I2" s="15">
        <f t="shared" ref="I2:I30" si="2">SUM(G2)*H2</f>
        <v>19.121575</v>
      </c>
      <c r="J2" s="15">
        <v>0.74</v>
      </c>
      <c r="K2" s="15">
        <f t="shared" ref="K2:K30" si="3">SUM(I2)+J2</f>
        <v>19.861574999999998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1:29" x14ac:dyDescent="0.2">
      <c r="A3" s="13" t="s">
        <v>712</v>
      </c>
      <c r="B3" s="14">
        <v>5201314168171</v>
      </c>
      <c r="C3" s="15">
        <v>12.85</v>
      </c>
      <c r="D3" s="15">
        <v>0.9</v>
      </c>
      <c r="E3" s="15">
        <f t="shared" si="0"/>
        <v>13.75</v>
      </c>
      <c r="F3" s="15">
        <v>1.24</v>
      </c>
      <c r="G3" s="15">
        <f t="shared" si="1"/>
        <v>17.05</v>
      </c>
      <c r="H3" s="15">
        <v>1.1214999999999999</v>
      </c>
      <c r="I3" s="15">
        <f t="shared" si="2"/>
        <v>19.121575</v>
      </c>
      <c r="J3" s="15">
        <v>0.74</v>
      </c>
      <c r="K3" s="15">
        <f t="shared" si="3"/>
        <v>19.861574999999998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29" x14ac:dyDescent="0.2">
      <c r="A4" s="13" t="s">
        <v>713</v>
      </c>
      <c r="B4" s="14">
        <v>5201314168188</v>
      </c>
      <c r="C4" s="15">
        <v>12.85</v>
      </c>
      <c r="D4" s="15">
        <v>0.9</v>
      </c>
      <c r="E4" s="15">
        <f t="shared" si="0"/>
        <v>13.75</v>
      </c>
      <c r="F4" s="15">
        <v>1.24</v>
      </c>
      <c r="G4" s="15">
        <f t="shared" si="1"/>
        <v>17.05</v>
      </c>
      <c r="H4" s="15">
        <v>1.1214999999999999</v>
      </c>
      <c r="I4" s="15">
        <f t="shared" si="2"/>
        <v>19.121575</v>
      </c>
      <c r="J4" s="15">
        <v>0.74</v>
      </c>
      <c r="K4" s="15">
        <f t="shared" si="3"/>
        <v>19.861574999999998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29" x14ac:dyDescent="0.2">
      <c r="A5" s="13" t="s">
        <v>714</v>
      </c>
      <c r="B5" s="14">
        <v>5201314168300</v>
      </c>
      <c r="C5" s="15">
        <v>5.8</v>
      </c>
      <c r="D5" s="15">
        <v>0.9</v>
      </c>
      <c r="E5" s="15">
        <f t="shared" si="0"/>
        <v>6.7</v>
      </c>
      <c r="F5" s="15">
        <v>1.24</v>
      </c>
      <c r="G5" s="15">
        <f t="shared" si="1"/>
        <v>8.3079999999999998</v>
      </c>
      <c r="H5" s="15">
        <v>1.1214999999999999</v>
      </c>
      <c r="I5" s="15">
        <f t="shared" si="2"/>
        <v>9.3174219999999988</v>
      </c>
      <c r="J5" s="15">
        <v>0.45</v>
      </c>
      <c r="K5" s="15">
        <f t="shared" si="3"/>
        <v>9.7674219999999981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1:29" x14ac:dyDescent="0.2">
      <c r="A6" s="13" t="s">
        <v>715</v>
      </c>
      <c r="B6" s="14">
        <v>5201314168119</v>
      </c>
      <c r="C6" s="15">
        <v>14.52</v>
      </c>
      <c r="D6" s="15">
        <v>0.9</v>
      </c>
      <c r="E6" s="15">
        <f t="shared" si="0"/>
        <v>15.42</v>
      </c>
      <c r="F6" s="15">
        <v>1.24</v>
      </c>
      <c r="G6" s="15">
        <f t="shared" si="1"/>
        <v>19.120799999999999</v>
      </c>
      <c r="H6" s="15">
        <v>1.1214999999999999</v>
      </c>
      <c r="I6" s="15">
        <f t="shared" si="2"/>
        <v>21.443977199999999</v>
      </c>
      <c r="J6" s="15">
        <v>0.74</v>
      </c>
      <c r="K6" s="15">
        <f t="shared" si="3"/>
        <v>22.183977199999998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spans="1:29" x14ac:dyDescent="0.2">
      <c r="A7" s="13" t="s">
        <v>716</v>
      </c>
      <c r="B7" s="14">
        <v>5201314168102</v>
      </c>
      <c r="C7" s="15">
        <v>14.52</v>
      </c>
      <c r="D7" s="15">
        <v>0.9</v>
      </c>
      <c r="E7" s="15">
        <f t="shared" si="0"/>
        <v>15.42</v>
      </c>
      <c r="F7" s="15">
        <v>1.24</v>
      </c>
      <c r="G7" s="15">
        <f t="shared" si="1"/>
        <v>19.120799999999999</v>
      </c>
      <c r="H7" s="15">
        <v>1.1214999999999999</v>
      </c>
      <c r="I7" s="15">
        <f t="shared" si="2"/>
        <v>21.443977199999999</v>
      </c>
      <c r="J7" s="15">
        <v>0.74</v>
      </c>
      <c r="K7" s="15">
        <f t="shared" si="3"/>
        <v>22.183977199999998</v>
      </c>
      <c r="L7" s="15">
        <v>22.48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29" x14ac:dyDescent="0.2">
      <c r="A8" s="13" t="s">
        <v>717</v>
      </c>
      <c r="B8" s="14">
        <v>5201314168089</v>
      </c>
      <c r="C8" s="15">
        <v>6.4</v>
      </c>
      <c r="D8" s="15">
        <v>0.9</v>
      </c>
      <c r="E8" s="15">
        <f t="shared" si="0"/>
        <v>7.3000000000000007</v>
      </c>
      <c r="F8" s="15">
        <v>1.24</v>
      </c>
      <c r="G8" s="15">
        <f t="shared" si="1"/>
        <v>9.0520000000000014</v>
      </c>
      <c r="H8" s="15">
        <v>1.1214999999999999</v>
      </c>
      <c r="I8" s="15">
        <f t="shared" si="2"/>
        <v>10.151818</v>
      </c>
      <c r="J8" s="15">
        <v>0.74</v>
      </c>
      <c r="K8" s="15">
        <f t="shared" si="3"/>
        <v>10.891818000000001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29" x14ac:dyDescent="0.2">
      <c r="A9" s="13" t="s">
        <v>718</v>
      </c>
      <c r="B9" s="14">
        <v>5201314168126</v>
      </c>
      <c r="C9" s="15">
        <v>14.51</v>
      </c>
      <c r="D9" s="15">
        <v>0.9</v>
      </c>
      <c r="E9" s="15">
        <f t="shared" si="0"/>
        <v>15.41</v>
      </c>
      <c r="F9" s="15">
        <v>1.24</v>
      </c>
      <c r="G9" s="15">
        <f t="shared" si="1"/>
        <v>19.1084</v>
      </c>
      <c r="H9" s="15">
        <v>1.1214999999999999</v>
      </c>
      <c r="I9" s="15">
        <f t="shared" si="2"/>
        <v>21.430070599999997</v>
      </c>
      <c r="J9" s="15">
        <v>0.74</v>
      </c>
      <c r="K9" s="15">
        <f t="shared" si="3"/>
        <v>22.170070599999995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29" x14ac:dyDescent="0.2">
      <c r="A10" s="13" t="s">
        <v>719</v>
      </c>
      <c r="B10" s="14">
        <v>5201314168157</v>
      </c>
      <c r="C10" s="15">
        <v>8.6999999999999993</v>
      </c>
      <c r="D10" s="15">
        <v>0.9</v>
      </c>
      <c r="E10" s="15">
        <f t="shared" si="0"/>
        <v>9.6</v>
      </c>
      <c r="F10" s="15">
        <v>1.24</v>
      </c>
      <c r="G10" s="15">
        <f t="shared" si="1"/>
        <v>11.904</v>
      </c>
      <c r="H10" s="15">
        <v>1.1214999999999999</v>
      </c>
      <c r="I10" s="15">
        <f t="shared" si="2"/>
        <v>13.350335999999999</v>
      </c>
      <c r="J10" s="15">
        <v>0.74</v>
      </c>
      <c r="K10" s="15">
        <f t="shared" si="3"/>
        <v>14.090335999999999</v>
      </c>
      <c r="L10" s="15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spans="1:29" x14ac:dyDescent="0.2">
      <c r="A11" s="13" t="s">
        <v>720</v>
      </c>
      <c r="B11" s="14">
        <v>5201314168164</v>
      </c>
      <c r="C11" s="15">
        <v>8.69</v>
      </c>
      <c r="D11" s="15">
        <v>0.9</v>
      </c>
      <c r="E11" s="15">
        <f t="shared" si="0"/>
        <v>9.59</v>
      </c>
      <c r="F11" s="15">
        <v>1.24</v>
      </c>
      <c r="G11" s="15">
        <f t="shared" si="1"/>
        <v>11.8916</v>
      </c>
      <c r="H11" s="15">
        <v>1.1214999999999999</v>
      </c>
      <c r="I11" s="15">
        <f t="shared" si="2"/>
        <v>13.3364294</v>
      </c>
      <c r="J11" s="15">
        <v>0.74</v>
      </c>
      <c r="K11" s="15">
        <f t="shared" si="3"/>
        <v>14.0764294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29" x14ac:dyDescent="0.2">
      <c r="A12" s="13" t="s">
        <v>721</v>
      </c>
      <c r="B12" s="14">
        <v>5201314168140</v>
      </c>
      <c r="C12" s="15">
        <v>8.7100000000000009</v>
      </c>
      <c r="D12" s="15">
        <v>0.9</v>
      </c>
      <c r="E12" s="15">
        <f t="shared" si="0"/>
        <v>9.6100000000000012</v>
      </c>
      <c r="F12" s="15">
        <v>1.24</v>
      </c>
      <c r="G12" s="15">
        <f t="shared" si="1"/>
        <v>11.916400000000001</v>
      </c>
      <c r="H12" s="15">
        <v>1.1214999999999999</v>
      </c>
      <c r="I12" s="15">
        <f t="shared" si="2"/>
        <v>13.364242600000001</v>
      </c>
      <c r="J12" s="15">
        <v>0.74</v>
      </c>
      <c r="K12" s="15">
        <f t="shared" si="3"/>
        <v>14.104242600000001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29" x14ac:dyDescent="0.2">
      <c r="A13" s="13" t="s">
        <v>722</v>
      </c>
      <c r="B13" s="14">
        <v>5201314168195</v>
      </c>
      <c r="C13" s="15">
        <v>12.85</v>
      </c>
      <c r="D13" s="15">
        <v>0.9</v>
      </c>
      <c r="E13" s="15">
        <f t="shared" si="0"/>
        <v>13.75</v>
      </c>
      <c r="F13" s="15">
        <v>1.24</v>
      </c>
      <c r="G13" s="15">
        <f t="shared" si="1"/>
        <v>17.05</v>
      </c>
      <c r="H13" s="15">
        <v>1.1214999999999999</v>
      </c>
      <c r="I13" s="15">
        <f t="shared" si="2"/>
        <v>19.121575</v>
      </c>
      <c r="J13" s="15">
        <v>0.74</v>
      </c>
      <c r="K13" s="15">
        <f t="shared" si="3"/>
        <v>19.861574999999998</v>
      </c>
      <c r="L13" s="15">
        <v>20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spans="1:29" x14ac:dyDescent="0.2">
      <c r="A14" s="13" t="s">
        <v>723</v>
      </c>
      <c r="B14" s="14">
        <v>5201314168324</v>
      </c>
      <c r="C14" s="15">
        <v>5.8</v>
      </c>
      <c r="D14" s="15">
        <v>0.9</v>
      </c>
      <c r="E14" s="15">
        <f t="shared" si="0"/>
        <v>6.7</v>
      </c>
      <c r="F14" s="15">
        <v>1.24</v>
      </c>
      <c r="G14" s="15">
        <f t="shared" si="1"/>
        <v>8.3079999999999998</v>
      </c>
      <c r="H14" s="15">
        <v>1.1214999999999999</v>
      </c>
      <c r="I14" s="15">
        <f t="shared" si="2"/>
        <v>9.3174219999999988</v>
      </c>
      <c r="J14" s="15">
        <v>0.73999999999999899</v>
      </c>
      <c r="K14" s="15">
        <f t="shared" si="3"/>
        <v>10.057421999999997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spans="1:29" x14ac:dyDescent="0.2">
      <c r="A15" s="13" t="s">
        <v>724</v>
      </c>
      <c r="B15" s="14">
        <v>5201314168232</v>
      </c>
      <c r="C15" s="15">
        <v>6.63</v>
      </c>
      <c r="D15" s="15">
        <v>0.9</v>
      </c>
      <c r="E15" s="15">
        <f t="shared" si="0"/>
        <v>7.53</v>
      </c>
      <c r="F15" s="15">
        <v>1.24</v>
      </c>
      <c r="G15" s="15">
        <f t="shared" si="1"/>
        <v>9.3372000000000011</v>
      </c>
      <c r="H15" s="15">
        <v>1.1214999999999999</v>
      </c>
      <c r="I15" s="15">
        <f t="shared" si="2"/>
        <v>10.471669800000001</v>
      </c>
      <c r="J15" s="15">
        <v>0.73999999999999899</v>
      </c>
      <c r="K15" s="15">
        <f t="shared" si="3"/>
        <v>11.211669799999999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spans="1:29" x14ac:dyDescent="0.2">
      <c r="A16" s="13" t="s">
        <v>725</v>
      </c>
      <c r="B16" s="14">
        <v>5201314168225</v>
      </c>
      <c r="C16" s="15">
        <v>6.64</v>
      </c>
      <c r="D16" s="15">
        <v>0.9</v>
      </c>
      <c r="E16" s="15">
        <f t="shared" si="0"/>
        <v>7.54</v>
      </c>
      <c r="F16" s="15">
        <v>1.24</v>
      </c>
      <c r="G16" s="15">
        <f t="shared" si="1"/>
        <v>9.3496000000000006</v>
      </c>
      <c r="H16" s="15">
        <v>1.1214999999999999</v>
      </c>
      <c r="I16" s="15">
        <f t="shared" si="2"/>
        <v>10.485576399999999</v>
      </c>
      <c r="J16" s="15">
        <v>0.73999999999999899</v>
      </c>
      <c r="K16" s="15">
        <f t="shared" si="3"/>
        <v>11.225576399999998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spans="1:29" x14ac:dyDescent="0.2">
      <c r="A17" s="13" t="s">
        <v>726</v>
      </c>
      <c r="B17" s="14">
        <v>5201314168218</v>
      </c>
      <c r="C17" s="15">
        <v>6.64</v>
      </c>
      <c r="D17" s="15">
        <v>0.9</v>
      </c>
      <c r="E17" s="15">
        <f t="shared" si="0"/>
        <v>7.54</v>
      </c>
      <c r="F17" s="15">
        <v>1.24</v>
      </c>
      <c r="G17" s="15">
        <f t="shared" si="1"/>
        <v>9.3496000000000006</v>
      </c>
      <c r="H17" s="15">
        <v>1.1214999999999999</v>
      </c>
      <c r="I17" s="15">
        <f t="shared" si="2"/>
        <v>10.485576399999999</v>
      </c>
      <c r="J17" s="15">
        <v>0.73999999999999899</v>
      </c>
      <c r="K17" s="15">
        <f t="shared" si="3"/>
        <v>11.225576399999998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spans="1:29" x14ac:dyDescent="0.2">
      <c r="A18" s="13" t="s">
        <v>727</v>
      </c>
      <c r="B18" s="14">
        <v>5201314168270</v>
      </c>
      <c r="C18" s="15">
        <v>9.9600000000000009</v>
      </c>
      <c r="D18" s="15">
        <v>0.9</v>
      </c>
      <c r="E18" s="15">
        <f t="shared" si="0"/>
        <v>10.860000000000001</v>
      </c>
      <c r="F18" s="15">
        <v>1.24</v>
      </c>
      <c r="G18" s="15">
        <f t="shared" si="1"/>
        <v>13.466400000000002</v>
      </c>
      <c r="H18" s="15">
        <v>1.1214999999999999</v>
      </c>
      <c r="I18" s="15">
        <f t="shared" si="2"/>
        <v>15.102567600000002</v>
      </c>
      <c r="J18" s="15">
        <v>0.73999999999999899</v>
      </c>
      <c r="K18" s="15">
        <f t="shared" si="3"/>
        <v>15.842567600000001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spans="1:29" x14ac:dyDescent="0.2">
      <c r="A19" s="13" t="s">
        <v>728</v>
      </c>
      <c r="B19" s="14">
        <v>5201314168287</v>
      </c>
      <c r="C19" s="15">
        <v>9.9499999999999993</v>
      </c>
      <c r="D19" s="15">
        <v>0.9</v>
      </c>
      <c r="E19" s="15">
        <f t="shared" si="0"/>
        <v>10.85</v>
      </c>
      <c r="F19" s="15">
        <v>1.24</v>
      </c>
      <c r="G19" s="15">
        <f t="shared" si="1"/>
        <v>13.453999999999999</v>
      </c>
      <c r="H19" s="15">
        <v>1.1214999999999999</v>
      </c>
      <c r="I19" s="15">
        <f t="shared" si="2"/>
        <v>15.088660999999998</v>
      </c>
      <c r="J19" s="15">
        <v>0.73999999999999899</v>
      </c>
      <c r="K19" s="15">
        <f t="shared" si="3"/>
        <v>15.828660999999997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spans="1:29" x14ac:dyDescent="0.2">
      <c r="A20" s="13" t="s">
        <v>729</v>
      </c>
      <c r="B20" s="14">
        <v>5201314168256</v>
      </c>
      <c r="C20" s="15">
        <v>9.9600000000000009</v>
      </c>
      <c r="D20" s="15">
        <v>0.9</v>
      </c>
      <c r="E20" s="15">
        <f t="shared" si="0"/>
        <v>10.860000000000001</v>
      </c>
      <c r="F20" s="15">
        <v>1.24</v>
      </c>
      <c r="G20" s="15">
        <f t="shared" si="1"/>
        <v>13.466400000000002</v>
      </c>
      <c r="H20" s="15">
        <v>1.1214999999999999</v>
      </c>
      <c r="I20" s="15">
        <f t="shared" si="2"/>
        <v>15.102567600000002</v>
      </c>
      <c r="J20" s="15">
        <v>0.73999999999999899</v>
      </c>
      <c r="K20" s="15">
        <f t="shared" si="3"/>
        <v>15.842567600000001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spans="1:29" x14ac:dyDescent="0.2">
      <c r="A21" s="13" t="s">
        <v>730</v>
      </c>
      <c r="B21" s="14">
        <v>5201314168317</v>
      </c>
      <c r="C21" s="15">
        <v>5.8</v>
      </c>
      <c r="D21" s="15">
        <v>0.3</v>
      </c>
      <c r="E21" s="15">
        <f t="shared" si="0"/>
        <v>6.1</v>
      </c>
      <c r="F21" s="15">
        <v>1.24</v>
      </c>
      <c r="G21" s="15">
        <f t="shared" si="1"/>
        <v>7.5639999999999992</v>
      </c>
      <c r="H21" s="15">
        <v>1.1214999999999999</v>
      </c>
      <c r="I21" s="15">
        <f t="shared" si="2"/>
        <v>8.4830259999999988</v>
      </c>
      <c r="J21" s="15">
        <v>0.43</v>
      </c>
      <c r="K21" s="15">
        <f t="shared" si="3"/>
        <v>8.9130259999999986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 x14ac:dyDescent="0.2">
      <c r="A22" s="13" t="s">
        <v>731</v>
      </c>
      <c r="B22" s="14">
        <v>5201314168249</v>
      </c>
      <c r="C22" s="15">
        <v>9.9600000000000009</v>
      </c>
      <c r="D22" s="15">
        <v>0.9</v>
      </c>
      <c r="E22" s="15">
        <f t="shared" si="0"/>
        <v>10.860000000000001</v>
      </c>
      <c r="F22" s="15">
        <v>1.24</v>
      </c>
      <c r="G22" s="15">
        <f t="shared" si="1"/>
        <v>13.466400000000002</v>
      </c>
      <c r="H22" s="15">
        <v>1.1214999999999999</v>
      </c>
      <c r="I22" s="15">
        <f t="shared" si="2"/>
        <v>15.102567600000002</v>
      </c>
      <c r="J22" s="15">
        <v>0.73999999999999899</v>
      </c>
      <c r="K22" s="15">
        <f t="shared" si="3"/>
        <v>15.842567600000001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1:29" x14ac:dyDescent="0.2">
      <c r="A23" s="13" t="s">
        <v>732</v>
      </c>
      <c r="B23" s="14">
        <v>5201314168294</v>
      </c>
      <c r="C23" s="15">
        <v>5.8</v>
      </c>
      <c r="D23" s="15">
        <v>0.55000000000000004</v>
      </c>
      <c r="E23" s="15">
        <f t="shared" si="0"/>
        <v>6.35</v>
      </c>
      <c r="F23" s="15">
        <v>1.24</v>
      </c>
      <c r="G23" s="15">
        <f t="shared" si="1"/>
        <v>7.8739999999999997</v>
      </c>
      <c r="H23" s="15">
        <v>1.1214999999999999</v>
      </c>
      <c r="I23" s="15">
        <f t="shared" si="2"/>
        <v>8.8306909999999998</v>
      </c>
      <c r="J23" s="15">
        <v>0.45</v>
      </c>
      <c r="K23" s="15">
        <f t="shared" si="3"/>
        <v>9.2806909999999991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:29" x14ac:dyDescent="0.2">
      <c r="A24" s="13" t="s">
        <v>733</v>
      </c>
      <c r="B24" s="14">
        <v>5201314184973</v>
      </c>
      <c r="C24" s="15">
        <v>16.170000000000002</v>
      </c>
      <c r="D24" s="15">
        <v>0.9</v>
      </c>
      <c r="E24" s="15">
        <f t="shared" si="0"/>
        <v>17.07</v>
      </c>
      <c r="F24" s="15">
        <v>1.24</v>
      </c>
      <c r="G24" s="15">
        <f t="shared" si="1"/>
        <v>21.166799999999999</v>
      </c>
      <c r="H24" s="15">
        <v>1.1214999999999999</v>
      </c>
      <c r="I24" s="15">
        <f t="shared" si="2"/>
        <v>23.738566199999998</v>
      </c>
      <c r="J24" s="15">
        <v>0.73999999999999899</v>
      </c>
      <c r="K24" s="15">
        <f t="shared" si="3"/>
        <v>24.478566199999996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spans="1:29" x14ac:dyDescent="0.2">
      <c r="A25" s="13" t="s">
        <v>734</v>
      </c>
      <c r="B25" s="14">
        <v>5201314168096</v>
      </c>
      <c r="C25" s="15">
        <v>9.9499999999999993</v>
      </c>
      <c r="D25" s="15">
        <v>0.9</v>
      </c>
      <c r="E25" s="15">
        <f t="shared" si="0"/>
        <v>10.85</v>
      </c>
      <c r="F25" s="15">
        <v>1.24</v>
      </c>
      <c r="G25" s="15">
        <f t="shared" si="1"/>
        <v>13.453999999999999</v>
      </c>
      <c r="H25" s="15">
        <v>1.1214999999999999</v>
      </c>
      <c r="I25" s="15">
        <f t="shared" si="2"/>
        <v>15.088660999999998</v>
      </c>
      <c r="J25" s="15">
        <v>0.73999999999999899</v>
      </c>
      <c r="K25" s="15">
        <f t="shared" si="3"/>
        <v>15.828660999999997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spans="1:29" x14ac:dyDescent="0.2">
      <c r="A26" s="26" t="s">
        <v>735</v>
      </c>
      <c r="B26" s="26" t="s">
        <v>736</v>
      </c>
      <c r="C26" s="15">
        <v>5.71</v>
      </c>
      <c r="D26" s="15">
        <v>0.9</v>
      </c>
      <c r="E26" s="15">
        <f t="shared" si="0"/>
        <v>6.61</v>
      </c>
      <c r="F26" s="15">
        <v>1.24</v>
      </c>
      <c r="G26" s="15">
        <f t="shared" si="1"/>
        <v>8.1964000000000006</v>
      </c>
      <c r="H26" s="15">
        <v>1.1214999999999999</v>
      </c>
      <c r="I26" s="15">
        <f t="shared" si="2"/>
        <v>9.1922625999999994</v>
      </c>
      <c r="J26" s="15">
        <v>1.44</v>
      </c>
      <c r="K26" s="15">
        <f t="shared" si="3"/>
        <v>10.632262599999999</v>
      </c>
    </row>
    <row r="27" spans="1:29" x14ac:dyDescent="0.2">
      <c r="A27" s="12" t="s">
        <v>737</v>
      </c>
      <c r="B27" s="12">
        <v>5201314184959</v>
      </c>
      <c r="C27" s="15">
        <v>12.86</v>
      </c>
      <c r="D27" s="15">
        <v>0.9</v>
      </c>
      <c r="E27" s="15">
        <f t="shared" si="0"/>
        <v>13.76</v>
      </c>
      <c r="F27" s="15">
        <v>1.24</v>
      </c>
      <c r="G27" s="15">
        <f t="shared" si="1"/>
        <v>17.0624</v>
      </c>
      <c r="H27" s="15">
        <v>1.1214999999999999</v>
      </c>
      <c r="I27" s="15">
        <f t="shared" si="2"/>
        <v>19.135481599999999</v>
      </c>
      <c r="J27" s="15">
        <v>0.73999999999999899</v>
      </c>
      <c r="K27" s="15">
        <f t="shared" si="3"/>
        <v>19.875481599999997</v>
      </c>
    </row>
    <row r="28" spans="1:29" x14ac:dyDescent="0.2">
      <c r="C28" s="15">
        <v>0</v>
      </c>
      <c r="D28" s="15">
        <v>0.9</v>
      </c>
      <c r="E28" s="15">
        <f t="shared" si="0"/>
        <v>0.9</v>
      </c>
      <c r="F28" s="15">
        <v>1.24</v>
      </c>
      <c r="G28" s="15">
        <f t="shared" si="1"/>
        <v>1.1160000000000001</v>
      </c>
      <c r="H28" s="15">
        <v>1.1214999999999999</v>
      </c>
      <c r="I28" s="15">
        <f t="shared" si="2"/>
        <v>1.2515940000000001</v>
      </c>
      <c r="J28" s="15">
        <v>0.73999999999999899</v>
      </c>
      <c r="K28" s="15">
        <f t="shared" si="3"/>
        <v>1.9915939999999992</v>
      </c>
    </row>
    <row r="29" spans="1:29" x14ac:dyDescent="0.2">
      <c r="C29" s="15">
        <v>0</v>
      </c>
      <c r="D29" s="15">
        <v>0.9</v>
      </c>
      <c r="E29" s="15">
        <f t="shared" si="0"/>
        <v>0.9</v>
      </c>
      <c r="F29" s="15">
        <v>1.24</v>
      </c>
      <c r="G29" s="15">
        <f t="shared" si="1"/>
        <v>1.1160000000000001</v>
      </c>
      <c r="H29" s="15">
        <v>1.1214999999999999</v>
      </c>
      <c r="I29" s="15">
        <f t="shared" si="2"/>
        <v>1.2515940000000001</v>
      </c>
      <c r="J29" s="15">
        <v>0.73999999999999899</v>
      </c>
      <c r="K29" s="15">
        <f t="shared" si="3"/>
        <v>1.9915939999999992</v>
      </c>
    </row>
    <row r="30" spans="1:29" x14ac:dyDescent="0.2">
      <c r="C30" s="15">
        <v>0</v>
      </c>
      <c r="D30" s="15">
        <v>0.9</v>
      </c>
      <c r="E30" s="15">
        <f t="shared" si="0"/>
        <v>0.9</v>
      </c>
      <c r="F30" s="15">
        <v>1.24</v>
      </c>
      <c r="G30" s="15">
        <f t="shared" si="1"/>
        <v>1.1160000000000001</v>
      </c>
      <c r="H30" s="15">
        <v>1.1214999999999999</v>
      </c>
      <c r="I30" s="15">
        <f t="shared" si="2"/>
        <v>1.2515940000000001</v>
      </c>
      <c r="J30" s="15">
        <v>0.73999999999999899</v>
      </c>
      <c r="K30" s="15">
        <f t="shared" si="3"/>
        <v>1.9915939999999992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2:K18"/>
  <sheetViews>
    <sheetView workbookViewId="0"/>
  </sheetViews>
  <sheetFormatPr defaultColWidth="12.5703125" defaultRowHeight="15.75" customHeight="1" x14ac:dyDescent="0.2"/>
  <cols>
    <col min="1" max="1" width="19.140625" customWidth="1"/>
    <col min="2" max="2" width="27.42578125" customWidth="1"/>
  </cols>
  <sheetData>
    <row r="2" spans="1:11" x14ac:dyDescent="0.2">
      <c r="A2" s="6" t="s">
        <v>738</v>
      </c>
      <c r="B2" s="6" t="s">
        <v>739</v>
      </c>
      <c r="C2" s="15">
        <v>6.9</v>
      </c>
      <c r="D2" s="15">
        <v>0.6</v>
      </c>
      <c r="E2" s="15">
        <f t="shared" ref="E2:E18" si="0">SUM(C2)+D2</f>
        <v>7.5</v>
      </c>
      <c r="F2" s="15">
        <v>1.1299999999999999</v>
      </c>
      <c r="G2" s="15">
        <f t="shared" ref="G2:G18" si="1">SUM(E2)*F2</f>
        <v>8.4749999999999996</v>
      </c>
      <c r="H2" s="15">
        <v>1.1214999999999999</v>
      </c>
      <c r="I2" s="15">
        <f t="shared" ref="I2:I18" si="2">SUM(G2)*H2</f>
        <v>9.5047124999999983</v>
      </c>
      <c r="J2" s="21">
        <v>0.43</v>
      </c>
      <c r="K2" s="15">
        <f t="shared" ref="K2:K18" si="3">SUM(I2)+J2</f>
        <v>9.9347124999999981</v>
      </c>
    </row>
    <row r="3" spans="1:11" x14ac:dyDescent="0.2">
      <c r="A3" s="6" t="s">
        <v>740</v>
      </c>
      <c r="B3" s="6" t="s">
        <v>741</v>
      </c>
      <c r="C3" s="15">
        <v>3.57</v>
      </c>
      <c r="D3" s="15">
        <v>0.4</v>
      </c>
      <c r="E3" s="15">
        <f t="shared" si="0"/>
        <v>3.9699999999999998</v>
      </c>
      <c r="F3" s="15">
        <v>1.1299999999999999</v>
      </c>
      <c r="G3" s="15">
        <f t="shared" si="1"/>
        <v>4.4860999999999995</v>
      </c>
      <c r="H3" s="15">
        <v>1.1214999999999999</v>
      </c>
      <c r="I3" s="15">
        <f t="shared" si="2"/>
        <v>5.0311611499999991</v>
      </c>
      <c r="J3" s="21">
        <v>0.25</v>
      </c>
      <c r="K3" s="15">
        <f t="shared" si="3"/>
        <v>5.2811611499999991</v>
      </c>
    </row>
    <row r="4" spans="1:11" x14ac:dyDescent="0.2">
      <c r="A4" s="6" t="s">
        <v>742</v>
      </c>
      <c r="B4" s="6" t="s">
        <v>743</v>
      </c>
      <c r="C4" s="15">
        <v>3.57</v>
      </c>
      <c r="D4" s="15">
        <v>0.6</v>
      </c>
      <c r="E4" s="15">
        <f t="shared" si="0"/>
        <v>4.17</v>
      </c>
      <c r="F4" s="15">
        <v>1.1299999999999999</v>
      </c>
      <c r="G4" s="15">
        <f t="shared" si="1"/>
        <v>4.7120999999999995</v>
      </c>
      <c r="H4" s="15">
        <v>1.1214999999999999</v>
      </c>
      <c r="I4" s="15">
        <f t="shared" si="2"/>
        <v>5.2846201499999994</v>
      </c>
      <c r="J4" s="21">
        <v>0.25</v>
      </c>
      <c r="K4" s="15">
        <f t="shared" si="3"/>
        <v>5.5346201499999994</v>
      </c>
    </row>
    <row r="5" spans="1:11" x14ac:dyDescent="0.2">
      <c r="A5" s="6" t="s">
        <v>744</v>
      </c>
      <c r="B5" s="6" t="s">
        <v>745</v>
      </c>
      <c r="C5" s="15">
        <v>5.97</v>
      </c>
      <c r="D5" s="15">
        <v>0.6</v>
      </c>
      <c r="E5" s="15">
        <f t="shared" si="0"/>
        <v>6.5699999999999994</v>
      </c>
      <c r="F5" s="15">
        <v>1.1299999999999999</v>
      </c>
      <c r="G5" s="15">
        <f t="shared" si="1"/>
        <v>7.4240999999999984</v>
      </c>
      <c r="H5" s="15">
        <v>1.1214999999999999</v>
      </c>
      <c r="I5" s="15">
        <f t="shared" si="2"/>
        <v>8.3261281499999971</v>
      </c>
      <c r="J5" s="21">
        <v>0.43</v>
      </c>
      <c r="K5" s="15">
        <f t="shared" si="3"/>
        <v>8.7561281499999968</v>
      </c>
    </row>
    <row r="6" spans="1:11" x14ac:dyDescent="0.2">
      <c r="A6" s="6" t="s">
        <v>746</v>
      </c>
      <c r="B6" s="6" t="s">
        <v>747</v>
      </c>
      <c r="C6" s="15">
        <v>3.88</v>
      </c>
      <c r="D6" s="15">
        <v>0.6</v>
      </c>
      <c r="E6" s="15">
        <f t="shared" si="0"/>
        <v>4.4799999999999995</v>
      </c>
      <c r="F6" s="15">
        <v>1.1299999999999999</v>
      </c>
      <c r="G6" s="15">
        <f t="shared" si="1"/>
        <v>5.0623999999999993</v>
      </c>
      <c r="H6" s="15">
        <v>1.1214999999999999</v>
      </c>
      <c r="I6" s="15">
        <f t="shared" si="2"/>
        <v>5.6774815999999992</v>
      </c>
      <c r="J6" s="21">
        <v>0.25</v>
      </c>
      <c r="K6" s="15">
        <f t="shared" si="3"/>
        <v>5.9274815999999992</v>
      </c>
    </row>
    <row r="7" spans="1:11" x14ac:dyDescent="0.2">
      <c r="A7" s="6" t="s">
        <v>748</v>
      </c>
      <c r="B7" s="6" t="s">
        <v>749</v>
      </c>
      <c r="C7" s="15">
        <v>4.3899999999999997</v>
      </c>
      <c r="D7" s="15">
        <v>0.6</v>
      </c>
      <c r="E7" s="15">
        <f t="shared" si="0"/>
        <v>4.9899999999999993</v>
      </c>
      <c r="F7" s="15">
        <v>1.1299999999999999</v>
      </c>
      <c r="G7" s="15">
        <f t="shared" si="1"/>
        <v>5.6386999999999983</v>
      </c>
      <c r="H7" s="15">
        <v>1.1214999999999999</v>
      </c>
      <c r="I7" s="15">
        <f t="shared" si="2"/>
        <v>6.3238020499999976</v>
      </c>
      <c r="J7" s="21">
        <v>0.25</v>
      </c>
      <c r="K7" s="15">
        <f t="shared" si="3"/>
        <v>6.5738020499999976</v>
      </c>
    </row>
    <row r="8" spans="1:11" x14ac:dyDescent="0.2">
      <c r="A8" s="6" t="s">
        <v>750</v>
      </c>
      <c r="B8" s="6" t="s">
        <v>751</v>
      </c>
      <c r="C8" s="15">
        <v>3.88</v>
      </c>
      <c r="D8" s="15">
        <v>0.6</v>
      </c>
      <c r="E8" s="15">
        <f t="shared" si="0"/>
        <v>4.4799999999999995</v>
      </c>
      <c r="F8" s="15">
        <v>1.1299999999999999</v>
      </c>
      <c r="G8" s="15">
        <f t="shared" si="1"/>
        <v>5.0623999999999993</v>
      </c>
      <c r="H8" s="15">
        <v>1.1214999999999999</v>
      </c>
      <c r="I8" s="15">
        <f t="shared" si="2"/>
        <v>5.6774815999999992</v>
      </c>
      <c r="J8" s="21">
        <v>0.25</v>
      </c>
      <c r="K8" s="15">
        <f t="shared" si="3"/>
        <v>5.9274815999999992</v>
      </c>
    </row>
    <row r="9" spans="1:11" x14ac:dyDescent="0.2">
      <c r="A9" s="6" t="s">
        <v>752</v>
      </c>
      <c r="B9" s="6" t="s">
        <v>753</v>
      </c>
      <c r="C9" s="15">
        <v>6.75</v>
      </c>
      <c r="D9" s="15">
        <v>0.9</v>
      </c>
      <c r="E9" s="15">
        <f t="shared" si="0"/>
        <v>7.65</v>
      </c>
      <c r="F9" s="15">
        <v>1.24</v>
      </c>
      <c r="G9" s="15">
        <f t="shared" si="1"/>
        <v>9.4860000000000007</v>
      </c>
      <c r="H9" s="15">
        <v>1.1214999999999999</v>
      </c>
      <c r="I9" s="15">
        <f t="shared" si="2"/>
        <v>10.638548999999999</v>
      </c>
      <c r="J9" s="21">
        <v>0.7</v>
      </c>
      <c r="K9" s="15">
        <f t="shared" si="3"/>
        <v>11.338548999999999</v>
      </c>
    </row>
    <row r="10" spans="1:11" x14ac:dyDescent="0.2">
      <c r="A10" s="6" t="s">
        <v>754</v>
      </c>
      <c r="B10" s="6" t="s">
        <v>755</v>
      </c>
      <c r="C10" s="15">
        <v>4.3899999999999997</v>
      </c>
      <c r="D10" s="15">
        <v>0.6</v>
      </c>
      <c r="E10" s="15">
        <f t="shared" si="0"/>
        <v>4.9899999999999993</v>
      </c>
      <c r="F10" s="15">
        <v>1.1299999999999999</v>
      </c>
      <c r="G10" s="15">
        <f t="shared" si="1"/>
        <v>5.6386999999999983</v>
      </c>
      <c r="H10" s="15">
        <v>1.1214999999999999</v>
      </c>
      <c r="I10" s="15">
        <f t="shared" si="2"/>
        <v>6.3238020499999976</v>
      </c>
      <c r="J10" s="21">
        <v>0.25</v>
      </c>
      <c r="K10" s="15">
        <f t="shared" si="3"/>
        <v>6.5738020499999976</v>
      </c>
    </row>
    <row r="11" spans="1:11" x14ac:dyDescent="0.2">
      <c r="A11" s="6" t="s">
        <v>756</v>
      </c>
      <c r="B11" s="6" t="s">
        <v>757</v>
      </c>
      <c r="C11" s="15">
        <v>4.3899999999999997</v>
      </c>
      <c r="D11" s="15">
        <v>0.6</v>
      </c>
      <c r="E11" s="15">
        <f t="shared" si="0"/>
        <v>4.9899999999999993</v>
      </c>
      <c r="F11" s="15">
        <v>1.1299999999999999</v>
      </c>
      <c r="G11" s="15">
        <f t="shared" si="1"/>
        <v>5.6386999999999983</v>
      </c>
      <c r="H11" s="15">
        <v>1.1214999999999999</v>
      </c>
      <c r="I11" s="15">
        <f t="shared" si="2"/>
        <v>6.3238020499999976</v>
      </c>
      <c r="J11" s="15">
        <v>0.25</v>
      </c>
      <c r="K11" s="15">
        <f t="shared" si="3"/>
        <v>6.5738020499999976</v>
      </c>
    </row>
    <row r="12" spans="1:11" x14ac:dyDescent="0.2">
      <c r="C12" s="15">
        <v>0</v>
      </c>
      <c r="D12" s="15">
        <v>0.9</v>
      </c>
      <c r="E12" s="15">
        <f t="shared" si="0"/>
        <v>0.9</v>
      </c>
      <c r="F12" s="15">
        <v>1.24</v>
      </c>
      <c r="G12" s="15">
        <f t="shared" si="1"/>
        <v>1.1160000000000001</v>
      </c>
      <c r="H12" s="15">
        <v>1.1214999999999999</v>
      </c>
      <c r="I12" s="15">
        <f t="shared" si="2"/>
        <v>1.2515940000000001</v>
      </c>
      <c r="J12" s="15">
        <v>0.73999999999999899</v>
      </c>
      <c r="K12" s="15">
        <f t="shared" si="3"/>
        <v>1.9915939999999992</v>
      </c>
    </row>
    <row r="13" spans="1:11" x14ac:dyDescent="0.2">
      <c r="C13" s="15">
        <v>0</v>
      </c>
      <c r="D13" s="15">
        <v>0.9</v>
      </c>
      <c r="E13" s="15">
        <f t="shared" si="0"/>
        <v>0.9</v>
      </c>
      <c r="F13" s="15">
        <v>1.24</v>
      </c>
      <c r="G13" s="15">
        <f t="shared" si="1"/>
        <v>1.1160000000000001</v>
      </c>
      <c r="H13" s="15">
        <v>1.1214999999999999</v>
      </c>
      <c r="I13" s="15">
        <f t="shared" si="2"/>
        <v>1.2515940000000001</v>
      </c>
      <c r="J13" s="15">
        <v>0.73999999999999899</v>
      </c>
      <c r="K13" s="15">
        <f t="shared" si="3"/>
        <v>1.9915939999999992</v>
      </c>
    </row>
    <row r="14" spans="1:11" x14ac:dyDescent="0.2">
      <c r="C14" s="15">
        <v>0</v>
      </c>
      <c r="D14" s="15">
        <v>0.9</v>
      </c>
      <c r="E14" s="15">
        <f t="shared" si="0"/>
        <v>0.9</v>
      </c>
      <c r="F14" s="15">
        <v>1.24</v>
      </c>
      <c r="G14" s="15">
        <f t="shared" si="1"/>
        <v>1.1160000000000001</v>
      </c>
      <c r="H14" s="15">
        <v>1.1214999999999999</v>
      </c>
      <c r="I14" s="15">
        <f t="shared" si="2"/>
        <v>1.2515940000000001</v>
      </c>
      <c r="J14" s="15">
        <v>0.73999999999999899</v>
      </c>
      <c r="K14" s="15">
        <f t="shared" si="3"/>
        <v>1.9915939999999992</v>
      </c>
    </row>
    <row r="15" spans="1:11" x14ac:dyDescent="0.2">
      <c r="C15" s="15">
        <v>0</v>
      </c>
      <c r="D15" s="15">
        <v>0.9</v>
      </c>
      <c r="E15" s="15">
        <f t="shared" si="0"/>
        <v>0.9</v>
      </c>
      <c r="F15" s="15">
        <v>1.24</v>
      </c>
      <c r="G15" s="15">
        <f t="shared" si="1"/>
        <v>1.1160000000000001</v>
      </c>
      <c r="H15" s="15">
        <v>1.1214999999999999</v>
      </c>
      <c r="I15" s="15">
        <f t="shared" si="2"/>
        <v>1.2515940000000001</v>
      </c>
      <c r="J15" s="15">
        <v>0.73999999999999899</v>
      </c>
      <c r="K15" s="15">
        <f t="shared" si="3"/>
        <v>1.9915939999999992</v>
      </c>
    </row>
    <row r="16" spans="1:11" x14ac:dyDescent="0.2">
      <c r="C16" s="15">
        <v>0</v>
      </c>
      <c r="D16" s="15">
        <v>0.9</v>
      </c>
      <c r="E16" s="15">
        <f t="shared" si="0"/>
        <v>0.9</v>
      </c>
      <c r="F16" s="15">
        <v>1.24</v>
      </c>
      <c r="G16" s="15">
        <f t="shared" si="1"/>
        <v>1.1160000000000001</v>
      </c>
      <c r="H16" s="15">
        <v>1.1214999999999999</v>
      </c>
      <c r="I16" s="15">
        <f t="shared" si="2"/>
        <v>1.2515940000000001</v>
      </c>
      <c r="J16" s="15">
        <v>0.73999999999999899</v>
      </c>
      <c r="K16" s="15">
        <f t="shared" si="3"/>
        <v>1.9915939999999992</v>
      </c>
    </row>
    <row r="17" spans="3:11" x14ac:dyDescent="0.2">
      <c r="C17" s="15">
        <v>0</v>
      </c>
      <c r="D17" s="15">
        <v>0.9</v>
      </c>
      <c r="E17" s="15">
        <f t="shared" si="0"/>
        <v>0.9</v>
      </c>
      <c r="F17" s="15">
        <v>1.24</v>
      </c>
      <c r="G17" s="15">
        <f t="shared" si="1"/>
        <v>1.1160000000000001</v>
      </c>
      <c r="H17" s="15">
        <v>1.1214999999999999</v>
      </c>
      <c r="I17" s="15">
        <f t="shared" si="2"/>
        <v>1.2515940000000001</v>
      </c>
      <c r="J17" s="15">
        <v>0.73999999999999899</v>
      </c>
      <c r="K17" s="15">
        <f t="shared" si="3"/>
        <v>1.9915939999999992</v>
      </c>
    </row>
    <row r="18" spans="3:11" x14ac:dyDescent="0.2">
      <c r="C18" s="15">
        <v>0</v>
      </c>
      <c r="D18" s="15">
        <v>0.9</v>
      </c>
      <c r="E18" s="15">
        <f t="shared" si="0"/>
        <v>0.9</v>
      </c>
      <c r="F18" s="15">
        <v>1.24</v>
      </c>
      <c r="G18" s="15">
        <f t="shared" si="1"/>
        <v>1.1160000000000001</v>
      </c>
      <c r="H18" s="15">
        <v>1.1214999999999999</v>
      </c>
      <c r="I18" s="15">
        <f t="shared" si="2"/>
        <v>1.2515940000000001</v>
      </c>
      <c r="J18" s="15">
        <v>0.73999999999999899</v>
      </c>
      <c r="K18" s="15">
        <f t="shared" si="3"/>
        <v>1.9915939999999992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2:AC47"/>
  <sheetViews>
    <sheetView workbookViewId="0"/>
  </sheetViews>
  <sheetFormatPr defaultColWidth="12.5703125" defaultRowHeight="15.75" customHeight="1" x14ac:dyDescent="0.2"/>
  <cols>
    <col min="1" max="1" width="27" customWidth="1"/>
  </cols>
  <sheetData>
    <row r="2" spans="1:29" x14ac:dyDescent="0.2">
      <c r="A2" s="13" t="s">
        <v>758</v>
      </c>
      <c r="B2" s="14">
        <v>8809416470016</v>
      </c>
      <c r="C2" s="15">
        <v>9.4</v>
      </c>
      <c r="D2" s="15">
        <v>0.9</v>
      </c>
      <c r="E2" s="15">
        <f t="shared" ref="E2:E47" si="0">SUM(C2)+D2</f>
        <v>10.3</v>
      </c>
      <c r="F2" s="15">
        <v>1.24</v>
      </c>
      <c r="G2" s="15">
        <f t="shared" ref="G2:G47" si="1">SUM(E2)*F2</f>
        <v>12.772</v>
      </c>
      <c r="H2" s="15">
        <v>1.1214999999999999</v>
      </c>
      <c r="I2" s="15">
        <f t="shared" ref="I2:I47" si="2">SUM(G2)*H2</f>
        <v>14.323798</v>
      </c>
      <c r="J2" s="15">
        <v>0.74</v>
      </c>
      <c r="K2" s="15">
        <f t="shared" ref="K2:K47" si="3">SUM(I2)+J2</f>
        <v>15.063798</v>
      </c>
      <c r="L2" s="13">
        <v>13.55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1:29" x14ac:dyDescent="0.2">
      <c r="A3" s="13" t="s">
        <v>759</v>
      </c>
      <c r="B3" s="14">
        <v>8809416470122</v>
      </c>
      <c r="C3" s="15">
        <v>9.8699999999999992</v>
      </c>
      <c r="D3" s="15">
        <v>0.9</v>
      </c>
      <c r="E3" s="15">
        <f t="shared" si="0"/>
        <v>10.77</v>
      </c>
      <c r="F3" s="15">
        <v>1.24</v>
      </c>
      <c r="G3" s="15">
        <f t="shared" si="1"/>
        <v>13.354799999999999</v>
      </c>
      <c r="H3" s="15">
        <v>1.1214999999999999</v>
      </c>
      <c r="I3" s="15">
        <f t="shared" si="2"/>
        <v>14.977408199999998</v>
      </c>
      <c r="J3" s="15">
        <v>1.49</v>
      </c>
      <c r="K3" s="15">
        <f t="shared" si="3"/>
        <v>16.467408199999998</v>
      </c>
      <c r="L3" s="15">
        <v>22.97</v>
      </c>
      <c r="M3" s="15">
        <f t="shared" ref="M3:M12" si="4">SUM(L3)-K3</f>
        <v>6.5025918000000011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29" x14ac:dyDescent="0.2">
      <c r="A4" s="13" t="s">
        <v>760</v>
      </c>
      <c r="B4" s="14">
        <v>8809416470054</v>
      </c>
      <c r="C4" s="15">
        <v>11.99</v>
      </c>
      <c r="D4" s="15">
        <v>0.9</v>
      </c>
      <c r="E4" s="15">
        <f t="shared" si="0"/>
        <v>12.89</v>
      </c>
      <c r="F4" s="15">
        <v>1.24</v>
      </c>
      <c r="G4" s="15">
        <f t="shared" si="1"/>
        <v>15.983600000000001</v>
      </c>
      <c r="H4" s="15">
        <v>1.1214999999999999</v>
      </c>
      <c r="I4" s="15">
        <f t="shared" si="2"/>
        <v>17.925607400000001</v>
      </c>
      <c r="J4" s="15">
        <v>0.74</v>
      </c>
      <c r="K4" s="15">
        <f t="shared" si="3"/>
        <v>18.665607399999999</v>
      </c>
      <c r="L4" s="13"/>
      <c r="M4" s="15">
        <f t="shared" si="4"/>
        <v>-18.665607399999999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29" x14ac:dyDescent="0.2">
      <c r="A5" s="13" t="s">
        <v>761</v>
      </c>
      <c r="B5" s="14">
        <v>8809598455726</v>
      </c>
      <c r="C5" s="15">
        <v>2.6</v>
      </c>
      <c r="D5" s="15">
        <v>0.2</v>
      </c>
      <c r="E5" s="15">
        <f t="shared" si="0"/>
        <v>2.8000000000000003</v>
      </c>
      <c r="F5" s="15">
        <v>1.24</v>
      </c>
      <c r="G5" s="15">
        <f t="shared" si="1"/>
        <v>3.4720000000000004</v>
      </c>
      <c r="H5" s="15">
        <v>1.1214999999999999</v>
      </c>
      <c r="I5" s="15">
        <f t="shared" si="2"/>
        <v>3.8938480000000002</v>
      </c>
      <c r="J5" s="15">
        <v>0.25</v>
      </c>
      <c r="K5" s="15">
        <f t="shared" si="3"/>
        <v>4.1438480000000002</v>
      </c>
      <c r="L5" s="15"/>
      <c r="M5" s="15">
        <f t="shared" si="4"/>
        <v>-4.1438480000000002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1:29" x14ac:dyDescent="0.2">
      <c r="A6" s="13" t="s">
        <v>762</v>
      </c>
      <c r="B6" s="14">
        <v>8809416470245</v>
      </c>
      <c r="C6" s="15">
        <v>3.11</v>
      </c>
      <c r="D6" s="15">
        <v>0.9</v>
      </c>
      <c r="E6" s="15">
        <f t="shared" si="0"/>
        <v>4.01</v>
      </c>
      <c r="F6" s="15">
        <v>1.24</v>
      </c>
      <c r="G6" s="15">
        <f t="shared" si="1"/>
        <v>4.9723999999999995</v>
      </c>
      <c r="H6" s="15">
        <v>1.1214999999999999</v>
      </c>
      <c r="I6" s="15">
        <f t="shared" si="2"/>
        <v>5.5765465999999995</v>
      </c>
      <c r="J6" s="15">
        <v>0.25</v>
      </c>
      <c r="K6" s="15">
        <f t="shared" si="3"/>
        <v>5.8265465999999995</v>
      </c>
      <c r="L6" s="13"/>
      <c r="M6" s="15">
        <f t="shared" si="4"/>
        <v>-5.8265465999999995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spans="1:29" x14ac:dyDescent="0.2">
      <c r="A7" s="13" t="s">
        <v>763</v>
      </c>
      <c r="B7" s="14">
        <v>8809416470511</v>
      </c>
      <c r="C7" s="15">
        <v>4.53</v>
      </c>
      <c r="D7" s="15">
        <v>0.9</v>
      </c>
      <c r="E7" s="15">
        <f t="shared" si="0"/>
        <v>5.4300000000000006</v>
      </c>
      <c r="F7" s="15">
        <v>1.24</v>
      </c>
      <c r="G7" s="15">
        <f t="shared" si="1"/>
        <v>6.733200000000001</v>
      </c>
      <c r="H7" s="15">
        <v>1.1214999999999999</v>
      </c>
      <c r="I7" s="15">
        <f t="shared" si="2"/>
        <v>7.5512838000000011</v>
      </c>
      <c r="J7" s="15">
        <v>0.74</v>
      </c>
      <c r="K7" s="15">
        <f t="shared" si="3"/>
        <v>8.2912838000000004</v>
      </c>
      <c r="L7" s="13"/>
      <c r="M7" s="15">
        <f t="shared" si="4"/>
        <v>-8.2912838000000004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29" x14ac:dyDescent="0.2">
      <c r="A8" s="13" t="s">
        <v>764</v>
      </c>
      <c r="B8" s="14">
        <v>8809416470030</v>
      </c>
      <c r="C8" s="15">
        <v>5.87</v>
      </c>
      <c r="D8" s="15">
        <v>0.9</v>
      </c>
      <c r="E8" s="15">
        <f t="shared" si="0"/>
        <v>6.7700000000000005</v>
      </c>
      <c r="F8" s="15">
        <v>1.24</v>
      </c>
      <c r="G8" s="15">
        <f t="shared" si="1"/>
        <v>8.3948</v>
      </c>
      <c r="H8" s="15">
        <v>1.1214999999999999</v>
      </c>
      <c r="I8" s="15">
        <f t="shared" si="2"/>
        <v>9.4147681999999993</v>
      </c>
      <c r="J8" s="15">
        <v>0.74</v>
      </c>
      <c r="K8" s="15">
        <f t="shared" si="3"/>
        <v>10.154768199999999</v>
      </c>
      <c r="L8" s="15">
        <v>11.65</v>
      </c>
      <c r="M8" s="15">
        <f t="shared" si="4"/>
        <v>1.4952318000000009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29" x14ac:dyDescent="0.2">
      <c r="A9" s="6" t="s">
        <v>765</v>
      </c>
      <c r="B9" s="14">
        <v>8809416470085</v>
      </c>
      <c r="C9" s="15">
        <v>7.74</v>
      </c>
      <c r="D9" s="15">
        <v>0.9</v>
      </c>
      <c r="E9" s="15">
        <f t="shared" si="0"/>
        <v>8.64</v>
      </c>
      <c r="F9" s="15">
        <v>1.24</v>
      </c>
      <c r="G9" s="15">
        <f t="shared" si="1"/>
        <v>10.713600000000001</v>
      </c>
      <c r="H9" s="15">
        <v>1.1214999999999999</v>
      </c>
      <c r="I9" s="15">
        <f t="shared" si="2"/>
        <v>12.015302400000001</v>
      </c>
      <c r="J9" s="15">
        <v>0.74</v>
      </c>
      <c r="K9" s="15">
        <f t="shared" si="3"/>
        <v>12.755302400000001</v>
      </c>
      <c r="L9" s="15">
        <v>20</v>
      </c>
      <c r="M9" s="15">
        <f t="shared" si="4"/>
        <v>7.2446975999999985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29" x14ac:dyDescent="0.2">
      <c r="A10" s="6" t="s">
        <v>766</v>
      </c>
      <c r="B10" s="14">
        <v>8809416471396</v>
      </c>
      <c r="C10" s="15">
        <v>2.1</v>
      </c>
      <c r="D10" s="15">
        <v>0.9</v>
      </c>
      <c r="E10" s="15">
        <f t="shared" si="0"/>
        <v>3</v>
      </c>
      <c r="F10" s="15">
        <v>1.24</v>
      </c>
      <c r="G10" s="15">
        <f t="shared" si="1"/>
        <v>3.7199999999999998</v>
      </c>
      <c r="H10" s="15">
        <v>1.1214999999999999</v>
      </c>
      <c r="I10" s="15">
        <f t="shared" si="2"/>
        <v>4.1719799999999996</v>
      </c>
      <c r="J10" s="15">
        <v>0.25</v>
      </c>
      <c r="K10" s="15">
        <f t="shared" si="3"/>
        <v>4.4219799999999996</v>
      </c>
      <c r="L10" s="15">
        <v>5.15</v>
      </c>
      <c r="M10" s="15">
        <f t="shared" si="4"/>
        <v>0.72802000000000078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spans="1:29" x14ac:dyDescent="0.2">
      <c r="A11" s="6" t="s">
        <v>767</v>
      </c>
      <c r="B11" s="14">
        <v>8809598455375</v>
      </c>
      <c r="C11" s="15">
        <v>5.46</v>
      </c>
      <c r="D11" s="15">
        <v>0.9</v>
      </c>
      <c r="E11" s="15">
        <f t="shared" si="0"/>
        <v>6.36</v>
      </c>
      <c r="F11" s="15">
        <v>1.24</v>
      </c>
      <c r="G11" s="15">
        <f t="shared" si="1"/>
        <v>7.8864000000000001</v>
      </c>
      <c r="H11" s="15">
        <v>1.1214999999999999</v>
      </c>
      <c r="I11" s="15">
        <f t="shared" si="2"/>
        <v>8.8445976000000002</v>
      </c>
      <c r="J11" s="15">
        <v>0.74</v>
      </c>
      <c r="K11" s="15">
        <f t="shared" si="3"/>
        <v>9.5845976000000004</v>
      </c>
      <c r="L11" s="15">
        <v>10.11</v>
      </c>
      <c r="M11" s="15">
        <f t="shared" si="4"/>
        <v>0.52540239999999905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29" x14ac:dyDescent="0.2">
      <c r="A12" s="13" t="s">
        <v>768</v>
      </c>
      <c r="B12" s="14">
        <v>8809416470368</v>
      </c>
      <c r="C12" s="15">
        <v>8.2799999999999994</v>
      </c>
      <c r="D12" s="15">
        <v>0.5</v>
      </c>
      <c r="E12" s="15">
        <f t="shared" si="0"/>
        <v>8.7799999999999994</v>
      </c>
      <c r="F12" s="15">
        <v>1.24</v>
      </c>
      <c r="G12" s="15">
        <f t="shared" si="1"/>
        <v>10.8872</v>
      </c>
      <c r="H12" s="15">
        <v>1.1214999999999999</v>
      </c>
      <c r="I12" s="15">
        <f t="shared" si="2"/>
        <v>12.209994799999999</v>
      </c>
      <c r="J12" s="15">
        <v>0.74</v>
      </c>
      <c r="K12" s="15">
        <f t="shared" si="3"/>
        <v>12.949994799999999</v>
      </c>
      <c r="L12" s="13"/>
      <c r="M12" s="15">
        <f t="shared" si="4"/>
        <v>-12.949994799999999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29" x14ac:dyDescent="0.2">
      <c r="A13" s="13" t="s">
        <v>769</v>
      </c>
      <c r="B13" s="14">
        <v>8809416470009</v>
      </c>
      <c r="C13" s="15">
        <v>7.96</v>
      </c>
      <c r="D13" s="15">
        <v>0.9</v>
      </c>
      <c r="E13" s="15">
        <f t="shared" si="0"/>
        <v>8.86</v>
      </c>
      <c r="F13" s="15">
        <v>1.24</v>
      </c>
      <c r="G13" s="15">
        <f t="shared" si="1"/>
        <v>10.9864</v>
      </c>
      <c r="H13" s="15">
        <v>1.1214999999999999</v>
      </c>
      <c r="I13" s="15">
        <f t="shared" si="2"/>
        <v>12.3212476</v>
      </c>
      <c r="J13" s="15">
        <v>1.49</v>
      </c>
      <c r="K13" s="15">
        <f t="shared" si="3"/>
        <v>13.8112476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spans="1:29" x14ac:dyDescent="0.2">
      <c r="A14" s="13" t="s">
        <v>770</v>
      </c>
      <c r="B14" s="14">
        <v>8809598450981</v>
      </c>
      <c r="C14" s="15">
        <v>4.51</v>
      </c>
      <c r="D14" s="15">
        <v>0.9</v>
      </c>
      <c r="E14" s="15">
        <f t="shared" si="0"/>
        <v>5.41</v>
      </c>
      <c r="F14" s="15">
        <v>1.24</v>
      </c>
      <c r="G14" s="15">
        <f t="shared" si="1"/>
        <v>6.7084000000000001</v>
      </c>
      <c r="H14" s="15">
        <v>1.1214999999999999</v>
      </c>
      <c r="I14" s="15">
        <f t="shared" si="2"/>
        <v>7.5234705999999996</v>
      </c>
      <c r="J14" s="15">
        <v>0.74</v>
      </c>
      <c r="K14" s="15">
        <f t="shared" si="3"/>
        <v>8.2634705999999998</v>
      </c>
      <c r="L14" s="15">
        <v>9.1999999999999993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spans="1:29" x14ac:dyDescent="0.2">
      <c r="A15" s="13" t="s">
        <v>771</v>
      </c>
      <c r="B15" s="14">
        <v>8809598454972</v>
      </c>
      <c r="C15" s="15">
        <v>12.5</v>
      </c>
      <c r="D15" s="15">
        <v>0.9</v>
      </c>
      <c r="E15" s="15">
        <f t="shared" si="0"/>
        <v>13.4</v>
      </c>
      <c r="F15" s="15">
        <v>1.24</v>
      </c>
      <c r="G15" s="15">
        <f t="shared" si="1"/>
        <v>16.616</v>
      </c>
      <c r="H15" s="15">
        <v>1.1214999999999999</v>
      </c>
      <c r="I15" s="15">
        <f t="shared" si="2"/>
        <v>18.634843999999998</v>
      </c>
      <c r="J15" s="15">
        <v>0.74</v>
      </c>
      <c r="K15" s="15">
        <f t="shared" si="3"/>
        <v>19.374843999999996</v>
      </c>
      <c r="L15" s="15">
        <v>22.89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spans="1:29" x14ac:dyDescent="0.2">
      <c r="A16" s="13" t="s">
        <v>772</v>
      </c>
      <c r="B16" s="14">
        <v>8809598454965</v>
      </c>
      <c r="C16" s="15">
        <v>13.74</v>
      </c>
      <c r="D16" s="15">
        <v>0.9</v>
      </c>
      <c r="E16" s="15">
        <f t="shared" si="0"/>
        <v>14.64</v>
      </c>
      <c r="F16" s="15">
        <v>1.24</v>
      </c>
      <c r="G16" s="15">
        <f t="shared" si="1"/>
        <v>18.153600000000001</v>
      </c>
      <c r="H16" s="15">
        <v>1.1214999999999999</v>
      </c>
      <c r="I16" s="15">
        <f t="shared" si="2"/>
        <v>20.359262399999999</v>
      </c>
      <c r="J16" s="15">
        <v>0.74</v>
      </c>
      <c r="K16" s="15">
        <f t="shared" si="3"/>
        <v>21.099262399999997</v>
      </c>
      <c r="L16" s="15">
        <v>17.52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spans="1:29" x14ac:dyDescent="0.2">
      <c r="A17" s="13" t="s">
        <v>773</v>
      </c>
      <c r="B17" s="14">
        <v>8809598455658</v>
      </c>
      <c r="C17" s="15">
        <v>8.36</v>
      </c>
      <c r="D17" s="15">
        <v>0.9</v>
      </c>
      <c r="E17" s="15">
        <f t="shared" si="0"/>
        <v>9.26</v>
      </c>
      <c r="F17" s="15">
        <v>1.24</v>
      </c>
      <c r="G17" s="15">
        <f t="shared" si="1"/>
        <v>11.4824</v>
      </c>
      <c r="H17" s="15">
        <v>1.1214999999999999</v>
      </c>
      <c r="I17" s="15">
        <f t="shared" si="2"/>
        <v>12.8775116</v>
      </c>
      <c r="J17" s="15">
        <v>0.74</v>
      </c>
      <c r="K17" s="15">
        <f t="shared" si="3"/>
        <v>13.6175116</v>
      </c>
      <c r="L17" s="15">
        <v>18.649999999999999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spans="1:29" x14ac:dyDescent="0.2">
      <c r="A18" s="13" t="s">
        <v>774</v>
      </c>
      <c r="B18" s="14">
        <v>8809598454309</v>
      </c>
      <c r="C18" s="15">
        <v>6.34</v>
      </c>
      <c r="D18" s="15">
        <v>0.9</v>
      </c>
      <c r="E18" s="15">
        <f t="shared" si="0"/>
        <v>7.24</v>
      </c>
      <c r="F18" s="15">
        <v>1.24</v>
      </c>
      <c r="G18" s="15">
        <f t="shared" si="1"/>
        <v>8.9776000000000007</v>
      </c>
      <c r="H18" s="15">
        <v>1.1214999999999999</v>
      </c>
      <c r="I18" s="15">
        <f t="shared" si="2"/>
        <v>10.0683784</v>
      </c>
      <c r="J18" s="15">
        <v>0.74</v>
      </c>
      <c r="K18" s="15">
        <f t="shared" si="3"/>
        <v>10.8083784</v>
      </c>
      <c r="L18" s="15">
        <v>15.26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spans="1:29" x14ac:dyDescent="0.2">
      <c r="A19" s="13" t="s">
        <v>775</v>
      </c>
      <c r="B19" s="14">
        <v>8809416470191</v>
      </c>
      <c r="C19" s="15">
        <v>6.8</v>
      </c>
      <c r="D19" s="15">
        <v>0.9</v>
      </c>
      <c r="E19" s="15">
        <f t="shared" si="0"/>
        <v>7.7</v>
      </c>
      <c r="F19" s="15">
        <v>1.24</v>
      </c>
      <c r="G19" s="15">
        <f t="shared" si="1"/>
        <v>9.548</v>
      </c>
      <c r="H19" s="15">
        <v>1.1214999999999999</v>
      </c>
      <c r="I19" s="15">
        <f t="shared" si="2"/>
        <v>10.708081999999999</v>
      </c>
      <c r="J19" s="15">
        <v>0.74</v>
      </c>
      <c r="K19" s="15">
        <f t="shared" si="3"/>
        <v>11.448081999999999</v>
      </c>
      <c r="L19" s="15">
        <v>14.4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spans="1:29" x14ac:dyDescent="0.2">
      <c r="A20" s="6" t="s">
        <v>776</v>
      </c>
      <c r="B20" s="14" t="s">
        <v>777</v>
      </c>
      <c r="C20" s="15">
        <v>12.98</v>
      </c>
      <c r="D20" s="15">
        <v>0.9</v>
      </c>
      <c r="E20" s="15">
        <f t="shared" si="0"/>
        <v>13.88</v>
      </c>
      <c r="F20" s="15">
        <v>1.24</v>
      </c>
      <c r="G20" s="15">
        <f t="shared" si="1"/>
        <v>17.211200000000002</v>
      </c>
      <c r="H20" s="15">
        <v>1.1214999999999999</v>
      </c>
      <c r="I20" s="15">
        <f t="shared" si="2"/>
        <v>19.302360800000002</v>
      </c>
      <c r="J20" s="15">
        <v>0.73999999999999899</v>
      </c>
      <c r="K20" s="15">
        <f t="shared" si="3"/>
        <v>20.042360800000001</v>
      </c>
      <c r="L20" s="15">
        <v>24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spans="1:29" x14ac:dyDescent="0.2">
      <c r="A21" s="6" t="s">
        <v>778</v>
      </c>
      <c r="B21" s="14" t="s">
        <v>779</v>
      </c>
      <c r="C21" s="15">
        <v>11.85</v>
      </c>
      <c r="D21" s="15">
        <v>0.9</v>
      </c>
      <c r="E21" s="15">
        <f t="shared" si="0"/>
        <v>12.75</v>
      </c>
      <c r="F21" s="15">
        <v>1.24</v>
      </c>
      <c r="G21" s="15">
        <f t="shared" si="1"/>
        <v>15.81</v>
      </c>
      <c r="H21" s="15">
        <v>1.1214999999999999</v>
      </c>
      <c r="I21" s="15">
        <f t="shared" si="2"/>
        <v>17.730915</v>
      </c>
      <c r="J21" s="15">
        <v>0.73999999999999899</v>
      </c>
      <c r="K21" s="15">
        <f t="shared" si="3"/>
        <v>18.470914999999998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 x14ac:dyDescent="0.2">
      <c r="A22" s="6" t="s">
        <v>780</v>
      </c>
      <c r="B22" s="14" t="s">
        <v>781</v>
      </c>
      <c r="C22" s="15">
        <v>11.13</v>
      </c>
      <c r="D22" s="15">
        <v>0.9</v>
      </c>
      <c r="E22" s="15">
        <f t="shared" si="0"/>
        <v>12.030000000000001</v>
      </c>
      <c r="F22" s="15">
        <v>1.24</v>
      </c>
      <c r="G22" s="15">
        <f t="shared" si="1"/>
        <v>14.917200000000001</v>
      </c>
      <c r="H22" s="15">
        <v>1.1214999999999999</v>
      </c>
      <c r="I22" s="15">
        <f t="shared" si="2"/>
        <v>16.729639800000001</v>
      </c>
      <c r="J22" s="15">
        <v>0.73999999999999899</v>
      </c>
      <c r="K22" s="15">
        <f t="shared" si="3"/>
        <v>17.469639799999999</v>
      </c>
      <c r="L22" s="15">
        <v>23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1:29" x14ac:dyDescent="0.2">
      <c r="A23" s="6" t="s">
        <v>782</v>
      </c>
      <c r="B23" s="14" t="s">
        <v>783</v>
      </c>
      <c r="C23" s="15">
        <v>12.4</v>
      </c>
      <c r="D23" s="15">
        <v>0.9</v>
      </c>
      <c r="E23" s="15">
        <f t="shared" si="0"/>
        <v>13.3</v>
      </c>
      <c r="F23" s="15">
        <v>1.24</v>
      </c>
      <c r="G23" s="15">
        <f t="shared" si="1"/>
        <v>16.492000000000001</v>
      </c>
      <c r="H23" s="15">
        <v>1.1214999999999999</v>
      </c>
      <c r="I23" s="15">
        <f t="shared" si="2"/>
        <v>18.495778000000001</v>
      </c>
      <c r="J23" s="15">
        <v>0.73999999999999899</v>
      </c>
      <c r="K23" s="15">
        <f t="shared" si="3"/>
        <v>19.235778</v>
      </c>
      <c r="L23" s="15">
        <v>17.8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:29" x14ac:dyDescent="0.2">
      <c r="A24" s="6" t="s">
        <v>784</v>
      </c>
      <c r="B24" s="14" t="s">
        <v>785</v>
      </c>
      <c r="C24" s="15">
        <v>10.28</v>
      </c>
      <c r="D24" s="15">
        <v>0.9</v>
      </c>
      <c r="E24" s="15">
        <f t="shared" si="0"/>
        <v>11.18</v>
      </c>
      <c r="F24" s="15">
        <v>1.24</v>
      </c>
      <c r="G24" s="15">
        <f t="shared" si="1"/>
        <v>13.863199999999999</v>
      </c>
      <c r="H24" s="15">
        <v>1.1214999999999999</v>
      </c>
      <c r="I24" s="15">
        <f t="shared" si="2"/>
        <v>15.547578799999998</v>
      </c>
      <c r="J24" s="15">
        <v>0.73999999999999899</v>
      </c>
      <c r="K24" s="15">
        <f t="shared" si="3"/>
        <v>16.287578799999999</v>
      </c>
      <c r="L24" s="15">
        <v>16.3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spans="1:29" x14ac:dyDescent="0.2">
      <c r="A25" s="13" t="s">
        <v>786</v>
      </c>
      <c r="B25" s="14">
        <v>8809598452442</v>
      </c>
      <c r="C25" s="15">
        <v>2.91</v>
      </c>
      <c r="D25" s="15">
        <v>0.9</v>
      </c>
      <c r="E25" s="15">
        <f t="shared" si="0"/>
        <v>3.81</v>
      </c>
      <c r="F25" s="15">
        <v>1.24</v>
      </c>
      <c r="G25" s="15">
        <f t="shared" si="1"/>
        <v>4.7244000000000002</v>
      </c>
      <c r="H25" s="15">
        <v>1.1214999999999999</v>
      </c>
      <c r="I25" s="15">
        <f t="shared" si="2"/>
        <v>5.2984146000000001</v>
      </c>
      <c r="J25" s="15">
        <v>0.25</v>
      </c>
      <c r="K25" s="15">
        <f t="shared" si="3"/>
        <v>5.5484146000000001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spans="1:29" x14ac:dyDescent="0.2">
      <c r="A26" s="13" t="s">
        <v>787</v>
      </c>
      <c r="B26" s="14">
        <v>8809416471310</v>
      </c>
      <c r="C26" s="15">
        <v>10.07</v>
      </c>
      <c r="D26" s="15">
        <v>0.9</v>
      </c>
      <c r="E26" s="15">
        <f t="shared" si="0"/>
        <v>10.97</v>
      </c>
      <c r="F26" s="15">
        <v>1.24</v>
      </c>
      <c r="G26" s="15">
        <f t="shared" si="1"/>
        <v>13.6028</v>
      </c>
      <c r="H26" s="15">
        <v>1.1214999999999999</v>
      </c>
      <c r="I26" s="15">
        <f t="shared" si="2"/>
        <v>15.255540199999999</v>
      </c>
      <c r="J26" s="15">
        <v>0.73999999999999899</v>
      </c>
      <c r="K26" s="15">
        <f t="shared" si="3"/>
        <v>15.995540199999997</v>
      </c>
      <c r="L26" s="15">
        <v>18.440000000000001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 spans="1:29" x14ac:dyDescent="0.2">
      <c r="A27" s="6" t="s">
        <v>788</v>
      </c>
      <c r="B27" s="14" t="s">
        <v>789</v>
      </c>
      <c r="C27" s="15">
        <v>7.22</v>
      </c>
      <c r="D27" s="15">
        <v>0.9</v>
      </c>
      <c r="E27" s="15">
        <f t="shared" si="0"/>
        <v>8.1199999999999992</v>
      </c>
      <c r="F27" s="15">
        <v>1.24</v>
      </c>
      <c r="G27" s="15">
        <f t="shared" si="1"/>
        <v>10.0688</v>
      </c>
      <c r="H27" s="15">
        <v>1.1214999999999999</v>
      </c>
      <c r="I27" s="15">
        <f t="shared" si="2"/>
        <v>11.292159199999999</v>
      </c>
      <c r="J27" s="15">
        <v>0.73999999999999899</v>
      </c>
      <c r="K27" s="15">
        <f t="shared" si="3"/>
        <v>12.032159199999997</v>
      </c>
      <c r="L27" s="15">
        <v>11.06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spans="1:29" x14ac:dyDescent="0.2">
      <c r="A28" s="6" t="s">
        <v>790</v>
      </c>
      <c r="B28" s="14" t="s">
        <v>791</v>
      </c>
      <c r="C28" s="15">
        <v>12.33</v>
      </c>
      <c r="D28" s="15">
        <v>0.9</v>
      </c>
      <c r="E28" s="15">
        <f t="shared" si="0"/>
        <v>13.23</v>
      </c>
      <c r="F28" s="15">
        <v>1.24</v>
      </c>
      <c r="G28" s="15">
        <f t="shared" si="1"/>
        <v>16.405200000000001</v>
      </c>
      <c r="H28" s="15">
        <v>1.1214999999999999</v>
      </c>
      <c r="I28" s="15">
        <f t="shared" si="2"/>
        <v>18.398431800000001</v>
      </c>
      <c r="J28" s="15">
        <v>1.49</v>
      </c>
      <c r="K28" s="15">
        <f t="shared" si="3"/>
        <v>19.888431799999999</v>
      </c>
      <c r="L28" s="15">
        <v>19.989999999999998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spans="1:29" x14ac:dyDescent="0.2">
      <c r="A29" s="6" t="s">
        <v>792</v>
      </c>
      <c r="B29" s="14" t="s">
        <v>793</v>
      </c>
      <c r="C29" s="15">
        <v>12.03</v>
      </c>
      <c r="D29" s="15">
        <v>0.9</v>
      </c>
      <c r="E29" s="15">
        <f t="shared" si="0"/>
        <v>12.93</v>
      </c>
      <c r="F29" s="15">
        <v>1.24</v>
      </c>
      <c r="G29" s="15">
        <f t="shared" si="1"/>
        <v>16.033200000000001</v>
      </c>
      <c r="H29" s="15">
        <v>1.1214999999999999</v>
      </c>
      <c r="I29" s="15">
        <f t="shared" si="2"/>
        <v>17.981233799999998</v>
      </c>
      <c r="J29" s="15">
        <v>1.49</v>
      </c>
      <c r="K29" s="15">
        <f t="shared" si="3"/>
        <v>19.471233799999997</v>
      </c>
      <c r="L29" s="15">
        <v>24.7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spans="1:29" x14ac:dyDescent="0.2">
      <c r="A30" s="6" t="s">
        <v>794</v>
      </c>
      <c r="B30" s="14" t="s">
        <v>795</v>
      </c>
      <c r="C30" s="15">
        <v>6.16</v>
      </c>
      <c r="D30" s="15">
        <v>0.9</v>
      </c>
      <c r="E30" s="15">
        <f t="shared" si="0"/>
        <v>7.0600000000000005</v>
      </c>
      <c r="F30" s="15">
        <v>1.24</v>
      </c>
      <c r="G30" s="15">
        <f t="shared" si="1"/>
        <v>8.7544000000000004</v>
      </c>
      <c r="H30" s="15">
        <v>1.1214999999999999</v>
      </c>
      <c r="I30" s="15">
        <f t="shared" si="2"/>
        <v>9.8180595999999998</v>
      </c>
      <c r="J30" s="15">
        <v>0.73999999999999899</v>
      </c>
      <c r="K30" s="15">
        <f t="shared" si="3"/>
        <v>10.558059599999998</v>
      </c>
      <c r="L30" s="15">
        <v>11.6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spans="1:29" x14ac:dyDescent="0.2">
      <c r="A31" s="13" t="s">
        <v>796</v>
      </c>
      <c r="B31" s="14">
        <v>8809598455412</v>
      </c>
      <c r="C31" s="15">
        <v>10.29</v>
      </c>
      <c r="D31" s="15">
        <v>0.9</v>
      </c>
      <c r="E31" s="15">
        <f t="shared" si="0"/>
        <v>11.19</v>
      </c>
      <c r="F31" s="15">
        <v>1.24</v>
      </c>
      <c r="G31" s="15">
        <f t="shared" si="1"/>
        <v>13.875599999999999</v>
      </c>
      <c r="H31" s="15">
        <v>1.1214999999999999</v>
      </c>
      <c r="I31" s="15">
        <f t="shared" si="2"/>
        <v>15.561485399999997</v>
      </c>
      <c r="J31" s="15">
        <v>0.73999999999999899</v>
      </c>
      <c r="K31" s="15">
        <f t="shared" si="3"/>
        <v>16.301485399999997</v>
      </c>
      <c r="L31" s="15">
        <v>21.24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 spans="1:29" x14ac:dyDescent="0.2">
      <c r="A32" s="13" t="s">
        <v>797</v>
      </c>
      <c r="B32" s="14">
        <v>8809598451445</v>
      </c>
      <c r="C32" s="15">
        <v>9.9</v>
      </c>
      <c r="D32" s="15">
        <v>0.9</v>
      </c>
      <c r="E32" s="15">
        <f t="shared" si="0"/>
        <v>10.8</v>
      </c>
      <c r="F32" s="15">
        <v>1.24</v>
      </c>
      <c r="G32" s="15">
        <f t="shared" si="1"/>
        <v>13.392000000000001</v>
      </c>
      <c r="H32" s="15">
        <v>1.1214999999999999</v>
      </c>
      <c r="I32" s="15">
        <f t="shared" si="2"/>
        <v>15.019128</v>
      </c>
      <c r="J32" s="15">
        <v>0.73999999999999899</v>
      </c>
      <c r="K32" s="15">
        <f t="shared" si="3"/>
        <v>15.759127999999999</v>
      </c>
      <c r="L32" s="15">
        <v>16.77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spans="1:29" x14ac:dyDescent="0.2">
      <c r="A33" s="13" t="s">
        <v>798</v>
      </c>
      <c r="B33" s="14">
        <v>8809598455733</v>
      </c>
      <c r="C33" s="15">
        <v>1.44</v>
      </c>
      <c r="D33" s="15">
        <v>0.9</v>
      </c>
      <c r="E33" s="15">
        <f t="shared" si="0"/>
        <v>2.34</v>
      </c>
      <c r="F33" s="15">
        <v>1.24</v>
      </c>
      <c r="G33" s="15">
        <f t="shared" si="1"/>
        <v>2.9015999999999997</v>
      </c>
      <c r="H33" s="15">
        <v>1.1214999999999999</v>
      </c>
      <c r="I33" s="15">
        <f t="shared" si="2"/>
        <v>3.2541443999999995</v>
      </c>
      <c r="J33" s="15">
        <v>0.25</v>
      </c>
      <c r="K33" s="15">
        <f t="shared" si="3"/>
        <v>3.5041443999999995</v>
      </c>
      <c r="L33" s="15">
        <v>3.55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 spans="1:29" x14ac:dyDescent="0.2">
      <c r="A34" s="13" t="s">
        <v>799</v>
      </c>
      <c r="B34" s="14">
        <v>8809598455801</v>
      </c>
      <c r="C34" s="15">
        <v>7.39</v>
      </c>
      <c r="D34" s="15">
        <v>0.9</v>
      </c>
      <c r="E34" s="15">
        <f t="shared" si="0"/>
        <v>8.2899999999999991</v>
      </c>
      <c r="F34" s="15">
        <v>1.24</v>
      </c>
      <c r="G34" s="15">
        <f t="shared" si="1"/>
        <v>10.279599999999999</v>
      </c>
      <c r="H34" s="15">
        <v>1.1214999999999999</v>
      </c>
      <c r="I34" s="15">
        <f t="shared" si="2"/>
        <v>11.528571399999997</v>
      </c>
      <c r="J34" s="15">
        <v>0.73999999999999899</v>
      </c>
      <c r="K34" s="15">
        <f t="shared" si="3"/>
        <v>12.268571399999995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 spans="1:29" x14ac:dyDescent="0.2">
      <c r="A35" s="13" t="s">
        <v>800</v>
      </c>
      <c r="B35" s="14">
        <v>8809416470047</v>
      </c>
      <c r="C35" s="15">
        <v>6.41</v>
      </c>
      <c r="D35" s="15">
        <v>0.9</v>
      </c>
      <c r="E35" s="15">
        <f t="shared" si="0"/>
        <v>7.3100000000000005</v>
      </c>
      <c r="F35" s="15">
        <v>1.24</v>
      </c>
      <c r="G35" s="15">
        <f t="shared" si="1"/>
        <v>9.0644000000000009</v>
      </c>
      <c r="H35" s="15">
        <v>1.1214999999999999</v>
      </c>
      <c r="I35" s="15">
        <f t="shared" si="2"/>
        <v>10.165724600000001</v>
      </c>
      <c r="J35" s="15">
        <v>0.73999999999999899</v>
      </c>
      <c r="K35" s="15">
        <f t="shared" si="3"/>
        <v>10.905724599999999</v>
      </c>
      <c r="L35" s="15">
        <v>15.64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 spans="1:29" x14ac:dyDescent="0.2">
      <c r="A36" s="13" t="s">
        <v>801</v>
      </c>
      <c r="B36" s="14">
        <v>8809598453258</v>
      </c>
      <c r="C36" s="15">
        <v>3.26</v>
      </c>
      <c r="D36" s="15">
        <v>0.9</v>
      </c>
      <c r="E36" s="15">
        <f t="shared" si="0"/>
        <v>4.16</v>
      </c>
      <c r="F36" s="15">
        <v>1.24</v>
      </c>
      <c r="G36" s="15">
        <f t="shared" si="1"/>
        <v>5.1584000000000003</v>
      </c>
      <c r="H36" s="15">
        <v>1.1214999999999999</v>
      </c>
      <c r="I36" s="15">
        <f t="shared" si="2"/>
        <v>5.7851455999999999</v>
      </c>
      <c r="J36" s="15">
        <v>0.25</v>
      </c>
      <c r="K36" s="15">
        <f t="shared" si="3"/>
        <v>6.0351455999999999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 spans="1:29" x14ac:dyDescent="0.2">
      <c r="A37" s="13" t="s">
        <v>802</v>
      </c>
      <c r="B37" s="14">
        <v>8809598453869</v>
      </c>
      <c r="C37" s="15">
        <v>12.73</v>
      </c>
      <c r="D37" s="15">
        <v>0.9</v>
      </c>
      <c r="E37" s="15">
        <f t="shared" si="0"/>
        <v>13.63</v>
      </c>
      <c r="F37" s="15">
        <v>1.24</v>
      </c>
      <c r="G37" s="15">
        <f t="shared" si="1"/>
        <v>16.901199999999999</v>
      </c>
      <c r="H37" s="15">
        <v>1.1214999999999999</v>
      </c>
      <c r="I37" s="15">
        <f t="shared" si="2"/>
        <v>18.9546958</v>
      </c>
      <c r="J37" s="15">
        <v>0.73999999999999899</v>
      </c>
      <c r="K37" s="15">
        <f t="shared" si="3"/>
        <v>19.694695799999998</v>
      </c>
      <c r="L37" s="15">
        <v>23.99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 spans="1:29" x14ac:dyDescent="0.2">
      <c r="A38" s="13" t="s">
        <v>803</v>
      </c>
      <c r="B38" s="14">
        <v>8809598454095</v>
      </c>
      <c r="C38" s="15">
        <v>14.69</v>
      </c>
      <c r="D38" s="15">
        <v>0.9</v>
      </c>
      <c r="E38" s="15">
        <f t="shared" si="0"/>
        <v>15.59</v>
      </c>
      <c r="F38" s="15">
        <v>1.24</v>
      </c>
      <c r="G38" s="15">
        <f t="shared" si="1"/>
        <v>19.331599999999998</v>
      </c>
      <c r="H38" s="15">
        <v>1.1214999999999999</v>
      </c>
      <c r="I38" s="15">
        <f t="shared" si="2"/>
        <v>21.680389399999996</v>
      </c>
      <c r="J38" s="15">
        <v>1.49</v>
      </c>
      <c r="K38" s="15">
        <f t="shared" si="3"/>
        <v>23.170389399999994</v>
      </c>
      <c r="L38" s="15">
        <v>28.8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 spans="1:29" x14ac:dyDescent="0.2">
      <c r="A39" s="13" t="s">
        <v>804</v>
      </c>
      <c r="B39" s="14">
        <v>8809598454729</v>
      </c>
      <c r="C39" s="15">
        <v>11.33</v>
      </c>
      <c r="D39" s="15">
        <v>0.9</v>
      </c>
      <c r="E39" s="15">
        <f t="shared" si="0"/>
        <v>12.23</v>
      </c>
      <c r="F39" s="15">
        <v>1.24</v>
      </c>
      <c r="G39" s="15">
        <f t="shared" si="1"/>
        <v>15.1652</v>
      </c>
      <c r="H39" s="15">
        <v>1.1214999999999999</v>
      </c>
      <c r="I39" s="15">
        <f t="shared" si="2"/>
        <v>17.0077718</v>
      </c>
      <c r="J39" s="15">
        <v>0.73999999999999899</v>
      </c>
      <c r="K39" s="15">
        <f t="shared" si="3"/>
        <v>17.747771799999999</v>
      </c>
      <c r="L39" s="15">
        <v>19.899999999999999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 spans="1:29" x14ac:dyDescent="0.2">
      <c r="A40" s="13" t="s">
        <v>805</v>
      </c>
      <c r="B40" s="14">
        <v>8809598452305</v>
      </c>
      <c r="C40" s="15">
        <v>15.69</v>
      </c>
      <c r="D40" s="15">
        <v>0.9</v>
      </c>
      <c r="E40" s="15">
        <f t="shared" si="0"/>
        <v>16.59</v>
      </c>
      <c r="F40" s="15">
        <v>1.24</v>
      </c>
      <c r="G40" s="15">
        <f t="shared" si="1"/>
        <v>20.5716</v>
      </c>
      <c r="H40" s="15">
        <v>1.1214999999999999</v>
      </c>
      <c r="I40" s="15">
        <f t="shared" si="2"/>
        <v>23.0710494</v>
      </c>
      <c r="J40" s="15">
        <v>0.73999999999999899</v>
      </c>
      <c r="K40" s="15">
        <f t="shared" si="3"/>
        <v>23.811049399999998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 spans="1:29" x14ac:dyDescent="0.2">
      <c r="A41" s="13" t="s">
        <v>806</v>
      </c>
      <c r="B41" s="14">
        <v>8809598455627</v>
      </c>
      <c r="C41" s="15">
        <v>1.82</v>
      </c>
      <c r="D41" s="15">
        <v>0.9</v>
      </c>
      <c r="E41" s="15">
        <f t="shared" si="0"/>
        <v>2.72</v>
      </c>
      <c r="F41" s="15">
        <v>1.24</v>
      </c>
      <c r="G41" s="15">
        <f t="shared" si="1"/>
        <v>3.3728000000000002</v>
      </c>
      <c r="H41" s="15">
        <v>1.1214999999999999</v>
      </c>
      <c r="I41" s="15">
        <f t="shared" si="2"/>
        <v>3.7825952000000003</v>
      </c>
      <c r="J41" s="15">
        <v>0.73999999999999899</v>
      </c>
      <c r="K41" s="15">
        <f t="shared" si="3"/>
        <v>4.5225951999999996</v>
      </c>
      <c r="L41" s="15">
        <v>9.11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 spans="1:29" x14ac:dyDescent="0.2">
      <c r="A42" s="13" t="s">
        <v>807</v>
      </c>
      <c r="B42" s="14">
        <v>8809598454958</v>
      </c>
      <c r="C42" s="15">
        <v>8.61</v>
      </c>
      <c r="D42" s="15">
        <v>0.9</v>
      </c>
      <c r="E42" s="15">
        <f t="shared" si="0"/>
        <v>9.51</v>
      </c>
      <c r="F42" s="15">
        <v>1.24</v>
      </c>
      <c r="G42" s="15">
        <f t="shared" si="1"/>
        <v>11.792399999999999</v>
      </c>
      <c r="H42" s="15">
        <v>1.1214999999999999</v>
      </c>
      <c r="I42" s="15">
        <f t="shared" si="2"/>
        <v>13.225176599999998</v>
      </c>
      <c r="J42" s="15">
        <v>0.73999999999999899</v>
      </c>
      <c r="K42" s="15">
        <f t="shared" si="3"/>
        <v>13.965176599999996</v>
      </c>
      <c r="L42" s="15">
        <v>15.22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 spans="1:29" x14ac:dyDescent="0.2">
      <c r="C43" s="15">
        <v>0</v>
      </c>
      <c r="D43" s="15">
        <v>0.9</v>
      </c>
      <c r="E43" s="15">
        <f t="shared" si="0"/>
        <v>0.9</v>
      </c>
      <c r="F43" s="15">
        <v>1.24</v>
      </c>
      <c r="G43" s="15">
        <f t="shared" si="1"/>
        <v>1.1160000000000001</v>
      </c>
      <c r="H43" s="15">
        <v>1.1214999999999999</v>
      </c>
      <c r="I43" s="15">
        <f t="shared" si="2"/>
        <v>1.2515940000000001</v>
      </c>
      <c r="J43" s="15">
        <v>0.73999999999999899</v>
      </c>
      <c r="K43" s="15">
        <f t="shared" si="3"/>
        <v>1.9915939999999992</v>
      </c>
    </row>
    <row r="44" spans="1:29" x14ac:dyDescent="0.2">
      <c r="C44" s="15">
        <v>0</v>
      </c>
      <c r="D44" s="15">
        <v>0.9</v>
      </c>
      <c r="E44" s="15">
        <f t="shared" si="0"/>
        <v>0.9</v>
      </c>
      <c r="F44" s="15">
        <v>1.24</v>
      </c>
      <c r="G44" s="15">
        <f t="shared" si="1"/>
        <v>1.1160000000000001</v>
      </c>
      <c r="H44" s="15">
        <v>1.1214999999999999</v>
      </c>
      <c r="I44" s="15">
        <f t="shared" si="2"/>
        <v>1.2515940000000001</v>
      </c>
      <c r="J44" s="15">
        <v>0.73999999999999899</v>
      </c>
      <c r="K44" s="15">
        <f t="shared" si="3"/>
        <v>1.9915939999999992</v>
      </c>
    </row>
    <row r="45" spans="1:29" x14ac:dyDescent="0.2">
      <c r="C45" s="15">
        <v>0</v>
      </c>
      <c r="D45" s="15">
        <v>0.9</v>
      </c>
      <c r="E45" s="15">
        <f t="shared" si="0"/>
        <v>0.9</v>
      </c>
      <c r="F45" s="15">
        <v>1.24</v>
      </c>
      <c r="G45" s="15">
        <f t="shared" si="1"/>
        <v>1.1160000000000001</v>
      </c>
      <c r="H45" s="15">
        <v>1.1214999999999999</v>
      </c>
      <c r="I45" s="15">
        <f t="shared" si="2"/>
        <v>1.2515940000000001</v>
      </c>
      <c r="J45" s="15">
        <v>0.73999999999999899</v>
      </c>
      <c r="K45" s="15">
        <f t="shared" si="3"/>
        <v>1.9915939999999992</v>
      </c>
    </row>
    <row r="46" spans="1:29" x14ac:dyDescent="0.2">
      <c r="C46" s="15">
        <v>0</v>
      </c>
      <c r="D46" s="15">
        <v>0.9</v>
      </c>
      <c r="E46" s="15">
        <f t="shared" si="0"/>
        <v>0.9</v>
      </c>
      <c r="F46" s="15">
        <v>1.24</v>
      </c>
      <c r="G46" s="15">
        <f t="shared" si="1"/>
        <v>1.1160000000000001</v>
      </c>
      <c r="H46" s="15">
        <v>1.1214999999999999</v>
      </c>
      <c r="I46" s="15">
        <f t="shared" si="2"/>
        <v>1.2515940000000001</v>
      </c>
      <c r="J46" s="15">
        <v>0.73999999999999899</v>
      </c>
      <c r="K46" s="15">
        <f t="shared" si="3"/>
        <v>1.9915939999999992</v>
      </c>
    </row>
    <row r="47" spans="1:29" x14ac:dyDescent="0.2">
      <c r="C47" s="15">
        <v>0</v>
      </c>
      <c r="D47" s="15">
        <v>0.9</v>
      </c>
      <c r="E47" s="15">
        <f t="shared" si="0"/>
        <v>0.9</v>
      </c>
      <c r="F47" s="15">
        <v>1.24</v>
      </c>
      <c r="G47" s="15">
        <f t="shared" si="1"/>
        <v>1.1160000000000001</v>
      </c>
      <c r="H47" s="15">
        <v>1.1214999999999999</v>
      </c>
      <c r="I47" s="15">
        <f t="shared" si="2"/>
        <v>1.2515940000000001</v>
      </c>
      <c r="J47" s="15">
        <v>0.73999999999999899</v>
      </c>
      <c r="K47" s="15">
        <f t="shared" si="3"/>
        <v>1.9915939999999992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2:M17"/>
  <sheetViews>
    <sheetView workbookViewId="0"/>
  </sheetViews>
  <sheetFormatPr defaultColWidth="12.5703125" defaultRowHeight="15.75" customHeight="1" x14ac:dyDescent="0.2"/>
  <cols>
    <col min="1" max="1" width="48.42578125" customWidth="1"/>
    <col min="2" max="2" width="13.5703125" customWidth="1"/>
    <col min="3" max="3" width="8.42578125" customWidth="1"/>
  </cols>
  <sheetData>
    <row r="2" spans="1:13" x14ac:dyDescent="0.2">
      <c r="A2" s="6" t="s">
        <v>808</v>
      </c>
      <c r="B2" s="6" t="s">
        <v>809</v>
      </c>
      <c r="C2" s="12">
        <v>13.8</v>
      </c>
      <c r="D2" s="12">
        <v>0.9</v>
      </c>
      <c r="E2" s="12">
        <f t="shared" ref="E2:E17" si="0">SUM(C2)+D2</f>
        <v>14.700000000000001</v>
      </c>
      <c r="F2" s="12">
        <v>1.24</v>
      </c>
      <c r="G2" s="12">
        <f t="shared" ref="G2:G17" si="1">SUM(E2)*F2</f>
        <v>18.228000000000002</v>
      </c>
      <c r="H2" s="12">
        <v>1.1214999999999999</v>
      </c>
      <c r="I2" s="12">
        <f t="shared" ref="I2:I17" si="2">SUM(G2)*H2</f>
        <v>20.442702000000001</v>
      </c>
      <c r="J2" s="12">
        <v>1.42</v>
      </c>
      <c r="K2" s="12">
        <v>1.24</v>
      </c>
      <c r="L2" s="12">
        <f t="shared" ref="L2:L17" si="3">SUM(I2)+(J2*K2)</f>
        <v>22.203502</v>
      </c>
      <c r="M2" s="12">
        <v>22.9</v>
      </c>
    </row>
    <row r="3" spans="1:13" x14ac:dyDescent="0.2">
      <c r="A3" s="6" t="s">
        <v>810</v>
      </c>
      <c r="B3" s="6" t="s">
        <v>811</v>
      </c>
      <c r="C3" s="12">
        <v>20.9</v>
      </c>
      <c r="D3" s="12">
        <v>0.9</v>
      </c>
      <c r="E3" s="12">
        <f t="shared" si="0"/>
        <v>21.799999999999997</v>
      </c>
      <c r="F3" s="12">
        <v>1.24</v>
      </c>
      <c r="G3" s="12">
        <f t="shared" si="1"/>
        <v>27.031999999999996</v>
      </c>
      <c r="H3" s="12">
        <v>1.1214999999999999</v>
      </c>
      <c r="I3" s="12">
        <f t="shared" si="2"/>
        <v>30.316387999999993</v>
      </c>
      <c r="J3" s="12">
        <v>1.42</v>
      </c>
      <c r="K3" s="12">
        <v>1.24</v>
      </c>
      <c r="L3" s="12">
        <f t="shared" si="3"/>
        <v>32.077187999999992</v>
      </c>
      <c r="M3" s="12">
        <v>34.9</v>
      </c>
    </row>
    <row r="4" spans="1:13" x14ac:dyDescent="0.2">
      <c r="A4" s="6" t="s">
        <v>812</v>
      </c>
      <c r="B4" s="6" t="s">
        <v>813</v>
      </c>
      <c r="C4" s="12">
        <v>35</v>
      </c>
      <c r="D4" s="12">
        <v>0.9</v>
      </c>
      <c r="E4" s="12">
        <f t="shared" si="0"/>
        <v>35.9</v>
      </c>
      <c r="F4" s="12">
        <v>1.1299999999999999</v>
      </c>
      <c r="G4" s="12">
        <f t="shared" si="1"/>
        <v>40.566999999999993</v>
      </c>
      <c r="H4" s="12">
        <v>1.1214999999999999</v>
      </c>
      <c r="I4" s="12">
        <f t="shared" si="2"/>
        <v>45.495890499999987</v>
      </c>
      <c r="J4" s="12">
        <v>1.42</v>
      </c>
      <c r="K4" s="12">
        <v>1.24</v>
      </c>
      <c r="L4" s="12">
        <f t="shared" si="3"/>
        <v>47.256690499999991</v>
      </c>
      <c r="M4" s="12">
        <v>50</v>
      </c>
    </row>
    <row r="5" spans="1:13" x14ac:dyDescent="0.2">
      <c r="A5" s="6" t="s">
        <v>814</v>
      </c>
      <c r="B5" s="6" t="s">
        <v>815</v>
      </c>
      <c r="C5" s="12">
        <v>35</v>
      </c>
      <c r="D5" s="12">
        <v>0.9</v>
      </c>
      <c r="E5" s="12">
        <f t="shared" si="0"/>
        <v>35.9</v>
      </c>
      <c r="F5" s="12">
        <v>1.1299999999999999</v>
      </c>
      <c r="G5" s="12">
        <f t="shared" si="1"/>
        <v>40.566999999999993</v>
      </c>
      <c r="H5" s="12">
        <v>1.1214999999999999</v>
      </c>
      <c r="I5" s="12">
        <f t="shared" si="2"/>
        <v>45.495890499999987</v>
      </c>
      <c r="J5" s="12">
        <v>1.42</v>
      </c>
      <c r="K5" s="12">
        <v>1.24</v>
      </c>
      <c r="L5" s="12">
        <f t="shared" si="3"/>
        <v>47.256690499999991</v>
      </c>
      <c r="M5" s="12">
        <v>52</v>
      </c>
    </row>
    <row r="6" spans="1:13" x14ac:dyDescent="0.2">
      <c r="A6" s="6" t="s">
        <v>816</v>
      </c>
      <c r="B6" s="6" t="s">
        <v>817</v>
      </c>
      <c r="C6" s="12">
        <v>75</v>
      </c>
      <c r="D6" s="12">
        <v>0.9</v>
      </c>
      <c r="E6" s="12">
        <f t="shared" si="0"/>
        <v>75.900000000000006</v>
      </c>
      <c r="F6" s="12">
        <v>1.1299999999999999</v>
      </c>
      <c r="G6" s="12">
        <f t="shared" si="1"/>
        <v>85.766999999999996</v>
      </c>
      <c r="H6" s="12">
        <v>1.1214999999999999</v>
      </c>
      <c r="I6" s="12">
        <f t="shared" si="2"/>
        <v>96.187690499999988</v>
      </c>
      <c r="J6" s="12">
        <v>4.3600000000000003</v>
      </c>
      <c r="K6" s="12">
        <v>1.24</v>
      </c>
      <c r="L6" s="12">
        <f t="shared" si="3"/>
        <v>101.59409049999999</v>
      </c>
      <c r="M6" s="12">
        <v>103</v>
      </c>
    </row>
    <row r="7" spans="1:13" x14ac:dyDescent="0.2">
      <c r="A7" s="6" t="s">
        <v>818</v>
      </c>
      <c r="B7" s="6" t="s">
        <v>819</v>
      </c>
      <c r="C7" s="12">
        <v>70</v>
      </c>
      <c r="D7" s="12">
        <v>0.9</v>
      </c>
      <c r="E7" s="12">
        <f t="shared" si="0"/>
        <v>70.900000000000006</v>
      </c>
      <c r="F7" s="12">
        <v>1.1299999999999999</v>
      </c>
      <c r="G7" s="12">
        <f t="shared" si="1"/>
        <v>80.117000000000004</v>
      </c>
      <c r="H7" s="12">
        <v>1.1214999999999999</v>
      </c>
      <c r="I7" s="12">
        <f t="shared" si="2"/>
        <v>89.851215499999995</v>
      </c>
      <c r="J7" s="12">
        <v>4.3600000000000003</v>
      </c>
      <c r="K7" s="12">
        <v>1.24</v>
      </c>
      <c r="L7" s="12">
        <f t="shared" si="3"/>
        <v>95.2576155</v>
      </c>
    </row>
    <row r="8" spans="1:13" x14ac:dyDescent="0.2">
      <c r="A8" s="6" t="s">
        <v>820</v>
      </c>
      <c r="B8" s="6" t="s">
        <v>821</v>
      </c>
      <c r="C8" s="12">
        <v>70</v>
      </c>
      <c r="D8" s="12">
        <v>0.9</v>
      </c>
      <c r="E8" s="12">
        <f t="shared" si="0"/>
        <v>70.900000000000006</v>
      </c>
      <c r="F8" s="12">
        <v>1.24</v>
      </c>
      <c r="G8" s="12">
        <f t="shared" si="1"/>
        <v>87.916000000000011</v>
      </c>
      <c r="H8" s="12">
        <v>1.1214999999999999</v>
      </c>
      <c r="I8" s="12">
        <f t="shared" si="2"/>
        <v>98.597794000000007</v>
      </c>
      <c r="J8" s="12">
        <v>4.3600000000000003</v>
      </c>
      <c r="K8" s="12">
        <v>1.24</v>
      </c>
      <c r="L8" s="12">
        <f t="shared" si="3"/>
        <v>104.00419400000001</v>
      </c>
    </row>
    <row r="9" spans="1:13" x14ac:dyDescent="0.2">
      <c r="A9" s="12" t="s">
        <v>822</v>
      </c>
      <c r="C9" s="12">
        <v>35</v>
      </c>
      <c r="D9" s="12">
        <v>0.9</v>
      </c>
      <c r="E9" s="12">
        <f t="shared" si="0"/>
        <v>35.9</v>
      </c>
      <c r="F9" s="12">
        <v>1.1299999999999999</v>
      </c>
      <c r="G9" s="12">
        <f t="shared" si="1"/>
        <v>40.566999999999993</v>
      </c>
      <c r="H9" s="12">
        <v>1.1214999999999999</v>
      </c>
      <c r="I9" s="12">
        <f t="shared" si="2"/>
        <v>45.495890499999987</v>
      </c>
      <c r="J9" s="12">
        <v>0.73999999999999899</v>
      </c>
      <c r="K9" s="12">
        <v>1.24</v>
      </c>
      <c r="L9" s="12">
        <f t="shared" si="3"/>
        <v>46.413490499999988</v>
      </c>
      <c r="M9" s="12">
        <v>50</v>
      </c>
    </row>
    <row r="10" spans="1:13" x14ac:dyDescent="0.2">
      <c r="A10" s="12" t="s">
        <v>823</v>
      </c>
      <c r="C10" s="12">
        <v>21</v>
      </c>
      <c r="D10" s="12">
        <v>0.9</v>
      </c>
      <c r="E10" s="12">
        <f t="shared" si="0"/>
        <v>21.9</v>
      </c>
      <c r="F10" s="12">
        <v>1.24</v>
      </c>
      <c r="G10" s="12">
        <f t="shared" si="1"/>
        <v>27.155999999999999</v>
      </c>
      <c r="H10" s="12">
        <v>1.1214999999999999</v>
      </c>
      <c r="I10" s="12">
        <f t="shared" si="2"/>
        <v>30.455453999999996</v>
      </c>
      <c r="J10" s="12">
        <v>0.73999999999999899</v>
      </c>
      <c r="K10" s="12">
        <v>1.24</v>
      </c>
      <c r="L10" s="12">
        <f t="shared" si="3"/>
        <v>31.373053999999996</v>
      </c>
      <c r="M10" s="12">
        <v>29</v>
      </c>
    </row>
    <row r="11" spans="1:13" x14ac:dyDescent="0.2">
      <c r="A11" s="12" t="s">
        <v>824</v>
      </c>
      <c r="B11" s="37">
        <v>4029679681279</v>
      </c>
      <c r="C11" s="12">
        <v>21</v>
      </c>
      <c r="D11" s="12">
        <v>0.9</v>
      </c>
      <c r="E11" s="12">
        <f t="shared" si="0"/>
        <v>21.9</v>
      </c>
      <c r="F11" s="12">
        <v>1.24</v>
      </c>
      <c r="G11" s="12">
        <f t="shared" si="1"/>
        <v>27.155999999999999</v>
      </c>
      <c r="H11" s="12">
        <v>1.1214999999999999</v>
      </c>
      <c r="I11" s="12">
        <f t="shared" si="2"/>
        <v>30.455453999999996</v>
      </c>
      <c r="J11" s="12">
        <v>0.73999999999999899</v>
      </c>
      <c r="K11" s="12">
        <v>1.24</v>
      </c>
      <c r="L11" s="12">
        <f t="shared" si="3"/>
        <v>31.373053999999996</v>
      </c>
      <c r="M11" s="12">
        <v>38</v>
      </c>
    </row>
    <row r="12" spans="1:13" x14ac:dyDescent="0.2">
      <c r="C12" s="12">
        <v>0</v>
      </c>
      <c r="D12" s="12">
        <v>0.9</v>
      </c>
      <c r="E12" s="12">
        <f t="shared" si="0"/>
        <v>0.9</v>
      </c>
      <c r="F12" s="12">
        <v>1.24</v>
      </c>
      <c r="G12" s="12">
        <f t="shared" si="1"/>
        <v>1.1160000000000001</v>
      </c>
      <c r="H12" s="12">
        <v>1.1214999999999999</v>
      </c>
      <c r="I12" s="12">
        <f t="shared" si="2"/>
        <v>1.2515940000000001</v>
      </c>
      <c r="J12" s="12">
        <v>0.73999999999999899</v>
      </c>
      <c r="K12" s="12">
        <v>1.24</v>
      </c>
      <c r="L12" s="12">
        <f t="shared" si="3"/>
        <v>2.1691939999999987</v>
      </c>
    </row>
    <row r="13" spans="1:13" x14ac:dyDescent="0.2">
      <c r="C13" s="12">
        <v>0</v>
      </c>
      <c r="D13" s="12">
        <v>0.9</v>
      </c>
      <c r="E13" s="12">
        <f t="shared" si="0"/>
        <v>0.9</v>
      </c>
      <c r="F13" s="12">
        <v>1.24</v>
      </c>
      <c r="G13" s="12">
        <f t="shared" si="1"/>
        <v>1.1160000000000001</v>
      </c>
      <c r="H13" s="12">
        <v>1.1214999999999999</v>
      </c>
      <c r="I13" s="12">
        <f t="shared" si="2"/>
        <v>1.2515940000000001</v>
      </c>
      <c r="J13" s="12">
        <v>0.73999999999999899</v>
      </c>
      <c r="K13" s="12">
        <v>1.24</v>
      </c>
      <c r="L13" s="12">
        <f t="shared" si="3"/>
        <v>2.1691939999999987</v>
      </c>
    </row>
    <row r="14" spans="1:13" x14ac:dyDescent="0.2">
      <c r="C14" s="12">
        <v>0</v>
      </c>
      <c r="D14" s="12">
        <v>0.9</v>
      </c>
      <c r="E14" s="12">
        <f t="shared" si="0"/>
        <v>0.9</v>
      </c>
      <c r="F14" s="12">
        <v>1.24</v>
      </c>
      <c r="G14" s="12">
        <f t="shared" si="1"/>
        <v>1.1160000000000001</v>
      </c>
      <c r="H14" s="12">
        <v>1.1214999999999999</v>
      </c>
      <c r="I14" s="12">
        <f t="shared" si="2"/>
        <v>1.2515940000000001</v>
      </c>
      <c r="J14" s="12">
        <v>0.73999999999999899</v>
      </c>
      <c r="K14" s="12">
        <v>1.24</v>
      </c>
      <c r="L14" s="12">
        <f t="shared" si="3"/>
        <v>2.1691939999999987</v>
      </c>
    </row>
    <row r="15" spans="1:13" x14ac:dyDescent="0.2">
      <c r="C15" s="12">
        <v>0</v>
      </c>
      <c r="D15" s="12">
        <v>0.9</v>
      </c>
      <c r="E15" s="12">
        <f t="shared" si="0"/>
        <v>0.9</v>
      </c>
      <c r="F15" s="12">
        <v>1.24</v>
      </c>
      <c r="G15" s="12">
        <f t="shared" si="1"/>
        <v>1.1160000000000001</v>
      </c>
      <c r="H15" s="12">
        <v>1.1214999999999999</v>
      </c>
      <c r="I15" s="12">
        <f t="shared" si="2"/>
        <v>1.2515940000000001</v>
      </c>
      <c r="J15" s="12">
        <v>0.73999999999999899</v>
      </c>
      <c r="K15" s="12">
        <v>1.24</v>
      </c>
      <c r="L15" s="12">
        <f t="shared" si="3"/>
        <v>2.1691939999999987</v>
      </c>
    </row>
    <row r="16" spans="1:13" x14ac:dyDescent="0.2">
      <c r="C16" s="12">
        <v>0</v>
      </c>
      <c r="D16" s="12">
        <v>0.9</v>
      </c>
      <c r="E16" s="12">
        <f t="shared" si="0"/>
        <v>0.9</v>
      </c>
      <c r="F16" s="12">
        <v>1.24</v>
      </c>
      <c r="G16" s="12">
        <f t="shared" si="1"/>
        <v>1.1160000000000001</v>
      </c>
      <c r="H16" s="12">
        <v>1.1214999999999999</v>
      </c>
      <c r="I16" s="12">
        <f t="shared" si="2"/>
        <v>1.2515940000000001</v>
      </c>
      <c r="J16" s="12">
        <v>0.73999999999999899</v>
      </c>
      <c r="K16" s="12">
        <v>1.24</v>
      </c>
      <c r="L16" s="12">
        <f t="shared" si="3"/>
        <v>2.1691939999999987</v>
      </c>
    </row>
    <row r="17" spans="3:12" x14ac:dyDescent="0.2">
      <c r="C17" s="12">
        <v>0</v>
      </c>
      <c r="D17" s="12">
        <v>0.9</v>
      </c>
      <c r="E17" s="12">
        <f t="shared" si="0"/>
        <v>0.9</v>
      </c>
      <c r="F17" s="12">
        <v>1.24</v>
      </c>
      <c r="G17" s="12">
        <f t="shared" si="1"/>
        <v>1.1160000000000001</v>
      </c>
      <c r="H17" s="12">
        <v>1.1214999999999999</v>
      </c>
      <c r="I17" s="12">
        <f t="shared" si="2"/>
        <v>1.2515940000000001</v>
      </c>
      <c r="J17" s="12">
        <v>0.73999999999999899</v>
      </c>
      <c r="K17" s="12">
        <v>1.24</v>
      </c>
      <c r="L17" s="12">
        <f t="shared" si="3"/>
        <v>2.1691939999999987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2:L14"/>
  <sheetViews>
    <sheetView workbookViewId="0"/>
  </sheetViews>
  <sheetFormatPr defaultColWidth="12.5703125" defaultRowHeight="15.75" customHeight="1" x14ac:dyDescent="0.2"/>
  <cols>
    <col min="1" max="1" width="12.28515625" customWidth="1"/>
    <col min="2" max="2" width="24.42578125" customWidth="1"/>
  </cols>
  <sheetData>
    <row r="2" spans="1:12" x14ac:dyDescent="0.2">
      <c r="A2" s="6" t="s">
        <v>825</v>
      </c>
      <c r="B2" s="6" t="s">
        <v>826</v>
      </c>
      <c r="C2" s="12">
        <v>8.2899999999999991</v>
      </c>
      <c r="D2" s="12">
        <v>0.9</v>
      </c>
      <c r="E2" s="12">
        <f t="shared" ref="E2:E14" si="0">SUM(C2)+D2</f>
        <v>9.19</v>
      </c>
      <c r="F2" s="12">
        <v>1.1299999999999999</v>
      </c>
      <c r="G2" s="12">
        <f t="shared" ref="G2:G14" si="1">SUM(E2)*F2</f>
        <v>10.384699999999999</v>
      </c>
      <c r="H2" s="12">
        <v>1.1214999999999999</v>
      </c>
      <c r="I2" s="12">
        <f t="shared" ref="I2:I14" si="2">SUM(G2)*H2</f>
        <v>11.646441049999998</v>
      </c>
      <c r="J2" s="12">
        <v>0.73999999999999899</v>
      </c>
      <c r="K2" s="12">
        <f t="shared" ref="K2:K14" si="3">SUM(I2)+J2</f>
        <v>12.386441049999997</v>
      </c>
    </row>
    <row r="3" spans="1:12" x14ac:dyDescent="0.2">
      <c r="A3" s="6" t="s">
        <v>827</v>
      </c>
      <c r="B3" s="6" t="s">
        <v>828</v>
      </c>
      <c r="C3" s="12">
        <v>8.66</v>
      </c>
      <c r="D3" s="12">
        <v>0.9</v>
      </c>
      <c r="E3" s="12">
        <f t="shared" si="0"/>
        <v>9.56</v>
      </c>
      <c r="F3" s="12">
        <v>1.1299999999999999</v>
      </c>
      <c r="G3" s="12">
        <f t="shared" si="1"/>
        <v>10.8028</v>
      </c>
      <c r="H3" s="12">
        <v>1.1214999999999999</v>
      </c>
      <c r="I3" s="12">
        <f t="shared" si="2"/>
        <v>12.115340199999999</v>
      </c>
      <c r="J3" s="12">
        <v>0.73999999999999899</v>
      </c>
      <c r="K3" s="12">
        <f t="shared" si="3"/>
        <v>12.855340199999997</v>
      </c>
    </row>
    <row r="4" spans="1:12" x14ac:dyDescent="0.2">
      <c r="A4" s="6" t="s">
        <v>829</v>
      </c>
      <c r="B4" s="6" t="s">
        <v>830</v>
      </c>
      <c r="C4" s="12">
        <v>4.0599999999999996</v>
      </c>
      <c r="D4" s="12">
        <v>0.6</v>
      </c>
      <c r="E4" s="12">
        <f t="shared" si="0"/>
        <v>4.6599999999999993</v>
      </c>
      <c r="F4" s="12">
        <v>1.1299999999999999</v>
      </c>
      <c r="G4" s="12">
        <f t="shared" si="1"/>
        <v>5.2657999999999987</v>
      </c>
      <c r="H4" s="12">
        <v>1.1214999999999999</v>
      </c>
      <c r="I4" s="12">
        <f t="shared" si="2"/>
        <v>5.9055946999999982</v>
      </c>
      <c r="J4" s="12">
        <v>0.25</v>
      </c>
      <c r="K4" s="12">
        <f t="shared" si="3"/>
        <v>6.1555946999999982</v>
      </c>
    </row>
    <row r="5" spans="1:12" x14ac:dyDescent="0.2">
      <c r="A5" s="6" t="s">
        <v>831</v>
      </c>
      <c r="B5" s="6" t="s">
        <v>832</v>
      </c>
      <c r="C5" s="12">
        <v>7.33</v>
      </c>
      <c r="D5" s="12">
        <v>0.9</v>
      </c>
      <c r="E5" s="12">
        <f t="shared" si="0"/>
        <v>8.23</v>
      </c>
      <c r="F5" s="12">
        <v>1.1299999999999999</v>
      </c>
      <c r="G5" s="12">
        <f t="shared" si="1"/>
        <v>9.2998999999999992</v>
      </c>
      <c r="H5" s="12">
        <v>1.1214999999999999</v>
      </c>
      <c r="I5" s="12">
        <f t="shared" si="2"/>
        <v>10.429837849999998</v>
      </c>
      <c r="J5" s="12">
        <v>0.73999999999999899</v>
      </c>
      <c r="K5" s="12">
        <f t="shared" si="3"/>
        <v>11.169837849999997</v>
      </c>
    </row>
    <row r="6" spans="1:12" x14ac:dyDescent="0.2">
      <c r="A6" s="6" t="s">
        <v>833</v>
      </c>
      <c r="B6" s="6" t="s">
        <v>834</v>
      </c>
      <c r="C6" s="12">
        <v>8.4499999999999993</v>
      </c>
      <c r="D6" s="12">
        <v>0.9</v>
      </c>
      <c r="E6" s="12">
        <f t="shared" si="0"/>
        <v>9.35</v>
      </c>
      <c r="F6" s="12">
        <v>1.1299999999999999</v>
      </c>
      <c r="G6" s="12">
        <f t="shared" si="1"/>
        <v>10.565499999999998</v>
      </c>
      <c r="H6" s="12">
        <v>1.1214999999999999</v>
      </c>
      <c r="I6" s="12">
        <f t="shared" si="2"/>
        <v>11.849208249999997</v>
      </c>
      <c r="J6" s="12">
        <v>0.73999999999999899</v>
      </c>
      <c r="K6" s="12">
        <f t="shared" si="3"/>
        <v>12.589208249999995</v>
      </c>
    </row>
    <row r="7" spans="1:12" x14ac:dyDescent="0.2">
      <c r="A7" s="6" t="s">
        <v>835</v>
      </c>
      <c r="B7" s="6" t="s">
        <v>836</v>
      </c>
      <c r="C7" s="12">
        <v>6.59</v>
      </c>
      <c r="D7" s="12">
        <v>0.9</v>
      </c>
      <c r="E7" s="12">
        <f t="shared" si="0"/>
        <v>7.49</v>
      </c>
      <c r="F7" s="12">
        <v>1.24</v>
      </c>
      <c r="G7" s="12">
        <f t="shared" si="1"/>
        <v>9.2875999999999994</v>
      </c>
      <c r="H7" s="12">
        <v>1.1214999999999999</v>
      </c>
      <c r="I7" s="12">
        <f t="shared" si="2"/>
        <v>10.4160434</v>
      </c>
      <c r="J7" s="12">
        <v>0.73999999999999899</v>
      </c>
      <c r="K7" s="12">
        <f t="shared" si="3"/>
        <v>11.156043399999998</v>
      </c>
    </row>
    <row r="8" spans="1:12" x14ac:dyDescent="0.2">
      <c r="A8" s="12" t="s">
        <v>837</v>
      </c>
      <c r="B8" s="12">
        <v>5213001491196</v>
      </c>
      <c r="C8" s="12">
        <v>8.6999999999999993</v>
      </c>
      <c r="D8" s="12">
        <v>0.9</v>
      </c>
      <c r="E8" s="12">
        <f t="shared" si="0"/>
        <v>9.6</v>
      </c>
      <c r="F8" s="12">
        <v>1.24</v>
      </c>
      <c r="G8" s="12">
        <f t="shared" si="1"/>
        <v>11.904</v>
      </c>
      <c r="H8" s="12">
        <v>1.1214999999999999</v>
      </c>
      <c r="I8" s="12">
        <f t="shared" si="2"/>
        <v>13.350335999999999</v>
      </c>
      <c r="J8" s="12">
        <v>0.73999999999999899</v>
      </c>
      <c r="K8" s="12">
        <f t="shared" si="3"/>
        <v>14.090335999999997</v>
      </c>
    </row>
    <row r="9" spans="1:12" x14ac:dyDescent="0.2">
      <c r="A9" s="12" t="s">
        <v>838</v>
      </c>
      <c r="B9" s="12">
        <v>5213001491615</v>
      </c>
      <c r="C9" s="12">
        <v>13.39</v>
      </c>
      <c r="D9" s="12">
        <v>0.9</v>
      </c>
      <c r="E9" s="12">
        <f t="shared" si="0"/>
        <v>14.290000000000001</v>
      </c>
      <c r="F9" s="12">
        <v>1.1299999999999999</v>
      </c>
      <c r="G9" s="12">
        <f t="shared" si="1"/>
        <v>16.1477</v>
      </c>
      <c r="H9" s="12">
        <v>1.1214999999999999</v>
      </c>
      <c r="I9" s="12">
        <f t="shared" si="2"/>
        <v>18.10964555</v>
      </c>
      <c r="J9" s="12">
        <v>0.74</v>
      </c>
      <c r="K9" s="12">
        <f t="shared" si="3"/>
        <v>18.849645549999998</v>
      </c>
    </row>
    <row r="10" spans="1:12" x14ac:dyDescent="0.2">
      <c r="A10" s="12" t="s">
        <v>839</v>
      </c>
      <c r="B10" s="12">
        <v>5213001490717</v>
      </c>
      <c r="C10" s="12">
        <v>5.6</v>
      </c>
      <c r="D10" s="12">
        <v>0.9</v>
      </c>
      <c r="E10" s="12">
        <f t="shared" si="0"/>
        <v>6.5</v>
      </c>
      <c r="F10" s="12">
        <v>1.1299999999999999</v>
      </c>
      <c r="G10" s="12">
        <f t="shared" si="1"/>
        <v>7.3449999999999989</v>
      </c>
      <c r="H10" s="12">
        <v>1.1214999999999999</v>
      </c>
      <c r="I10" s="12">
        <f t="shared" si="2"/>
        <v>8.2374174999999976</v>
      </c>
      <c r="J10" s="12">
        <v>0.73999999999999899</v>
      </c>
      <c r="K10" s="12">
        <f t="shared" si="3"/>
        <v>8.9774174999999961</v>
      </c>
    </row>
    <row r="11" spans="1:12" x14ac:dyDescent="0.2">
      <c r="A11" s="23" t="s">
        <v>840</v>
      </c>
      <c r="B11" s="23">
        <v>5213001490090</v>
      </c>
      <c r="C11" s="12">
        <v>0</v>
      </c>
      <c r="D11" s="12">
        <v>0.9</v>
      </c>
      <c r="E11" s="12">
        <f t="shared" si="0"/>
        <v>0.9</v>
      </c>
      <c r="F11" s="12">
        <v>1.24</v>
      </c>
      <c r="G11" s="12">
        <f t="shared" si="1"/>
        <v>1.1160000000000001</v>
      </c>
      <c r="H11" s="12">
        <v>1.1214999999999999</v>
      </c>
      <c r="I11" s="12">
        <f t="shared" si="2"/>
        <v>1.2515940000000001</v>
      </c>
      <c r="J11" s="12">
        <v>0.42</v>
      </c>
      <c r="K11" s="12">
        <f t="shared" si="3"/>
        <v>1.671594</v>
      </c>
      <c r="L11" s="12">
        <v>7.94</v>
      </c>
    </row>
    <row r="12" spans="1:12" x14ac:dyDescent="0.2">
      <c r="C12" s="12">
        <v>0</v>
      </c>
      <c r="D12" s="12">
        <v>0.9</v>
      </c>
      <c r="E12" s="12">
        <f t="shared" si="0"/>
        <v>0.9</v>
      </c>
      <c r="F12" s="12">
        <v>1.24</v>
      </c>
      <c r="G12" s="12">
        <f t="shared" si="1"/>
        <v>1.1160000000000001</v>
      </c>
      <c r="H12" s="12">
        <v>1.1214999999999999</v>
      </c>
      <c r="I12" s="12">
        <f t="shared" si="2"/>
        <v>1.2515940000000001</v>
      </c>
      <c r="J12" s="12">
        <v>0.73999999999999899</v>
      </c>
      <c r="K12" s="12">
        <f t="shared" si="3"/>
        <v>1.9915939999999992</v>
      </c>
    </row>
    <row r="13" spans="1:12" x14ac:dyDescent="0.2">
      <c r="C13" s="12">
        <v>0</v>
      </c>
      <c r="D13" s="12">
        <v>0.9</v>
      </c>
      <c r="E13" s="12">
        <f t="shared" si="0"/>
        <v>0.9</v>
      </c>
      <c r="F13" s="12">
        <v>1.24</v>
      </c>
      <c r="G13" s="12">
        <f t="shared" si="1"/>
        <v>1.1160000000000001</v>
      </c>
      <c r="H13" s="12">
        <v>1.1214999999999999</v>
      </c>
      <c r="I13" s="12">
        <f t="shared" si="2"/>
        <v>1.2515940000000001</v>
      </c>
      <c r="J13" s="12">
        <v>0.73999999999999899</v>
      </c>
      <c r="K13" s="12">
        <f t="shared" si="3"/>
        <v>1.9915939999999992</v>
      </c>
    </row>
    <row r="14" spans="1:12" x14ac:dyDescent="0.2">
      <c r="C14" s="12">
        <v>0</v>
      </c>
      <c r="D14" s="12">
        <v>0.9</v>
      </c>
      <c r="E14" s="12">
        <f t="shared" si="0"/>
        <v>0.9</v>
      </c>
      <c r="F14" s="12">
        <v>1.24</v>
      </c>
      <c r="G14" s="12">
        <f t="shared" si="1"/>
        <v>1.1160000000000001</v>
      </c>
      <c r="H14" s="12">
        <v>1.1214999999999999</v>
      </c>
      <c r="I14" s="12">
        <f t="shared" si="2"/>
        <v>1.2515940000000001</v>
      </c>
      <c r="J14" s="12">
        <v>0.73999999999999899</v>
      </c>
      <c r="K14" s="12">
        <f t="shared" si="3"/>
        <v>1.9915939999999992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AC37"/>
  <sheetViews>
    <sheetView workbookViewId="0"/>
  </sheetViews>
  <sheetFormatPr defaultColWidth="12.5703125" defaultRowHeight="15.75" customHeight="1" x14ac:dyDescent="0.2"/>
  <cols>
    <col min="1" max="1" width="41.28515625" customWidth="1"/>
  </cols>
  <sheetData>
    <row r="1" spans="1:29" ht="17.25" customHeight="1" x14ac:dyDescent="0.2">
      <c r="A1" s="12"/>
      <c r="B1" s="25"/>
      <c r="C1" s="12" t="s">
        <v>542</v>
      </c>
      <c r="D1" s="12"/>
      <c r="E1" s="12" t="s">
        <v>497</v>
      </c>
      <c r="F1" s="12" t="s">
        <v>498</v>
      </c>
      <c r="G1" s="12" t="s">
        <v>497</v>
      </c>
      <c r="H1" s="12" t="s">
        <v>499</v>
      </c>
      <c r="I1" s="12" t="s">
        <v>497</v>
      </c>
      <c r="J1" s="12" t="s">
        <v>500</v>
      </c>
      <c r="K1" s="12" t="s">
        <v>497</v>
      </c>
    </row>
    <row r="2" spans="1:29" ht="15" customHeight="1" x14ac:dyDescent="0.2">
      <c r="A2" s="12"/>
      <c r="B2" s="25"/>
    </row>
    <row r="3" spans="1:29" ht="12.75" x14ac:dyDescent="0.2">
      <c r="A3" s="6" t="s">
        <v>841</v>
      </c>
      <c r="B3" s="6" t="s">
        <v>842</v>
      </c>
      <c r="C3" s="15">
        <v>9.0399999999999991</v>
      </c>
      <c r="D3" s="15">
        <v>0.9</v>
      </c>
      <c r="E3" s="15">
        <f t="shared" ref="E3:E37" si="0">SUM(C3)+D3</f>
        <v>9.94</v>
      </c>
      <c r="F3" s="15">
        <v>1.24</v>
      </c>
      <c r="G3" s="15">
        <f t="shared" ref="G3:G37" si="1">SUM(E3)*F3</f>
        <v>12.3256</v>
      </c>
      <c r="H3" s="15">
        <v>1.1214999999999999</v>
      </c>
      <c r="I3" s="15">
        <f t="shared" ref="I3:I37" si="2">SUM(G3)*H3</f>
        <v>13.823160399999999</v>
      </c>
      <c r="J3" s="15">
        <v>0.73999999999999899</v>
      </c>
      <c r="K3" s="15">
        <f t="shared" ref="K3:K37" si="3">SUM(I3)+J3</f>
        <v>14.563160399999997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29" ht="12.75" x14ac:dyDescent="0.2">
      <c r="A4" s="6" t="s">
        <v>843</v>
      </c>
      <c r="B4" s="6" t="s">
        <v>844</v>
      </c>
      <c r="C4" s="15">
        <v>5.68</v>
      </c>
      <c r="D4" s="15">
        <v>0.9</v>
      </c>
      <c r="E4" s="15">
        <f t="shared" si="0"/>
        <v>6.58</v>
      </c>
      <c r="F4" s="15">
        <v>1.24</v>
      </c>
      <c r="G4" s="15">
        <f t="shared" si="1"/>
        <v>8.1592000000000002</v>
      </c>
      <c r="H4" s="15">
        <v>1.1214999999999999</v>
      </c>
      <c r="I4" s="15">
        <f t="shared" si="2"/>
        <v>9.1505428000000002</v>
      </c>
      <c r="J4" s="15">
        <v>0.73999999999999899</v>
      </c>
      <c r="K4" s="15">
        <f t="shared" si="3"/>
        <v>9.8905427999999986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29" ht="12.75" x14ac:dyDescent="0.2">
      <c r="A5" s="6" t="s">
        <v>845</v>
      </c>
      <c r="B5" s="6" t="s">
        <v>846</v>
      </c>
      <c r="C5" s="15">
        <v>9.14</v>
      </c>
      <c r="D5" s="15">
        <v>0.9</v>
      </c>
      <c r="E5" s="15">
        <f t="shared" si="0"/>
        <v>10.040000000000001</v>
      </c>
      <c r="F5" s="15">
        <v>1.24</v>
      </c>
      <c r="G5" s="15">
        <f t="shared" si="1"/>
        <v>12.4496</v>
      </c>
      <c r="H5" s="15">
        <v>1.1214999999999999</v>
      </c>
      <c r="I5" s="15">
        <f t="shared" si="2"/>
        <v>13.962226399999999</v>
      </c>
      <c r="J5" s="15">
        <v>1.49</v>
      </c>
      <c r="K5" s="15">
        <f t="shared" si="3"/>
        <v>15.452226399999999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1:29" ht="12.75" x14ac:dyDescent="0.2">
      <c r="A6" s="6" t="s">
        <v>847</v>
      </c>
      <c r="B6" s="6" t="s">
        <v>848</v>
      </c>
      <c r="C6" s="15">
        <v>7.46</v>
      </c>
      <c r="D6" s="15">
        <v>0.9</v>
      </c>
      <c r="E6" s="15">
        <f t="shared" si="0"/>
        <v>8.36</v>
      </c>
      <c r="F6" s="15">
        <v>1.24</v>
      </c>
      <c r="G6" s="15">
        <f t="shared" si="1"/>
        <v>10.366399999999999</v>
      </c>
      <c r="H6" s="15">
        <v>1.1214999999999999</v>
      </c>
      <c r="I6" s="15">
        <f t="shared" si="2"/>
        <v>11.625917599999998</v>
      </c>
      <c r="J6" s="15">
        <v>0.73999999999999899</v>
      </c>
      <c r="K6" s="15">
        <f t="shared" si="3"/>
        <v>12.365917599999996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spans="1:29" ht="12.75" x14ac:dyDescent="0.2">
      <c r="A7" s="6" t="s">
        <v>849</v>
      </c>
      <c r="B7" s="6" t="s">
        <v>850</v>
      </c>
      <c r="C7" s="15">
        <v>9.6199999999999992</v>
      </c>
      <c r="D7" s="15">
        <v>0.9</v>
      </c>
      <c r="E7" s="15">
        <f t="shared" si="0"/>
        <v>10.52</v>
      </c>
      <c r="F7" s="15">
        <v>1.24</v>
      </c>
      <c r="G7" s="15">
        <f t="shared" si="1"/>
        <v>13.044799999999999</v>
      </c>
      <c r="H7" s="15">
        <v>1.1214999999999999</v>
      </c>
      <c r="I7" s="15">
        <f t="shared" si="2"/>
        <v>14.629743199999998</v>
      </c>
      <c r="J7" s="15">
        <v>0.73999999999999899</v>
      </c>
      <c r="K7" s="15">
        <f t="shared" si="3"/>
        <v>15.369743199999997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29" ht="12.75" x14ac:dyDescent="0.2">
      <c r="A8" s="13" t="s">
        <v>851</v>
      </c>
      <c r="B8" s="15">
        <v>5213004240043</v>
      </c>
      <c r="C8" s="15">
        <v>9.36</v>
      </c>
      <c r="D8" s="15">
        <v>0.9</v>
      </c>
      <c r="E8" s="15">
        <f t="shared" si="0"/>
        <v>10.26</v>
      </c>
      <c r="F8" s="15">
        <v>1.24</v>
      </c>
      <c r="G8" s="15">
        <f t="shared" si="1"/>
        <v>12.7224</v>
      </c>
      <c r="H8" s="15">
        <v>1.1214999999999999</v>
      </c>
      <c r="I8" s="15">
        <f t="shared" si="2"/>
        <v>14.268171600000001</v>
      </c>
      <c r="J8" s="15">
        <v>0.73999999999999899</v>
      </c>
      <c r="K8" s="15">
        <f t="shared" si="3"/>
        <v>15.008171599999999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29" ht="12.75" x14ac:dyDescent="0.2">
      <c r="A9" s="13" t="s">
        <v>852</v>
      </c>
      <c r="B9" s="15">
        <v>5213004240012</v>
      </c>
      <c r="C9" s="15">
        <v>8.15</v>
      </c>
      <c r="D9" s="15">
        <v>0.9</v>
      </c>
      <c r="E9" s="15">
        <f t="shared" si="0"/>
        <v>9.0500000000000007</v>
      </c>
      <c r="F9" s="15">
        <v>1.24</v>
      </c>
      <c r="G9" s="15">
        <f t="shared" si="1"/>
        <v>11.222000000000001</v>
      </c>
      <c r="H9" s="15">
        <v>1.1214999999999999</v>
      </c>
      <c r="I9" s="15">
        <f t="shared" si="2"/>
        <v>12.585473</v>
      </c>
      <c r="J9" s="15">
        <v>0.73999999999999899</v>
      </c>
      <c r="K9" s="15">
        <f t="shared" si="3"/>
        <v>13.325472999999999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29" ht="12.75" x14ac:dyDescent="0.2">
      <c r="A10" s="13" t="s">
        <v>853</v>
      </c>
      <c r="B10" s="15">
        <v>5213004240104</v>
      </c>
      <c r="C10" s="15">
        <v>8.1</v>
      </c>
      <c r="D10" s="15">
        <v>0.9</v>
      </c>
      <c r="E10" s="15">
        <f t="shared" si="0"/>
        <v>9</v>
      </c>
      <c r="F10" s="15">
        <v>1.24</v>
      </c>
      <c r="G10" s="15">
        <f t="shared" si="1"/>
        <v>11.16</v>
      </c>
      <c r="H10" s="15">
        <v>1.1214999999999999</v>
      </c>
      <c r="I10" s="15">
        <f t="shared" si="2"/>
        <v>12.515939999999999</v>
      </c>
      <c r="J10" s="15">
        <v>0.73999999999999899</v>
      </c>
      <c r="K10" s="15">
        <f t="shared" si="3"/>
        <v>13.255939999999997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spans="1:29" ht="12.75" x14ac:dyDescent="0.2">
      <c r="A11" s="13" t="s">
        <v>854</v>
      </c>
      <c r="B11" s="15">
        <v>5213004240050</v>
      </c>
      <c r="C11" s="15">
        <v>5.41</v>
      </c>
      <c r="D11" s="15">
        <v>0.9</v>
      </c>
      <c r="E11" s="15">
        <f t="shared" si="0"/>
        <v>6.3100000000000005</v>
      </c>
      <c r="F11" s="15">
        <v>1.24</v>
      </c>
      <c r="G11" s="15">
        <f t="shared" si="1"/>
        <v>7.8244000000000007</v>
      </c>
      <c r="H11" s="15">
        <v>1.1214999999999999</v>
      </c>
      <c r="I11" s="15">
        <f t="shared" si="2"/>
        <v>8.7750646000000003</v>
      </c>
      <c r="J11" s="15">
        <v>0.73999999999999899</v>
      </c>
      <c r="K11" s="15">
        <f t="shared" si="3"/>
        <v>9.5150645999999988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29" ht="12.75" x14ac:dyDescent="0.2">
      <c r="A12" s="13" t="s">
        <v>855</v>
      </c>
      <c r="B12" s="15">
        <v>5213004240173</v>
      </c>
      <c r="C12" s="15">
        <v>6.05</v>
      </c>
      <c r="D12" s="15">
        <v>0.9</v>
      </c>
      <c r="E12" s="15">
        <f t="shared" si="0"/>
        <v>6.95</v>
      </c>
      <c r="F12" s="15">
        <v>1.24</v>
      </c>
      <c r="G12" s="15">
        <f t="shared" si="1"/>
        <v>8.6180000000000003</v>
      </c>
      <c r="H12" s="15">
        <v>1.1214999999999999</v>
      </c>
      <c r="I12" s="15">
        <f t="shared" si="2"/>
        <v>9.6650869999999998</v>
      </c>
      <c r="J12" s="15">
        <v>0.73999999999999899</v>
      </c>
      <c r="K12" s="15">
        <f t="shared" si="3"/>
        <v>10.405086999999998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29" ht="12.75" x14ac:dyDescent="0.2">
      <c r="A13" s="13" t="s">
        <v>856</v>
      </c>
      <c r="B13" s="15">
        <v>5213004240135</v>
      </c>
      <c r="C13" s="15">
        <v>5.52</v>
      </c>
      <c r="D13" s="15">
        <v>0.9</v>
      </c>
      <c r="E13" s="15">
        <f t="shared" si="0"/>
        <v>6.42</v>
      </c>
      <c r="F13" s="15">
        <v>1.24</v>
      </c>
      <c r="G13" s="15">
        <f t="shared" si="1"/>
        <v>7.9607999999999999</v>
      </c>
      <c r="H13" s="15">
        <v>1.1214999999999999</v>
      </c>
      <c r="I13" s="15">
        <f t="shared" si="2"/>
        <v>8.9280371999999986</v>
      </c>
      <c r="J13" s="15">
        <v>0.73999999999999899</v>
      </c>
      <c r="K13" s="15">
        <f t="shared" si="3"/>
        <v>9.668037199999997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spans="1:29" ht="12.75" x14ac:dyDescent="0.2">
      <c r="A14" s="13" t="s">
        <v>857</v>
      </c>
      <c r="B14" s="15">
        <v>5213004240111</v>
      </c>
      <c r="C14" s="15">
        <v>5.97</v>
      </c>
      <c r="D14" s="15">
        <v>0.9</v>
      </c>
      <c r="E14" s="15">
        <f t="shared" si="0"/>
        <v>6.87</v>
      </c>
      <c r="F14" s="15">
        <v>1.24</v>
      </c>
      <c r="G14" s="15">
        <f t="shared" si="1"/>
        <v>8.5188000000000006</v>
      </c>
      <c r="H14" s="15">
        <v>1.1214999999999999</v>
      </c>
      <c r="I14" s="15">
        <f t="shared" si="2"/>
        <v>9.5538342000000007</v>
      </c>
      <c r="J14" s="15">
        <v>0.73999999999999899</v>
      </c>
      <c r="K14" s="15">
        <f t="shared" si="3"/>
        <v>10.293834199999999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spans="1:29" ht="12.75" x14ac:dyDescent="0.2">
      <c r="A15" s="13" t="s">
        <v>858</v>
      </c>
      <c r="B15" s="15">
        <v>5213004240029</v>
      </c>
      <c r="C15" s="15">
        <v>5.36</v>
      </c>
      <c r="D15" s="15">
        <v>0.9</v>
      </c>
      <c r="E15" s="15">
        <f t="shared" si="0"/>
        <v>6.2600000000000007</v>
      </c>
      <c r="F15" s="15">
        <v>1.24</v>
      </c>
      <c r="G15" s="15">
        <f t="shared" si="1"/>
        <v>7.7624000000000004</v>
      </c>
      <c r="H15" s="15">
        <v>1.1214999999999999</v>
      </c>
      <c r="I15" s="15">
        <f t="shared" si="2"/>
        <v>8.7055316000000005</v>
      </c>
      <c r="J15" s="15">
        <v>0.73999999999999899</v>
      </c>
      <c r="K15" s="15">
        <f t="shared" si="3"/>
        <v>9.4455315999999989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spans="1:29" ht="12.75" x14ac:dyDescent="0.2">
      <c r="C16" s="15">
        <v>0</v>
      </c>
      <c r="D16" s="15">
        <v>0.9</v>
      </c>
      <c r="E16" s="15">
        <f t="shared" si="0"/>
        <v>0.9</v>
      </c>
      <c r="F16" s="15">
        <v>1.24</v>
      </c>
      <c r="G16" s="15">
        <f t="shared" si="1"/>
        <v>1.1160000000000001</v>
      </c>
      <c r="H16" s="15">
        <v>1.1214999999999999</v>
      </c>
      <c r="I16" s="15">
        <f t="shared" si="2"/>
        <v>1.2515940000000001</v>
      </c>
      <c r="J16" s="15">
        <v>0.73999999999999899</v>
      </c>
      <c r="K16" s="15">
        <f t="shared" si="3"/>
        <v>1.9915939999999992</v>
      </c>
    </row>
    <row r="17" spans="3:11" ht="12.75" x14ac:dyDescent="0.2">
      <c r="C17" s="15">
        <v>0</v>
      </c>
      <c r="D17" s="15">
        <v>0.9</v>
      </c>
      <c r="E17" s="15">
        <f t="shared" si="0"/>
        <v>0.9</v>
      </c>
      <c r="F17" s="15">
        <v>1.24</v>
      </c>
      <c r="G17" s="15">
        <f t="shared" si="1"/>
        <v>1.1160000000000001</v>
      </c>
      <c r="H17" s="15">
        <v>1.1214999999999999</v>
      </c>
      <c r="I17" s="15">
        <f t="shared" si="2"/>
        <v>1.2515940000000001</v>
      </c>
      <c r="J17" s="15">
        <v>0.73999999999999899</v>
      </c>
      <c r="K17" s="15">
        <f t="shared" si="3"/>
        <v>1.9915939999999992</v>
      </c>
    </row>
    <row r="18" spans="3:11" ht="12.75" x14ac:dyDescent="0.2">
      <c r="C18" s="15">
        <v>0</v>
      </c>
      <c r="D18" s="15">
        <v>0.9</v>
      </c>
      <c r="E18" s="15">
        <f t="shared" si="0"/>
        <v>0.9</v>
      </c>
      <c r="F18" s="15">
        <v>1.24</v>
      </c>
      <c r="G18" s="15">
        <f t="shared" si="1"/>
        <v>1.1160000000000001</v>
      </c>
      <c r="H18" s="15">
        <v>1.1214999999999999</v>
      </c>
      <c r="I18" s="15">
        <f t="shared" si="2"/>
        <v>1.2515940000000001</v>
      </c>
      <c r="J18" s="15">
        <v>0.73999999999999899</v>
      </c>
      <c r="K18" s="15">
        <f t="shared" si="3"/>
        <v>1.9915939999999992</v>
      </c>
    </row>
    <row r="19" spans="3:11" ht="12.75" x14ac:dyDescent="0.2">
      <c r="C19" s="15">
        <v>0</v>
      </c>
      <c r="D19" s="15">
        <v>0.9</v>
      </c>
      <c r="E19" s="15">
        <f t="shared" si="0"/>
        <v>0.9</v>
      </c>
      <c r="F19" s="15">
        <v>1.24</v>
      </c>
      <c r="G19" s="15">
        <f t="shared" si="1"/>
        <v>1.1160000000000001</v>
      </c>
      <c r="H19" s="15">
        <v>1.1214999999999999</v>
      </c>
      <c r="I19" s="15">
        <f t="shared" si="2"/>
        <v>1.2515940000000001</v>
      </c>
      <c r="J19" s="15">
        <v>0.73999999999999899</v>
      </c>
      <c r="K19" s="15">
        <f t="shared" si="3"/>
        <v>1.9915939999999992</v>
      </c>
    </row>
    <row r="20" spans="3:11" ht="12.75" x14ac:dyDescent="0.2">
      <c r="C20" s="15">
        <v>0</v>
      </c>
      <c r="D20" s="15">
        <v>0.9</v>
      </c>
      <c r="E20" s="15">
        <f t="shared" si="0"/>
        <v>0.9</v>
      </c>
      <c r="F20" s="15">
        <v>1.24</v>
      </c>
      <c r="G20" s="15">
        <f t="shared" si="1"/>
        <v>1.1160000000000001</v>
      </c>
      <c r="H20" s="15">
        <v>1.1214999999999999</v>
      </c>
      <c r="I20" s="15">
        <f t="shared" si="2"/>
        <v>1.2515940000000001</v>
      </c>
      <c r="J20" s="15">
        <v>0.73999999999999899</v>
      </c>
      <c r="K20" s="15">
        <f t="shared" si="3"/>
        <v>1.9915939999999992</v>
      </c>
    </row>
    <row r="21" spans="3:11" ht="12.75" x14ac:dyDescent="0.2">
      <c r="C21" s="15">
        <v>0</v>
      </c>
      <c r="D21" s="15">
        <v>0.9</v>
      </c>
      <c r="E21" s="15">
        <f t="shared" si="0"/>
        <v>0.9</v>
      </c>
      <c r="F21" s="15">
        <v>1.24</v>
      </c>
      <c r="G21" s="15">
        <f t="shared" si="1"/>
        <v>1.1160000000000001</v>
      </c>
      <c r="H21" s="15">
        <v>1.1214999999999999</v>
      </c>
      <c r="I21" s="15">
        <f t="shared" si="2"/>
        <v>1.2515940000000001</v>
      </c>
      <c r="J21" s="15">
        <v>0.73999999999999899</v>
      </c>
      <c r="K21" s="15">
        <f t="shared" si="3"/>
        <v>1.9915939999999992</v>
      </c>
    </row>
    <row r="22" spans="3:11" ht="12.75" x14ac:dyDescent="0.2">
      <c r="C22" s="15">
        <v>0</v>
      </c>
      <c r="D22" s="15">
        <v>0.9</v>
      </c>
      <c r="E22" s="15">
        <f t="shared" si="0"/>
        <v>0.9</v>
      </c>
      <c r="F22" s="15">
        <v>1.24</v>
      </c>
      <c r="G22" s="15">
        <f t="shared" si="1"/>
        <v>1.1160000000000001</v>
      </c>
      <c r="H22" s="15">
        <v>1.1214999999999999</v>
      </c>
      <c r="I22" s="15">
        <f t="shared" si="2"/>
        <v>1.2515940000000001</v>
      </c>
      <c r="J22" s="15">
        <v>0.73999999999999899</v>
      </c>
      <c r="K22" s="15">
        <f t="shared" si="3"/>
        <v>1.9915939999999992</v>
      </c>
    </row>
    <row r="23" spans="3:11" ht="12.75" x14ac:dyDescent="0.2">
      <c r="C23" s="15">
        <v>0</v>
      </c>
      <c r="D23" s="15">
        <v>0.9</v>
      </c>
      <c r="E23" s="15">
        <f t="shared" si="0"/>
        <v>0.9</v>
      </c>
      <c r="F23" s="15">
        <v>1.24</v>
      </c>
      <c r="G23" s="15">
        <f t="shared" si="1"/>
        <v>1.1160000000000001</v>
      </c>
      <c r="H23" s="15">
        <v>1.1214999999999999</v>
      </c>
      <c r="I23" s="15">
        <f t="shared" si="2"/>
        <v>1.2515940000000001</v>
      </c>
      <c r="J23" s="15">
        <v>0.73999999999999899</v>
      </c>
      <c r="K23" s="15">
        <f t="shared" si="3"/>
        <v>1.9915939999999992</v>
      </c>
    </row>
    <row r="24" spans="3:11" ht="12.75" x14ac:dyDescent="0.2">
      <c r="C24" s="15">
        <v>0</v>
      </c>
      <c r="D24" s="15">
        <v>0.9</v>
      </c>
      <c r="E24" s="15">
        <f t="shared" si="0"/>
        <v>0.9</v>
      </c>
      <c r="F24" s="15">
        <v>1.24</v>
      </c>
      <c r="G24" s="15">
        <f t="shared" si="1"/>
        <v>1.1160000000000001</v>
      </c>
      <c r="H24" s="15">
        <v>1.1214999999999999</v>
      </c>
      <c r="I24" s="15">
        <f t="shared" si="2"/>
        <v>1.2515940000000001</v>
      </c>
      <c r="J24" s="15">
        <v>0.73999999999999899</v>
      </c>
      <c r="K24" s="15">
        <f t="shared" si="3"/>
        <v>1.9915939999999992</v>
      </c>
    </row>
    <row r="25" spans="3:11" ht="12.75" x14ac:dyDescent="0.2">
      <c r="C25" s="15">
        <v>0</v>
      </c>
      <c r="D25" s="15">
        <v>0.9</v>
      </c>
      <c r="E25" s="15">
        <f t="shared" si="0"/>
        <v>0.9</v>
      </c>
      <c r="F25" s="15">
        <v>1.24</v>
      </c>
      <c r="G25" s="15">
        <f t="shared" si="1"/>
        <v>1.1160000000000001</v>
      </c>
      <c r="H25" s="15">
        <v>1.1214999999999999</v>
      </c>
      <c r="I25" s="15">
        <f t="shared" si="2"/>
        <v>1.2515940000000001</v>
      </c>
      <c r="J25" s="15">
        <v>0.73999999999999899</v>
      </c>
      <c r="K25" s="15">
        <f t="shared" si="3"/>
        <v>1.9915939999999992</v>
      </c>
    </row>
    <row r="26" spans="3:11" ht="12.75" x14ac:dyDescent="0.2">
      <c r="C26" s="15">
        <v>0</v>
      </c>
      <c r="D26" s="15">
        <v>0.9</v>
      </c>
      <c r="E26" s="15">
        <f t="shared" si="0"/>
        <v>0.9</v>
      </c>
      <c r="F26" s="15">
        <v>1.24</v>
      </c>
      <c r="G26" s="15">
        <f t="shared" si="1"/>
        <v>1.1160000000000001</v>
      </c>
      <c r="H26" s="15">
        <v>1.1214999999999999</v>
      </c>
      <c r="I26" s="15">
        <f t="shared" si="2"/>
        <v>1.2515940000000001</v>
      </c>
      <c r="J26" s="15">
        <v>0.73999999999999899</v>
      </c>
      <c r="K26" s="15">
        <f t="shared" si="3"/>
        <v>1.9915939999999992</v>
      </c>
    </row>
    <row r="27" spans="3:11" ht="12.75" x14ac:dyDescent="0.2">
      <c r="C27" s="15">
        <v>0</v>
      </c>
      <c r="D27" s="15">
        <v>0.9</v>
      </c>
      <c r="E27" s="15">
        <f t="shared" si="0"/>
        <v>0.9</v>
      </c>
      <c r="F27" s="15">
        <v>1.24</v>
      </c>
      <c r="G27" s="15">
        <f t="shared" si="1"/>
        <v>1.1160000000000001</v>
      </c>
      <c r="H27" s="15">
        <v>1.1214999999999999</v>
      </c>
      <c r="I27" s="15">
        <f t="shared" si="2"/>
        <v>1.2515940000000001</v>
      </c>
      <c r="J27" s="15">
        <v>0.73999999999999899</v>
      </c>
      <c r="K27" s="15">
        <f t="shared" si="3"/>
        <v>1.9915939999999992</v>
      </c>
    </row>
    <row r="28" spans="3:11" ht="12.75" x14ac:dyDescent="0.2">
      <c r="C28" s="15">
        <v>0</v>
      </c>
      <c r="D28" s="15">
        <v>0.9</v>
      </c>
      <c r="E28" s="15">
        <f t="shared" si="0"/>
        <v>0.9</v>
      </c>
      <c r="F28" s="15">
        <v>1.24</v>
      </c>
      <c r="G28" s="15">
        <f t="shared" si="1"/>
        <v>1.1160000000000001</v>
      </c>
      <c r="H28" s="15">
        <v>1.1214999999999999</v>
      </c>
      <c r="I28" s="15">
        <f t="shared" si="2"/>
        <v>1.2515940000000001</v>
      </c>
      <c r="J28" s="15">
        <v>0.73999999999999899</v>
      </c>
      <c r="K28" s="15">
        <f t="shared" si="3"/>
        <v>1.9915939999999992</v>
      </c>
    </row>
    <row r="29" spans="3:11" ht="12.75" x14ac:dyDescent="0.2">
      <c r="C29" s="15">
        <v>0</v>
      </c>
      <c r="D29" s="15">
        <v>0.9</v>
      </c>
      <c r="E29" s="15">
        <f t="shared" si="0"/>
        <v>0.9</v>
      </c>
      <c r="F29" s="15">
        <v>1.24</v>
      </c>
      <c r="G29" s="15">
        <f t="shared" si="1"/>
        <v>1.1160000000000001</v>
      </c>
      <c r="H29" s="15">
        <v>1.1214999999999999</v>
      </c>
      <c r="I29" s="15">
        <f t="shared" si="2"/>
        <v>1.2515940000000001</v>
      </c>
      <c r="J29" s="15">
        <v>0.73999999999999899</v>
      </c>
      <c r="K29" s="15">
        <f t="shared" si="3"/>
        <v>1.9915939999999992</v>
      </c>
    </row>
    <row r="30" spans="3:11" ht="12.75" x14ac:dyDescent="0.2">
      <c r="C30" s="15">
        <v>0</v>
      </c>
      <c r="D30" s="15">
        <v>0.9</v>
      </c>
      <c r="E30" s="15">
        <f t="shared" si="0"/>
        <v>0.9</v>
      </c>
      <c r="F30" s="15">
        <v>1.24</v>
      </c>
      <c r="G30" s="15">
        <f t="shared" si="1"/>
        <v>1.1160000000000001</v>
      </c>
      <c r="H30" s="15">
        <v>1.1214999999999999</v>
      </c>
      <c r="I30" s="15">
        <f t="shared" si="2"/>
        <v>1.2515940000000001</v>
      </c>
      <c r="J30" s="15">
        <v>0.73999999999999899</v>
      </c>
      <c r="K30" s="15">
        <f t="shared" si="3"/>
        <v>1.9915939999999992</v>
      </c>
    </row>
    <row r="31" spans="3:11" ht="12.75" x14ac:dyDescent="0.2">
      <c r="C31" s="15">
        <v>0</v>
      </c>
      <c r="D31" s="15">
        <v>0.9</v>
      </c>
      <c r="E31" s="15">
        <f t="shared" si="0"/>
        <v>0.9</v>
      </c>
      <c r="F31" s="15">
        <v>1.24</v>
      </c>
      <c r="G31" s="15">
        <f t="shared" si="1"/>
        <v>1.1160000000000001</v>
      </c>
      <c r="H31" s="15">
        <v>1.1214999999999999</v>
      </c>
      <c r="I31" s="15">
        <f t="shared" si="2"/>
        <v>1.2515940000000001</v>
      </c>
      <c r="J31" s="15">
        <v>0.73999999999999899</v>
      </c>
      <c r="K31" s="15">
        <f t="shared" si="3"/>
        <v>1.9915939999999992</v>
      </c>
    </row>
    <row r="32" spans="3:11" ht="12.75" x14ac:dyDescent="0.2">
      <c r="C32" s="15">
        <v>0</v>
      </c>
      <c r="D32" s="15">
        <v>0.9</v>
      </c>
      <c r="E32" s="15">
        <f t="shared" si="0"/>
        <v>0.9</v>
      </c>
      <c r="F32" s="15">
        <v>1.24</v>
      </c>
      <c r="G32" s="15">
        <f t="shared" si="1"/>
        <v>1.1160000000000001</v>
      </c>
      <c r="H32" s="15">
        <v>1.1214999999999999</v>
      </c>
      <c r="I32" s="15">
        <f t="shared" si="2"/>
        <v>1.2515940000000001</v>
      </c>
      <c r="J32" s="15">
        <v>0.73999999999999899</v>
      </c>
      <c r="K32" s="15">
        <f t="shared" si="3"/>
        <v>1.9915939999999992</v>
      </c>
    </row>
    <row r="33" spans="3:11" ht="12.75" x14ac:dyDescent="0.2">
      <c r="C33" s="15">
        <v>0</v>
      </c>
      <c r="D33" s="15">
        <v>0.9</v>
      </c>
      <c r="E33" s="15">
        <f t="shared" si="0"/>
        <v>0.9</v>
      </c>
      <c r="F33" s="15">
        <v>1.24</v>
      </c>
      <c r="G33" s="15">
        <f t="shared" si="1"/>
        <v>1.1160000000000001</v>
      </c>
      <c r="H33" s="15">
        <v>1.1214999999999999</v>
      </c>
      <c r="I33" s="15">
        <f t="shared" si="2"/>
        <v>1.2515940000000001</v>
      </c>
      <c r="J33" s="15">
        <v>0.73999999999999899</v>
      </c>
      <c r="K33" s="15">
        <f t="shared" si="3"/>
        <v>1.9915939999999992</v>
      </c>
    </row>
    <row r="34" spans="3:11" ht="12.75" x14ac:dyDescent="0.2">
      <c r="C34" s="15">
        <v>0</v>
      </c>
      <c r="D34" s="15">
        <v>0.9</v>
      </c>
      <c r="E34" s="15">
        <f t="shared" si="0"/>
        <v>0.9</v>
      </c>
      <c r="F34" s="15">
        <v>1.24</v>
      </c>
      <c r="G34" s="15">
        <f t="shared" si="1"/>
        <v>1.1160000000000001</v>
      </c>
      <c r="H34" s="15">
        <v>1.1214999999999999</v>
      </c>
      <c r="I34" s="15">
        <f t="shared" si="2"/>
        <v>1.2515940000000001</v>
      </c>
      <c r="J34" s="15">
        <v>0.73999999999999899</v>
      </c>
      <c r="K34" s="15">
        <f t="shared" si="3"/>
        <v>1.9915939999999992</v>
      </c>
    </row>
    <row r="35" spans="3:11" ht="12.75" x14ac:dyDescent="0.2">
      <c r="C35" s="15">
        <v>0</v>
      </c>
      <c r="D35" s="15">
        <v>0.9</v>
      </c>
      <c r="E35" s="15">
        <f t="shared" si="0"/>
        <v>0.9</v>
      </c>
      <c r="F35" s="15">
        <v>1.24</v>
      </c>
      <c r="G35" s="15">
        <f t="shared" si="1"/>
        <v>1.1160000000000001</v>
      </c>
      <c r="H35" s="15">
        <v>1.1214999999999999</v>
      </c>
      <c r="I35" s="15">
        <f t="shared" si="2"/>
        <v>1.2515940000000001</v>
      </c>
      <c r="J35" s="15">
        <v>0.73999999999999899</v>
      </c>
      <c r="K35" s="15">
        <f t="shared" si="3"/>
        <v>1.9915939999999992</v>
      </c>
    </row>
    <row r="36" spans="3:11" ht="12.75" x14ac:dyDescent="0.2">
      <c r="C36" s="15">
        <v>0</v>
      </c>
      <c r="D36" s="15">
        <v>0.9</v>
      </c>
      <c r="E36" s="15">
        <f t="shared" si="0"/>
        <v>0.9</v>
      </c>
      <c r="F36" s="15">
        <v>1.24</v>
      </c>
      <c r="G36" s="15">
        <f t="shared" si="1"/>
        <v>1.1160000000000001</v>
      </c>
      <c r="H36" s="15">
        <v>1.1214999999999999</v>
      </c>
      <c r="I36" s="15">
        <f t="shared" si="2"/>
        <v>1.2515940000000001</v>
      </c>
      <c r="J36" s="15">
        <v>0.73999999999999899</v>
      </c>
      <c r="K36" s="15">
        <f t="shared" si="3"/>
        <v>1.9915939999999992</v>
      </c>
    </row>
    <row r="37" spans="3:11" ht="12.75" x14ac:dyDescent="0.2">
      <c r="C37" s="15">
        <v>0</v>
      </c>
      <c r="D37" s="15">
        <v>0.9</v>
      </c>
      <c r="E37" s="15">
        <f t="shared" si="0"/>
        <v>0.9</v>
      </c>
      <c r="F37" s="15">
        <v>1.24</v>
      </c>
      <c r="G37" s="15">
        <f t="shared" si="1"/>
        <v>1.1160000000000001</v>
      </c>
      <c r="H37" s="15">
        <v>1.1214999999999999</v>
      </c>
      <c r="I37" s="15">
        <f t="shared" si="2"/>
        <v>1.2515940000000001</v>
      </c>
      <c r="J37" s="15">
        <v>0.73999999999999899</v>
      </c>
      <c r="K37" s="15">
        <f t="shared" si="3"/>
        <v>1.9915939999999992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7"/>
  <sheetViews>
    <sheetView workbookViewId="0">
      <selection activeCell="C18" sqref="C18"/>
    </sheetView>
  </sheetViews>
  <sheetFormatPr defaultColWidth="12.5703125" defaultRowHeight="15.75" customHeight="1" x14ac:dyDescent="0.2"/>
  <sheetData>
    <row r="1" spans="1:13" ht="15.75" customHeight="1" x14ac:dyDescent="0.25">
      <c r="A1" s="12" t="s">
        <v>0</v>
      </c>
      <c r="C1" s="7" t="s">
        <v>314</v>
      </c>
      <c r="D1" s="7" t="s">
        <v>315</v>
      </c>
      <c r="E1" s="7" t="s">
        <v>316</v>
      </c>
      <c r="F1" s="7" t="s">
        <v>317</v>
      </c>
      <c r="G1" s="7" t="s">
        <v>318</v>
      </c>
      <c r="H1" s="7" t="s">
        <v>319</v>
      </c>
      <c r="I1" s="7" t="s">
        <v>320</v>
      </c>
      <c r="J1" s="7" t="s">
        <v>321</v>
      </c>
      <c r="K1" s="7" t="s">
        <v>322</v>
      </c>
      <c r="L1" s="7" t="s">
        <v>323</v>
      </c>
    </row>
    <row r="2" spans="1:13" ht="15.75" customHeight="1" x14ac:dyDescent="0.25">
      <c r="A2" s="6" t="s">
        <v>306</v>
      </c>
      <c r="B2" s="6" t="s">
        <v>307</v>
      </c>
      <c r="C2" s="5">
        <v>43.12</v>
      </c>
      <c r="D2" s="9">
        <v>0.9</v>
      </c>
      <c r="E2" s="5">
        <v>0.73999999999999899</v>
      </c>
      <c r="F2" s="9">
        <v>8.1999999999999993</v>
      </c>
      <c r="G2" s="9">
        <v>24</v>
      </c>
      <c r="H2" s="9">
        <f t="shared" ref="H2:H17" si="0">C2+D2+E2</f>
        <v>44.76</v>
      </c>
      <c r="I2" s="9">
        <f t="shared" ref="I2:I17" si="1">H2 / (1 - F2/100 - (1 - 1/(1 + G2/100)))</f>
        <v>61.784664707453899</v>
      </c>
      <c r="J2" s="9">
        <f t="shared" ref="J2:J17" si="2">I2 * F2 / 100</f>
        <v>5.0663425060112193</v>
      </c>
      <c r="K2" s="9">
        <f t="shared" ref="K2:K17" si="3">I2 - (I2 / (1 + G2/100))</f>
        <v>11.958322201442691</v>
      </c>
      <c r="L2" s="9">
        <f t="shared" ref="L2:L17" si="4">I2 - J2 - K2</f>
        <v>44.759999999999991</v>
      </c>
      <c r="M2" s="12">
        <v>71.33</v>
      </c>
    </row>
    <row r="3" spans="1:13" ht="15.75" customHeight="1" x14ac:dyDescent="0.25">
      <c r="A3" s="6" t="s">
        <v>308</v>
      </c>
      <c r="B3" s="6" t="s">
        <v>309</v>
      </c>
      <c r="C3" s="5">
        <v>50.16</v>
      </c>
      <c r="D3" s="9">
        <v>0.9</v>
      </c>
      <c r="E3" s="5">
        <v>1.19</v>
      </c>
      <c r="F3" s="9">
        <v>8.1999999999999993</v>
      </c>
      <c r="G3" s="9">
        <v>24</v>
      </c>
      <c r="H3" s="9">
        <f t="shared" si="0"/>
        <v>52.249999999999993</v>
      </c>
      <c r="I3" s="9">
        <f t="shared" si="1"/>
        <v>72.12351945854482</v>
      </c>
      <c r="J3" s="9">
        <f t="shared" si="2"/>
        <v>5.9141285956006744</v>
      </c>
      <c r="K3" s="9">
        <f t="shared" si="3"/>
        <v>13.959390862944161</v>
      </c>
      <c r="L3" s="9">
        <f t="shared" si="4"/>
        <v>52.249999999999986</v>
      </c>
      <c r="M3" s="12">
        <v>82.19</v>
      </c>
    </row>
    <row r="4" spans="1:13" ht="15.75" customHeight="1" x14ac:dyDescent="0.25">
      <c r="A4" s="6" t="s">
        <v>310</v>
      </c>
      <c r="B4" s="6" t="s">
        <v>311</v>
      </c>
      <c r="C4" s="5">
        <v>23.06</v>
      </c>
      <c r="D4" s="9">
        <v>0.9</v>
      </c>
      <c r="E4" s="5">
        <v>0.73999999999999899</v>
      </c>
      <c r="F4" s="9">
        <v>8.1999999999999993</v>
      </c>
      <c r="G4" s="9">
        <v>24</v>
      </c>
      <c r="H4" s="9">
        <f t="shared" si="0"/>
        <v>24.699999999999996</v>
      </c>
      <c r="I4" s="9">
        <f t="shared" si="1"/>
        <v>34.094754653130281</v>
      </c>
      <c r="J4" s="9">
        <f t="shared" si="2"/>
        <v>2.7957698815566827</v>
      </c>
      <c r="K4" s="9">
        <f t="shared" si="3"/>
        <v>6.5989847715736012</v>
      </c>
      <c r="L4" s="9">
        <f t="shared" si="4"/>
        <v>24.699999999999996</v>
      </c>
      <c r="M4" s="12">
        <v>37.700000000000003</v>
      </c>
    </row>
    <row r="5" spans="1:13" ht="15.75" customHeight="1" x14ac:dyDescent="0.25">
      <c r="A5" s="6" t="s">
        <v>312</v>
      </c>
      <c r="B5" s="6" t="s">
        <v>313</v>
      </c>
      <c r="C5" s="5">
        <v>22.79</v>
      </c>
      <c r="D5" s="9">
        <v>0.9</v>
      </c>
      <c r="E5" s="5">
        <v>1.19</v>
      </c>
      <c r="F5" s="9">
        <v>8.1999999999999993</v>
      </c>
      <c r="G5" s="9">
        <v>24</v>
      </c>
      <c r="H5" s="9">
        <f t="shared" si="0"/>
        <v>24.88</v>
      </c>
      <c r="I5" s="9">
        <f t="shared" si="1"/>
        <v>34.343218452221919</v>
      </c>
      <c r="J5" s="9">
        <f t="shared" si="2"/>
        <v>2.8161439130821968</v>
      </c>
      <c r="K5" s="9">
        <f t="shared" si="3"/>
        <v>6.6470745391397266</v>
      </c>
      <c r="L5" s="9">
        <f t="shared" si="4"/>
        <v>24.879999999999995</v>
      </c>
      <c r="M5" s="12">
        <v>37</v>
      </c>
    </row>
    <row r="6" spans="1:13" ht="15.75" customHeight="1" x14ac:dyDescent="0.25">
      <c r="A6" s="1" t="s">
        <v>184</v>
      </c>
      <c r="B6" s="1" t="s">
        <v>185</v>
      </c>
      <c r="C6" s="1">
        <v>22.53</v>
      </c>
      <c r="D6" s="9">
        <v>0.9</v>
      </c>
      <c r="E6" s="1">
        <v>0.73999999999999899</v>
      </c>
      <c r="F6" s="9">
        <v>8.1999999999999993</v>
      </c>
      <c r="G6" s="9">
        <v>24</v>
      </c>
      <c r="H6" s="9">
        <f t="shared" si="0"/>
        <v>24.169999999999998</v>
      </c>
      <c r="I6" s="9">
        <f t="shared" si="1"/>
        <v>33.363166800249346</v>
      </c>
      <c r="J6" s="9">
        <f t="shared" si="2"/>
        <v>2.7357796776204464</v>
      </c>
      <c r="K6" s="9">
        <f t="shared" si="3"/>
        <v>6.457387122628905</v>
      </c>
      <c r="L6" s="9">
        <f t="shared" si="4"/>
        <v>24.169999999999995</v>
      </c>
    </row>
    <row r="7" spans="1:13" ht="15.75" customHeight="1" x14ac:dyDescent="0.25">
      <c r="A7" s="1" t="s">
        <v>186</v>
      </c>
      <c r="B7" s="1" t="s">
        <v>187</v>
      </c>
      <c r="C7" s="1">
        <v>25.17</v>
      </c>
      <c r="D7" s="9">
        <v>0.9</v>
      </c>
      <c r="E7" s="1">
        <v>0.73999999999999899</v>
      </c>
      <c r="F7" s="9">
        <v>8.1999999999999993</v>
      </c>
      <c r="G7" s="9">
        <v>24</v>
      </c>
      <c r="H7" s="9">
        <f t="shared" si="0"/>
        <v>26.81</v>
      </c>
      <c r="I7" s="9">
        <f t="shared" si="1"/>
        <v>37.007302520260033</v>
      </c>
      <c r="J7" s="9">
        <f t="shared" si="2"/>
        <v>3.0345988066613221</v>
      </c>
      <c r="K7" s="9">
        <f t="shared" si="3"/>
        <v>7.1627037135987166</v>
      </c>
      <c r="L7" s="9">
        <f t="shared" si="4"/>
        <v>26.809999999999995</v>
      </c>
    </row>
    <row r="8" spans="1:13" ht="15.75" customHeight="1" x14ac:dyDescent="0.25">
      <c r="A8" s="1" t="s">
        <v>182</v>
      </c>
      <c r="B8" s="1" t="s">
        <v>183</v>
      </c>
      <c r="C8" s="1">
        <v>25.42</v>
      </c>
      <c r="D8" s="9">
        <v>0.9</v>
      </c>
      <c r="E8" s="1">
        <v>0.73999999999999899</v>
      </c>
      <c r="F8" s="9">
        <v>8.1999999999999993</v>
      </c>
      <c r="G8" s="9">
        <v>24</v>
      </c>
      <c r="H8" s="9">
        <f t="shared" si="0"/>
        <v>27.06</v>
      </c>
      <c r="I8" s="9">
        <f t="shared" si="1"/>
        <v>37.352391130109531</v>
      </c>
      <c r="J8" s="9">
        <f t="shared" si="2"/>
        <v>3.0628960726689813</v>
      </c>
      <c r="K8" s="9">
        <f t="shared" si="3"/>
        <v>7.2294950574405554</v>
      </c>
      <c r="L8" s="9">
        <f t="shared" si="4"/>
        <v>27.059999999999992</v>
      </c>
    </row>
    <row r="9" spans="1:13" ht="15.75" customHeight="1" x14ac:dyDescent="0.25">
      <c r="A9" s="12" t="s">
        <v>336</v>
      </c>
      <c r="B9" s="12">
        <v>7290006910523</v>
      </c>
      <c r="C9" s="9">
        <v>22.79</v>
      </c>
      <c r="D9" s="9">
        <v>0.9</v>
      </c>
      <c r="E9" s="9">
        <v>1.19</v>
      </c>
      <c r="F9" s="9">
        <v>8.1999999999999993</v>
      </c>
      <c r="G9" s="9">
        <v>24</v>
      </c>
      <c r="H9" s="9">
        <f t="shared" si="0"/>
        <v>24.88</v>
      </c>
      <c r="I9" s="9">
        <f t="shared" si="1"/>
        <v>34.343218452221919</v>
      </c>
      <c r="J9" s="9">
        <f t="shared" si="2"/>
        <v>2.8161439130821968</v>
      </c>
      <c r="K9" s="9">
        <f t="shared" si="3"/>
        <v>6.6470745391397266</v>
      </c>
      <c r="L9" s="9">
        <f t="shared" si="4"/>
        <v>24.879999999999995</v>
      </c>
      <c r="M9" s="12">
        <v>36.89</v>
      </c>
    </row>
    <row r="10" spans="1:13" ht="15.75" customHeight="1" x14ac:dyDescent="0.25">
      <c r="C10" s="9">
        <v>6.68</v>
      </c>
      <c r="D10" s="9">
        <v>0.9</v>
      </c>
      <c r="E10" s="9">
        <v>0.7</v>
      </c>
      <c r="F10" s="9">
        <v>8.1999999999999993</v>
      </c>
      <c r="G10" s="9">
        <v>24</v>
      </c>
      <c r="H10" s="9">
        <f t="shared" si="0"/>
        <v>8.2799999999999994</v>
      </c>
      <c r="I10" s="9">
        <f t="shared" si="1"/>
        <v>11.429334758215333</v>
      </c>
      <c r="J10" s="9">
        <f t="shared" si="2"/>
        <v>0.9372054501736572</v>
      </c>
      <c r="K10" s="9">
        <f t="shared" si="3"/>
        <v>2.2121293080416766</v>
      </c>
      <c r="L10" s="9">
        <f t="shared" si="4"/>
        <v>8.2799999999999994</v>
      </c>
    </row>
    <row r="11" spans="1:13" ht="15.75" customHeight="1" x14ac:dyDescent="0.25">
      <c r="C11" s="9">
        <v>6.68</v>
      </c>
      <c r="D11" s="9">
        <v>0.9</v>
      </c>
      <c r="E11" s="9">
        <v>0.7</v>
      </c>
      <c r="F11" s="9">
        <v>8.1999999999999993</v>
      </c>
      <c r="G11" s="9">
        <v>24</v>
      </c>
      <c r="H11" s="9">
        <f t="shared" si="0"/>
        <v>8.2799999999999994</v>
      </c>
      <c r="I11" s="9">
        <f t="shared" si="1"/>
        <v>11.429334758215333</v>
      </c>
      <c r="J11" s="9">
        <f t="shared" si="2"/>
        <v>0.9372054501736572</v>
      </c>
      <c r="K11" s="9">
        <f t="shared" si="3"/>
        <v>2.2121293080416766</v>
      </c>
      <c r="L11" s="9">
        <f t="shared" si="4"/>
        <v>8.2799999999999994</v>
      </c>
    </row>
    <row r="12" spans="1:13" ht="15.75" customHeight="1" x14ac:dyDescent="0.25">
      <c r="C12" s="9">
        <v>6.68</v>
      </c>
      <c r="D12" s="9">
        <v>0.9</v>
      </c>
      <c r="E12" s="9">
        <v>0.7</v>
      </c>
      <c r="F12" s="9">
        <v>8.1999999999999993</v>
      </c>
      <c r="G12" s="9">
        <v>24</v>
      </c>
      <c r="H12" s="9">
        <f t="shared" si="0"/>
        <v>8.2799999999999994</v>
      </c>
      <c r="I12" s="9">
        <f t="shared" si="1"/>
        <v>11.429334758215333</v>
      </c>
      <c r="J12" s="9">
        <f t="shared" si="2"/>
        <v>0.9372054501736572</v>
      </c>
      <c r="K12" s="9">
        <f t="shared" si="3"/>
        <v>2.2121293080416766</v>
      </c>
      <c r="L12" s="9">
        <f t="shared" si="4"/>
        <v>8.2799999999999994</v>
      </c>
    </row>
    <row r="13" spans="1:13" ht="15.75" customHeight="1" x14ac:dyDescent="0.25">
      <c r="C13" s="9">
        <v>6.68</v>
      </c>
      <c r="D13" s="9">
        <v>0.9</v>
      </c>
      <c r="E13" s="9">
        <v>0.7</v>
      </c>
      <c r="F13" s="9">
        <v>8.1999999999999993</v>
      </c>
      <c r="G13" s="9">
        <v>24</v>
      </c>
      <c r="H13" s="9">
        <f t="shared" si="0"/>
        <v>8.2799999999999994</v>
      </c>
      <c r="I13" s="9">
        <f t="shared" si="1"/>
        <v>11.429334758215333</v>
      </c>
      <c r="J13" s="9">
        <f t="shared" si="2"/>
        <v>0.9372054501736572</v>
      </c>
      <c r="K13" s="9">
        <f t="shared" si="3"/>
        <v>2.2121293080416766</v>
      </c>
      <c r="L13" s="9">
        <f t="shared" si="4"/>
        <v>8.2799999999999994</v>
      </c>
    </row>
    <row r="14" spans="1:13" ht="15.75" customHeight="1" x14ac:dyDescent="0.25">
      <c r="C14" s="9">
        <v>6.68</v>
      </c>
      <c r="D14" s="9">
        <v>0.9</v>
      </c>
      <c r="E14" s="9">
        <v>0.7</v>
      </c>
      <c r="F14" s="9">
        <v>8.1999999999999993</v>
      </c>
      <c r="G14" s="9">
        <v>24</v>
      </c>
      <c r="H14" s="9">
        <f t="shared" si="0"/>
        <v>8.2799999999999994</v>
      </c>
      <c r="I14" s="9">
        <f t="shared" si="1"/>
        <v>11.429334758215333</v>
      </c>
      <c r="J14" s="9">
        <f t="shared" si="2"/>
        <v>0.9372054501736572</v>
      </c>
      <c r="K14" s="9">
        <f t="shared" si="3"/>
        <v>2.2121293080416766</v>
      </c>
      <c r="L14" s="9">
        <f t="shared" si="4"/>
        <v>8.2799999999999994</v>
      </c>
    </row>
    <row r="15" spans="1:13" ht="15.75" customHeight="1" x14ac:dyDescent="0.25">
      <c r="C15" s="9">
        <v>6.68</v>
      </c>
      <c r="D15" s="9">
        <v>0.9</v>
      </c>
      <c r="E15" s="9">
        <v>0.7</v>
      </c>
      <c r="F15" s="9">
        <v>8.1999999999999993</v>
      </c>
      <c r="G15" s="9">
        <v>24</v>
      </c>
      <c r="H15" s="9">
        <f t="shared" si="0"/>
        <v>8.2799999999999994</v>
      </c>
      <c r="I15" s="9">
        <f t="shared" si="1"/>
        <v>11.429334758215333</v>
      </c>
      <c r="J15" s="9">
        <f t="shared" si="2"/>
        <v>0.9372054501736572</v>
      </c>
      <c r="K15" s="9">
        <f t="shared" si="3"/>
        <v>2.2121293080416766</v>
      </c>
      <c r="L15" s="9">
        <f t="shared" si="4"/>
        <v>8.2799999999999994</v>
      </c>
    </row>
    <row r="16" spans="1:13" ht="15.75" customHeight="1" x14ac:dyDescent="0.25">
      <c r="C16" s="9">
        <v>6.68</v>
      </c>
      <c r="D16" s="9">
        <v>0.9</v>
      </c>
      <c r="E16" s="9">
        <v>0.7</v>
      </c>
      <c r="F16" s="9">
        <v>8.1999999999999993</v>
      </c>
      <c r="G16" s="9">
        <v>24</v>
      </c>
      <c r="H16" s="9">
        <f t="shared" si="0"/>
        <v>8.2799999999999994</v>
      </c>
      <c r="I16" s="9">
        <f t="shared" si="1"/>
        <v>11.429334758215333</v>
      </c>
      <c r="J16" s="9">
        <f t="shared" si="2"/>
        <v>0.9372054501736572</v>
      </c>
      <c r="K16" s="9">
        <f t="shared" si="3"/>
        <v>2.2121293080416766</v>
      </c>
      <c r="L16" s="9">
        <f t="shared" si="4"/>
        <v>8.2799999999999994</v>
      </c>
    </row>
    <row r="17" spans="3:12" ht="15.75" customHeight="1" x14ac:dyDescent="0.25">
      <c r="C17" s="9">
        <v>45.6</v>
      </c>
      <c r="D17" s="9">
        <v>0.9</v>
      </c>
      <c r="E17" s="9">
        <v>0.7</v>
      </c>
      <c r="F17" s="9">
        <v>8.1999999999999993</v>
      </c>
      <c r="G17" s="9">
        <v>24</v>
      </c>
      <c r="H17" s="9">
        <f t="shared" si="0"/>
        <v>47.2</v>
      </c>
      <c r="I17" s="9">
        <f t="shared" si="1"/>
        <v>65.152729539584996</v>
      </c>
      <c r="J17" s="9">
        <f t="shared" si="2"/>
        <v>5.342523822245969</v>
      </c>
      <c r="K17" s="9">
        <f t="shared" si="3"/>
        <v>12.610205717339028</v>
      </c>
      <c r="L17" s="9">
        <f t="shared" si="4"/>
        <v>47.2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C999"/>
  <sheetViews>
    <sheetView workbookViewId="0"/>
  </sheetViews>
  <sheetFormatPr defaultColWidth="12.5703125" defaultRowHeight="15.75" customHeight="1" x14ac:dyDescent="0.2"/>
  <cols>
    <col min="1" max="1" width="29" customWidth="1"/>
    <col min="2" max="2" width="27.140625" customWidth="1"/>
  </cols>
  <sheetData>
    <row r="1" spans="1:12" ht="18" customHeight="1" x14ac:dyDescent="0.2">
      <c r="B1" s="38"/>
    </row>
    <row r="2" spans="1:12" ht="14.25" x14ac:dyDescent="0.2">
      <c r="A2" s="12" t="s">
        <v>859</v>
      </c>
      <c r="B2" s="20">
        <v>5202888320095</v>
      </c>
      <c r="C2" s="12">
        <v>9.4499999999999993</v>
      </c>
      <c r="D2" s="12">
        <v>0.9</v>
      </c>
      <c r="E2" s="12">
        <f t="shared" ref="E2:E168" si="0">SUM(C2)+D2</f>
        <v>10.35</v>
      </c>
      <c r="F2" s="12">
        <v>1.24</v>
      </c>
      <c r="G2" s="12">
        <f t="shared" ref="G2:G168" si="1">SUM(E2)*F2</f>
        <v>12.834</v>
      </c>
      <c r="H2" s="12">
        <v>1.1214999999999999</v>
      </c>
      <c r="I2" s="12">
        <f t="shared" ref="I2:I168" si="2">SUM(G2)*H2</f>
        <v>14.393330999999998</v>
      </c>
      <c r="J2" s="12">
        <v>0.74</v>
      </c>
      <c r="K2" s="12">
        <f t="shared" ref="K2:K168" si="3">SUM(I2)+J2</f>
        <v>15.133330999999998</v>
      </c>
    </row>
    <row r="3" spans="1:12" ht="14.25" x14ac:dyDescent="0.2">
      <c r="A3" s="12" t="s">
        <v>860</v>
      </c>
      <c r="B3" s="20">
        <v>5202888230097</v>
      </c>
      <c r="C3" s="12">
        <v>2.99</v>
      </c>
      <c r="D3" s="12">
        <v>0.9</v>
      </c>
      <c r="E3" s="12">
        <f t="shared" si="0"/>
        <v>3.89</v>
      </c>
      <c r="F3" s="12">
        <v>1.24</v>
      </c>
      <c r="G3" s="12">
        <f t="shared" si="1"/>
        <v>4.8235999999999999</v>
      </c>
      <c r="H3" s="12">
        <v>1.1214999999999999</v>
      </c>
      <c r="I3" s="12">
        <f t="shared" si="2"/>
        <v>5.4096674</v>
      </c>
      <c r="J3" s="12">
        <v>0.25</v>
      </c>
      <c r="K3" s="12">
        <f t="shared" si="3"/>
        <v>5.6596674</v>
      </c>
    </row>
    <row r="4" spans="1:12" ht="14.25" x14ac:dyDescent="0.2">
      <c r="A4" s="12" t="s">
        <v>861</v>
      </c>
      <c r="B4" s="20">
        <v>5202888230059</v>
      </c>
      <c r="C4" s="12">
        <v>2.29</v>
      </c>
      <c r="D4" s="12">
        <v>0.9</v>
      </c>
      <c r="E4" s="12">
        <f t="shared" si="0"/>
        <v>3.19</v>
      </c>
      <c r="F4" s="12">
        <v>1.24</v>
      </c>
      <c r="G4" s="12">
        <f t="shared" si="1"/>
        <v>3.9556</v>
      </c>
      <c r="H4" s="12">
        <v>1.1214999999999999</v>
      </c>
      <c r="I4" s="12">
        <f t="shared" si="2"/>
        <v>4.4362053999999995</v>
      </c>
      <c r="J4" s="12">
        <v>0.25</v>
      </c>
      <c r="K4" s="12">
        <f t="shared" si="3"/>
        <v>4.6862053999999995</v>
      </c>
    </row>
    <row r="5" spans="1:12" ht="14.25" x14ac:dyDescent="0.2">
      <c r="A5" s="12" t="s">
        <v>862</v>
      </c>
      <c r="B5" s="20">
        <v>5202888228377</v>
      </c>
      <c r="C5" s="12">
        <v>7.37</v>
      </c>
      <c r="D5" s="12">
        <v>0.9</v>
      </c>
      <c r="E5" s="12">
        <f t="shared" si="0"/>
        <v>8.27</v>
      </c>
      <c r="F5" s="12">
        <v>1.24</v>
      </c>
      <c r="G5" s="12">
        <f t="shared" si="1"/>
        <v>10.254799999999999</v>
      </c>
      <c r="H5" s="12">
        <v>1.1214999999999999</v>
      </c>
      <c r="I5" s="12">
        <f t="shared" si="2"/>
        <v>11.500758199999998</v>
      </c>
      <c r="J5" s="12">
        <v>0.74</v>
      </c>
      <c r="K5" s="12">
        <f t="shared" si="3"/>
        <v>12.240758199999998</v>
      </c>
    </row>
    <row r="6" spans="1:12" ht="14.25" x14ac:dyDescent="0.2">
      <c r="A6" s="12" t="s">
        <v>863</v>
      </c>
      <c r="B6" s="20">
        <v>5202888271694</v>
      </c>
      <c r="C6" s="12">
        <v>13.27</v>
      </c>
      <c r="D6" s="12">
        <v>0.9</v>
      </c>
      <c r="E6" s="12">
        <f t="shared" si="0"/>
        <v>14.17</v>
      </c>
      <c r="F6" s="12">
        <v>1.24</v>
      </c>
      <c r="G6" s="12">
        <f t="shared" si="1"/>
        <v>17.570799999999998</v>
      </c>
      <c r="H6" s="12">
        <v>1.1214999999999999</v>
      </c>
      <c r="I6" s="12">
        <f t="shared" si="2"/>
        <v>19.705652199999996</v>
      </c>
      <c r="J6" s="12">
        <v>0.74</v>
      </c>
      <c r="K6" s="12">
        <f t="shared" si="3"/>
        <v>20.445652199999994</v>
      </c>
    </row>
    <row r="7" spans="1:12" ht="14.25" x14ac:dyDescent="0.2">
      <c r="A7" s="12" t="s">
        <v>864</v>
      </c>
      <c r="B7" s="20">
        <v>5202888271700</v>
      </c>
      <c r="C7" s="12">
        <v>13.27</v>
      </c>
      <c r="D7" s="12">
        <v>0.9</v>
      </c>
      <c r="E7" s="12">
        <f t="shared" si="0"/>
        <v>14.17</v>
      </c>
      <c r="F7" s="12">
        <v>1.24</v>
      </c>
      <c r="G7" s="12">
        <f t="shared" si="1"/>
        <v>17.570799999999998</v>
      </c>
      <c r="H7" s="12">
        <v>1.1214999999999999</v>
      </c>
      <c r="I7" s="12">
        <f t="shared" si="2"/>
        <v>19.705652199999996</v>
      </c>
      <c r="J7" s="12">
        <v>0.74</v>
      </c>
      <c r="K7" s="12">
        <f t="shared" si="3"/>
        <v>20.445652199999994</v>
      </c>
    </row>
    <row r="8" spans="1:12" ht="14.25" x14ac:dyDescent="0.2">
      <c r="A8" s="12" t="s">
        <v>865</v>
      </c>
      <c r="B8" s="20">
        <v>5202888100123</v>
      </c>
      <c r="C8" s="12">
        <v>8.24</v>
      </c>
      <c r="D8" s="12">
        <v>0.9</v>
      </c>
      <c r="E8" s="12">
        <f t="shared" si="0"/>
        <v>9.14</v>
      </c>
      <c r="F8" s="12">
        <v>1.06</v>
      </c>
      <c r="G8" s="12">
        <f t="shared" si="1"/>
        <v>9.6884000000000015</v>
      </c>
      <c r="H8" s="12">
        <v>1.1214999999999999</v>
      </c>
      <c r="I8" s="12">
        <f t="shared" si="2"/>
        <v>10.865540600000001</v>
      </c>
      <c r="J8" s="12">
        <v>0.74</v>
      </c>
      <c r="K8" s="12">
        <f t="shared" si="3"/>
        <v>11.605540600000001</v>
      </c>
    </row>
    <row r="9" spans="1:12" ht="14.25" x14ac:dyDescent="0.2">
      <c r="A9" s="12" t="s">
        <v>866</v>
      </c>
      <c r="B9" s="20">
        <v>5202888222351</v>
      </c>
      <c r="C9" s="12">
        <v>12.59</v>
      </c>
      <c r="D9" s="12">
        <v>0.9</v>
      </c>
      <c r="E9" s="12">
        <f t="shared" si="0"/>
        <v>13.49</v>
      </c>
      <c r="F9" s="12">
        <v>1.24</v>
      </c>
      <c r="G9" s="12">
        <f t="shared" si="1"/>
        <v>16.727599999999999</v>
      </c>
      <c r="H9" s="12">
        <v>1.1214999999999999</v>
      </c>
      <c r="I9" s="12">
        <f t="shared" si="2"/>
        <v>18.760003399999999</v>
      </c>
      <c r="J9" s="12">
        <v>0.74</v>
      </c>
      <c r="K9" s="12">
        <f t="shared" si="3"/>
        <v>19.500003399999997</v>
      </c>
    </row>
    <row r="10" spans="1:12" ht="14.25" x14ac:dyDescent="0.2">
      <c r="A10" s="12" t="s">
        <v>867</v>
      </c>
      <c r="B10" s="20">
        <v>5202888102516</v>
      </c>
      <c r="C10" s="12">
        <v>10.48</v>
      </c>
      <c r="D10" s="12">
        <v>0.9</v>
      </c>
      <c r="E10" s="12">
        <f t="shared" si="0"/>
        <v>11.38</v>
      </c>
      <c r="F10" s="12">
        <v>1.24</v>
      </c>
      <c r="G10" s="12">
        <f t="shared" si="1"/>
        <v>14.1112</v>
      </c>
      <c r="H10" s="12">
        <v>1.1214999999999999</v>
      </c>
      <c r="I10" s="12">
        <f t="shared" si="2"/>
        <v>15.8257108</v>
      </c>
      <c r="J10" s="12">
        <v>0.74</v>
      </c>
      <c r="K10" s="12">
        <f t="shared" si="3"/>
        <v>16.565710799999998</v>
      </c>
    </row>
    <row r="11" spans="1:12" ht="14.25" x14ac:dyDescent="0.2">
      <c r="A11" s="12" t="s">
        <v>868</v>
      </c>
      <c r="B11" s="20">
        <v>5202888222399</v>
      </c>
      <c r="C11" s="12">
        <v>12.79</v>
      </c>
      <c r="D11" s="12">
        <v>0.9</v>
      </c>
      <c r="E11" s="12">
        <f t="shared" si="0"/>
        <v>13.69</v>
      </c>
      <c r="F11" s="12">
        <v>1.24</v>
      </c>
      <c r="G11" s="12">
        <f t="shared" si="1"/>
        <v>16.9756</v>
      </c>
      <c r="H11" s="12">
        <v>1.1214999999999999</v>
      </c>
      <c r="I11" s="12">
        <f t="shared" si="2"/>
        <v>19.038135399999998</v>
      </c>
      <c r="J11" s="12">
        <v>0.74</v>
      </c>
      <c r="K11" s="12">
        <f t="shared" si="3"/>
        <v>19.778135399999996</v>
      </c>
    </row>
    <row r="12" spans="1:12" ht="14.25" x14ac:dyDescent="0.2">
      <c r="A12" s="12" t="s">
        <v>869</v>
      </c>
      <c r="B12" s="20">
        <v>5202888222306</v>
      </c>
      <c r="C12" s="12">
        <v>10.41</v>
      </c>
      <c r="D12" s="12">
        <v>0.9</v>
      </c>
      <c r="E12" s="12">
        <f t="shared" si="0"/>
        <v>11.31</v>
      </c>
      <c r="F12" s="12">
        <v>1.24</v>
      </c>
      <c r="G12" s="12">
        <f t="shared" si="1"/>
        <v>14.0244</v>
      </c>
      <c r="H12" s="12">
        <v>1.1214999999999999</v>
      </c>
      <c r="I12" s="12">
        <f t="shared" si="2"/>
        <v>15.728364599999999</v>
      </c>
      <c r="J12" s="12">
        <v>0.74</v>
      </c>
      <c r="K12" s="12">
        <f t="shared" si="3"/>
        <v>16.468364599999997</v>
      </c>
      <c r="L12" s="12">
        <v>16.670000000000002</v>
      </c>
    </row>
    <row r="13" spans="1:12" ht="14.25" x14ac:dyDescent="0.2">
      <c r="A13" s="12" t="s">
        <v>870</v>
      </c>
      <c r="B13" s="20">
        <v>5202888222979</v>
      </c>
      <c r="C13" s="12">
        <v>11.9</v>
      </c>
      <c r="D13" s="12">
        <v>0.9</v>
      </c>
      <c r="E13" s="12">
        <f t="shared" si="0"/>
        <v>12.8</v>
      </c>
      <c r="F13" s="12">
        <v>1.24</v>
      </c>
      <c r="G13" s="12">
        <f t="shared" si="1"/>
        <v>15.872</v>
      </c>
      <c r="H13" s="12">
        <v>1.1214999999999999</v>
      </c>
      <c r="I13" s="12">
        <f t="shared" si="2"/>
        <v>17.800447999999999</v>
      </c>
      <c r="J13" s="12">
        <v>0.74</v>
      </c>
      <c r="K13" s="12">
        <f t="shared" si="3"/>
        <v>18.540447999999998</v>
      </c>
    </row>
    <row r="14" spans="1:12" ht="14.25" x14ac:dyDescent="0.2">
      <c r="A14" s="12" t="s">
        <v>871</v>
      </c>
      <c r="B14" s="20">
        <v>5202888400049</v>
      </c>
      <c r="C14" s="12">
        <v>11.46</v>
      </c>
      <c r="D14" s="12">
        <v>0.9</v>
      </c>
      <c r="E14" s="12">
        <f t="shared" si="0"/>
        <v>12.360000000000001</v>
      </c>
      <c r="F14" s="12">
        <v>1.24</v>
      </c>
      <c r="G14" s="12">
        <f t="shared" si="1"/>
        <v>15.326400000000001</v>
      </c>
      <c r="H14" s="12">
        <v>1.1214999999999999</v>
      </c>
      <c r="I14" s="12">
        <f t="shared" si="2"/>
        <v>17.188557599999999</v>
      </c>
      <c r="J14" s="12">
        <v>0.74</v>
      </c>
      <c r="K14" s="12">
        <f t="shared" si="3"/>
        <v>17.928557599999998</v>
      </c>
    </row>
    <row r="15" spans="1:12" ht="14.25" x14ac:dyDescent="0.2">
      <c r="A15" s="12" t="s">
        <v>872</v>
      </c>
      <c r="B15" s="20">
        <v>5202888222467</v>
      </c>
      <c r="C15" s="12">
        <v>10.66</v>
      </c>
      <c r="D15" s="12">
        <v>0.9</v>
      </c>
      <c r="E15" s="12">
        <f t="shared" si="0"/>
        <v>11.56</v>
      </c>
      <c r="F15" s="12">
        <v>1.24</v>
      </c>
      <c r="G15" s="12">
        <f t="shared" si="1"/>
        <v>14.3344</v>
      </c>
      <c r="H15" s="12">
        <v>1.1214999999999999</v>
      </c>
      <c r="I15" s="12">
        <f t="shared" si="2"/>
        <v>16.076029599999998</v>
      </c>
      <c r="J15" s="12">
        <v>0.74</v>
      </c>
      <c r="K15" s="12">
        <f t="shared" si="3"/>
        <v>16.816029599999997</v>
      </c>
    </row>
    <row r="16" spans="1:12" ht="14.25" x14ac:dyDescent="0.2">
      <c r="A16" s="12" t="s">
        <v>873</v>
      </c>
      <c r="B16" s="20">
        <v>5202888222290</v>
      </c>
      <c r="C16" s="12">
        <v>10.89</v>
      </c>
      <c r="D16" s="12">
        <v>0.9</v>
      </c>
      <c r="E16" s="12">
        <f t="shared" si="0"/>
        <v>11.790000000000001</v>
      </c>
      <c r="F16" s="12">
        <v>1.24</v>
      </c>
      <c r="G16" s="12">
        <f t="shared" si="1"/>
        <v>14.619600000000002</v>
      </c>
      <c r="H16" s="12">
        <v>1.1214999999999999</v>
      </c>
      <c r="I16" s="12">
        <f t="shared" si="2"/>
        <v>16.3958814</v>
      </c>
      <c r="J16" s="12">
        <v>0.74</v>
      </c>
      <c r="K16" s="12">
        <f t="shared" si="3"/>
        <v>17.135881399999999</v>
      </c>
      <c r="L16" s="12">
        <v>17.77</v>
      </c>
    </row>
    <row r="17" spans="1:29" ht="14.25" x14ac:dyDescent="0.2">
      <c r="A17" s="12" t="s">
        <v>874</v>
      </c>
      <c r="B17" s="20">
        <v>5202888222375</v>
      </c>
      <c r="C17" s="12">
        <v>10.17</v>
      </c>
      <c r="D17" s="12">
        <v>0.3</v>
      </c>
      <c r="E17" s="12">
        <f t="shared" si="0"/>
        <v>10.47</v>
      </c>
      <c r="F17" s="12">
        <v>1.24</v>
      </c>
      <c r="G17" s="12">
        <f t="shared" si="1"/>
        <v>12.982800000000001</v>
      </c>
      <c r="H17" s="12">
        <v>1.1214999999999999</v>
      </c>
      <c r="I17" s="12">
        <f t="shared" si="2"/>
        <v>14.5602102</v>
      </c>
      <c r="J17" s="12">
        <v>0.74</v>
      </c>
      <c r="K17" s="12">
        <f t="shared" si="3"/>
        <v>15.3002102</v>
      </c>
    </row>
    <row r="18" spans="1:29" ht="14.25" x14ac:dyDescent="0.2">
      <c r="A18" s="12" t="s">
        <v>875</v>
      </c>
      <c r="B18" s="20">
        <v>5202888010996</v>
      </c>
      <c r="C18" s="12">
        <v>7.22</v>
      </c>
      <c r="D18" s="12">
        <v>0.9</v>
      </c>
      <c r="E18" s="12">
        <f t="shared" si="0"/>
        <v>8.1199999999999992</v>
      </c>
      <c r="F18" s="12">
        <v>1.24</v>
      </c>
      <c r="G18" s="12">
        <f t="shared" si="1"/>
        <v>10.0688</v>
      </c>
      <c r="H18" s="12">
        <v>1.1214999999999999</v>
      </c>
      <c r="I18" s="12">
        <f t="shared" si="2"/>
        <v>11.292159199999999</v>
      </c>
      <c r="J18" s="12">
        <v>0.74</v>
      </c>
      <c r="K18" s="12">
        <f t="shared" si="3"/>
        <v>12.032159199999999</v>
      </c>
    </row>
    <row r="19" spans="1:29" ht="14.25" x14ac:dyDescent="0.2">
      <c r="A19" s="12" t="s">
        <v>876</v>
      </c>
      <c r="B19" s="20">
        <v>5202888224300</v>
      </c>
      <c r="C19" s="12">
        <v>7.2</v>
      </c>
      <c r="D19" s="12">
        <v>0.9</v>
      </c>
      <c r="E19" s="12">
        <f t="shared" si="0"/>
        <v>8.1</v>
      </c>
      <c r="F19" s="12">
        <v>1.24</v>
      </c>
      <c r="G19" s="12">
        <f t="shared" si="1"/>
        <v>10.043999999999999</v>
      </c>
      <c r="H19" s="12">
        <v>1.1214999999999999</v>
      </c>
      <c r="I19" s="12">
        <f t="shared" si="2"/>
        <v>11.264345999999998</v>
      </c>
      <c r="J19" s="12">
        <v>0.74</v>
      </c>
      <c r="K19" s="12">
        <f t="shared" si="3"/>
        <v>12.004345999999998</v>
      </c>
    </row>
    <row r="20" spans="1:29" ht="14.25" x14ac:dyDescent="0.2">
      <c r="A20" s="12" t="s">
        <v>877</v>
      </c>
      <c r="B20" s="20">
        <v>5202888224348</v>
      </c>
      <c r="C20" s="12">
        <v>6.33</v>
      </c>
      <c r="D20" s="12">
        <v>0.9</v>
      </c>
      <c r="E20" s="12">
        <f t="shared" si="0"/>
        <v>7.23</v>
      </c>
      <c r="F20" s="12">
        <v>1.24</v>
      </c>
      <c r="G20" s="12">
        <f t="shared" si="1"/>
        <v>8.9652000000000012</v>
      </c>
      <c r="H20" s="12">
        <v>1.1214999999999999</v>
      </c>
      <c r="I20" s="12">
        <f t="shared" si="2"/>
        <v>10.0544718</v>
      </c>
      <c r="J20" s="12">
        <v>0.74</v>
      </c>
      <c r="K20" s="12">
        <f t="shared" si="3"/>
        <v>10.7944718</v>
      </c>
    </row>
    <row r="21" spans="1:29" ht="14.25" x14ac:dyDescent="0.2">
      <c r="A21" s="12" t="s">
        <v>878</v>
      </c>
      <c r="B21" s="20">
        <v>5202888010989</v>
      </c>
      <c r="C21" s="12">
        <v>5.05</v>
      </c>
      <c r="D21" s="12">
        <v>0.3</v>
      </c>
      <c r="E21" s="12">
        <f t="shared" si="0"/>
        <v>5.35</v>
      </c>
      <c r="F21" s="12">
        <v>1.24</v>
      </c>
      <c r="G21" s="12">
        <f t="shared" si="1"/>
        <v>6.6339999999999995</v>
      </c>
      <c r="H21" s="12">
        <v>1.1214999999999999</v>
      </c>
      <c r="I21" s="12">
        <f t="shared" si="2"/>
        <v>7.4400309999999994</v>
      </c>
      <c r="J21" s="12">
        <v>0.41</v>
      </c>
      <c r="K21" s="12">
        <f t="shared" si="3"/>
        <v>7.8500309999999995</v>
      </c>
    </row>
    <row r="22" spans="1:29" ht="14.25" x14ac:dyDescent="0.2">
      <c r="A22" s="12" t="s">
        <v>879</v>
      </c>
      <c r="B22" s="20">
        <v>5202888224263</v>
      </c>
      <c r="C22" s="12">
        <v>3.63</v>
      </c>
      <c r="D22" s="39">
        <v>0.4</v>
      </c>
      <c r="E22" s="12">
        <f t="shared" si="0"/>
        <v>4.03</v>
      </c>
      <c r="F22" s="12">
        <v>1.24</v>
      </c>
      <c r="G22" s="12">
        <f t="shared" si="1"/>
        <v>4.9972000000000003</v>
      </c>
      <c r="H22" s="12">
        <v>1.1214999999999999</v>
      </c>
      <c r="I22" s="12">
        <f t="shared" si="2"/>
        <v>5.6043598000000001</v>
      </c>
      <c r="J22" s="12">
        <v>0.25</v>
      </c>
      <c r="K22" s="12">
        <f t="shared" si="3"/>
        <v>5.8543598000000001</v>
      </c>
    </row>
    <row r="23" spans="1:29" ht="14.25" x14ac:dyDescent="0.2">
      <c r="A23" s="12" t="s">
        <v>880</v>
      </c>
      <c r="B23" s="20">
        <v>5202888224324</v>
      </c>
      <c r="C23" s="12">
        <v>5.68</v>
      </c>
      <c r="D23" s="12">
        <v>0.9</v>
      </c>
      <c r="E23" s="12">
        <f t="shared" si="0"/>
        <v>6.58</v>
      </c>
      <c r="F23" s="12">
        <v>1.24</v>
      </c>
      <c r="G23" s="12">
        <f t="shared" si="1"/>
        <v>8.1592000000000002</v>
      </c>
      <c r="H23" s="12">
        <v>1.1214999999999999</v>
      </c>
      <c r="I23" s="12">
        <f t="shared" si="2"/>
        <v>9.1505428000000002</v>
      </c>
      <c r="J23" s="12">
        <v>0.74</v>
      </c>
      <c r="K23" s="12">
        <f t="shared" si="3"/>
        <v>9.8905428000000004</v>
      </c>
    </row>
    <row r="24" spans="1:29" ht="14.25" x14ac:dyDescent="0.2">
      <c r="A24" s="13" t="s">
        <v>881</v>
      </c>
      <c r="B24" s="14">
        <v>5202888222443</v>
      </c>
      <c r="C24" s="15">
        <v>7.7</v>
      </c>
      <c r="D24" s="15">
        <v>0.9</v>
      </c>
      <c r="E24" s="15">
        <f t="shared" si="0"/>
        <v>8.6</v>
      </c>
      <c r="F24" s="15">
        <v>1.24</v>
      </c>
      <c r="G24" s="15">
        <f t="shared" si="1"/>
        <v>10.664</v>
      </c>
      <c r="H24" s="15">
        <v>1.1214999999999999</v>
      </c>
      <c r="I24" s="15">
        <f t="shared" si="2"/>
        <v>11.959675999999998</v>
      </c>
      <c r="J24" s="15">
        <v>0.74</v>
      </c>
      <c r="K24" s="15">
        <f t="shared" si="3"/>
        <v>12.699675999999998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spans="1:29" ht="14.25" x14ac:dyDescent="0.2">
      <c r="A25" s="13" t="s">
        <v>882</v>
      </c>
      <c r="B25" s="14">
        <v>5202888222450</v>
      </c>
      <c r="C25" s="15">
        <v>11.35</v>
      </c>
      <c r="D25" s="15">
        <v>0.9</v>
      </c>
      <c r="E25" s="15">
        <f t="shared" si="0"/>
        <v>12.25</v>
      </c>
      <c r="F25" s="15">
        <v>1.24</v>
      </c>
      <c r="G25" s="15">
        <f t="shared" si="1"/>
        <v>15.19</v>
      </c>
      <c r="H25" s="15">
        <v>1.1214999999999999</v>
      </c>
      <c r="I25" s="15">
        <f t="shared" si="2"/>
        <v>17.035584999999998</v>
      </c>
      <c r="J25" s="15">
        <v>0.74</v>
      </c>
      <c r="K25" s="15">
        <f t="shared" si="3"/>
        <v>17.775584999999996</v>
      </c>
      <c r="L25" s="15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spans="1:29" ht="14.25" x14ac:dyDescent="0.2">
      <c r="A26" s="13" t="s">
        <v>883</v>
      </c>
      <c r="B26" s="14">
        <v>5202888400094</v>
      </c>
      <c r="C26" s="15">
        <v>10.18</v>
      </c>
      <c r="D26" s="15">
        <v>0.6</v>
      </c>
      <c r="E26" s="15">
        <f t="shared" si="0"/>
        <v>10.78</v>
      </c>
      <c r="F26" s="15">
        <v>1.24</v>
      </c>
      <c r="G26" s="15">
        <f t="shared" si="1"/>
        <v>13.367199999999999</v>
      </c>
      <c r="H26" s="15">
        <v>1.1214999999999999</v>
      </c>
      <c r="I26" s="15">
        <f t="shared" si="2"/>
        <v>14.991314799999998</v>
      </c>
      <c r="J26" s="15">
        <v>0.74</v>
      </c>
      <c r="K26" s="15">
        <f t="shared" si="3"/>
        <v>15.731314799999998</v>
      </c>
      <c r="L26" s="15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 spans="1:29" ht="14.25" x14ac:dyDescent="0.2">
      <c r="A27" s="13" t="s">
        <v>884</v>
      </c>
      <c r="B27" s="14">
        <v>5202888281020</v>
      </c>
      <c r="C27" s="15">
        <v>2.85</v>
      </c>
      <c r="D27" s="40">
        <v>0.3</v>
      </c>
      <c r="E27" s="15">
        <f t="shared" si="0"/>
        <v>3.15</v>
      </c>
      <c r="F27" s="15">
        <v>1.24</v>
      </c>
      <c r="G27" s="15">
        <f t="shared" si="1"/>
        <v>3.9059999999999997</v>
      </c>
      <c r="H27" s="15">
        <v>1.1214999999999999</v>
      </c>
      <c r="I27" s="15">
        <f t="shared" si="2"/>
        <v>4.3805789999999991</v>
      </c>
      <c r="J27" s="15">
        <v>0.25</v>
      </c>
      <c r="K27" s="15">
        <f t="shared" si="3"/>
        <v>4.6305789999999991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spans="1:29" ht="14.25" x14ac:dyDescent="0.2">
      <c r="A28" s="13" t="s">
        <v>885</v>
      </c>
      <c r="B28" s="14">
        <v>5202888281112</v>
      </c>
      <c r="C28" s="15">
        <v>3.92</v>
      </c>
      <c r="D28" s="15">
        <v>0.9</v>
      </c>
      <c r="E28" s="15">
        <f t="shared" si="0"/>
        <v>4.82</v>
      </c>
      <c r="F28" s="15">
        <v>1.24</v>
      </c>
      <c r="G28" s="15">
        <f t="shared" si="1"/>
        <v>5.9767999999999999</v>
      </c>
      <c r="H28" s="15">
        <v>1.1214999999999999</v>
      </c>
      <c r="I28" s="15">
        <f t="shared" si="2"/>
        <v>6.7029811999999991</v>
      </c>
      <c r="J28" s="15">
        <v>0.25</v>
      </c>
      <c r="K28" s="15">
        <f t="shared" si="3"/>
        <v>6.9529811999999991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spans="1:29" ht="14.25" x14ac:dyDescent="0.2">
      <c r="A29" s="6" t="s">
        <v>886</v>
      </c>
      <c r="B29" s="14" t="s">
        <v>887</v>
      </c>
      <c r="C29" s="15">
        <v>3.22</v>
      </c>
      <c r="D29" s="15">
        <v>0.9</v>
      </c>
      <c r="E29" s="15">
        <f t="shared" si="0"/>
        <v>4.12</v>
      </c>
      <c r="F29" s="15">
        <v>1.24</v>
      </c>
      <c r="G29" s="15">
        <f t="shared" si="1"/>
        <v>5.1088000000000005</v>
      </c>
      <c r="H29" s="15">
        <v>1.1214999999999999</v>
      </c>
      <c r="I29" s="15">
        <f t="shared" si="2"/>
        <v>5.7295192000000004</v>
      </c>
      <c r="J29" s="15">
        <v>0.25</v>
      </c>
      <c r="K29" s="15">
        <f t="shared" si="3"/>
        <v>5.9795192000000004</v>
      </c>
      <c r="L29" s="15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spans="1:29" ht="14.25" x14ac:dyDescent="0.2">
      <c r="A30" s="6" t="s">
        <v>888</v>
      </c>
      <c r="B30" s="14" t="s">
        <v>889</v>
      </c>
      <c r="C30" s="15">
        <v>3.42</v>
      </c>
      <c r="D30" s="15">
        <v>0.3</v>
      </c>
      <c r="E30" s="15">
        <f t="shared" si="0"/>
        <v>3.7199999999999998</v>
      </c>
      <c r="F30" s="15">
        <v>1.24</v>
      </c>
      <c r="G30" s="15">
        <f t="shared" si="1"/>
        <v>4.6128</v>
      </c>
      <c r="H30" s="15">
        <v>1.1214999999999999</v>
      </c>
      <c r="I30" s="15">
        <f t="shared" si="2"/>
        <v>5.1732551999999998</v>
      </c>
      <c r="J30" s="15">
        <v>0.25</v>
      </c>
      <c r="K30" s="15">
        <f t="shared" si="3"/>
        <v>5.4232551999999998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spans="1:29" ht="14.25" x14ac:dyDescent="0.2">
      <c r="A31" s="6" t="s">
        <v>890</v>
      </c>
      <c r="B31" s="14" t="s">
        <v>891</v>
      </c>
      <c r="C31" s="15">
        <v>2.77</v>
      </c>
      <c r="D31" s="15">
        <v>0.9</v>
      </c>
      <c r="E31" s="15">
        <f t="shared" si="0"/>
        <v>3.67</v>
      </c>
      <c r="F31" s="15">
        <v>1.24</v>
      </c>
      <c r="G31" s="15">
        <f t="shared" si="1"/>
        <v>4.5507999999999997</v>
      </c>
      <c r="H31" s="15">
        <v>1.1214999999999999</v>
      </c>
      <c r="I31" s="15">
        <f t="shared" si="2"/>
        <v>5.1037221999999991</v>
      </c>
      <c r="J31" s="15">
        <v>0.25</v>
      </c>
      <c r="K31" s="15">
        <f t="shared" si="3"/>
        <v>5.3537221999999991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 spans="1:29" ht="14.25" x14ac:dyDescent="0.2">
      <c r="A32" s="13" t="s">
        <v>892</v>
      </c>
      <c r="B32" s="14">
        <v>5202888230127</v>
      </c>
      <c r="C32" s="15">
        <v>2.61</v>
      </c>
      <c r="D32" s="15">
        <v>0.9</v>
      </c>
      <c r="E32" s="15">
        <f t="shared" si="0"/>
        <v>3.51</v>
      </c>
      <c r="F32" s="15">
        <v>1.24</v>
      </c>
      <c r="G32" s="15">
        <f t="shared" si="1"/>
        <v>4.3523999999999994</v>
      </c>
      <c r="H32" s="15">
        <v>1.1214999999999999</v>
      </c>
      <c r="I32" s="15">
        <f t="shared" si="2"/>
        <v>4.8812165999999992</v>
      </c>
      <c r="J32" s="15">
        <v>0.25</v>
      </c>
      <c r="K32" s="15">
        <f t="shared" si="3"/>
        <v>5.1312165999999992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spans="1:29" ht="14.25" x14ac:dyDescent="0.2">
      <c r="A33" s="13" t="s">
        <v>893</v>
      </c>
      <c r="B33" s="14">
        <v>5202888106194</v>
      </c>
      <c r="C33" s="15">
        <v>10.199999999999999</v>
      </c>
      <c r="D33" s="15">
        <v>0.9</v>
      </c>
      <c r="E33" s="15">
        <f t="shared" si="0"/>
        <v>11.1</v>
      </c>
      <c r="F33" s="15">
        <v>1.24</v>
      </c>
      <c r="G33" s="15">
        <f t="shared" si="1"/>
        <v>13.763999999999999</v>
      </c>
      <c r="H33" s="15">
        <v>1.1214999999999999</v>
      </c>
      <c r="I33" s="15">
        <f t="shared" si="2"/>
        <v>15.436325999999999</v>
      </c>
      <c r="J33" s="15">
        <v>0.74</v>
      </c>
      <c r="K33" s="15">
        <f t="shared" si="3"/>
        <v>16.176326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 spans="1:29" ht="14.25" x14ac:dyDescent="0.2">
      <c r="A34" s="41" t="s">
        <v>894</v>
      </c>
      <c r="B34" s="42">
        <v>5202888105012</v>
      </c>
      <c r="C34" s="15">
        <v>8.27</v>
      </c>
      <c r="D34" s="15">
        <v>0.5</v>
      </c>
      <c r="E34" s="15">
        <f t="shared" si="0"/>
        <v>8.77</v>
      </c>
      <c r="F34" s="15">
        <v>1.24</v>
      </c>
      <c r="G34" s="15">
        <f t="shared" si="1"/>
        <v>10.874799999999999</v>
      </c>
      <c r="H34" s="15">
        <v>1.1214999999999999</v>
      </c>
      <c r="I34" s="15">
        <f t="shared" si="2"/>
        <v>12.196088199999998</v>
      </c>
      <c r="J34" s="15">
        <v>0.74</v>
      </c>
      <c r="K34" s="15">
        <f t="shared" si="3"/>
        <v>12.936088199999999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 spans="1:29" ht="14.25" x14ac:dyDescent="0.2">
      <c r="A35" s="13" t="s">
        <v>895</v>
      </c>
      <c r="B35" s="14">
        <v>5202888105173</v>
      </c>
      <c r="C35" s="15">
        <v>6.39</v>
      </c>
      <c r="D35" s="15">
        <v>0.5</v>
      </c>
      <c r="E35" s="15">
        <f t="shared" si="0"/>
        <v>6.89</v>
      </c>
      <c r="F35" s="15">
        <v>1.24</v>
      </c>
      <c r="G35" s="15">
        <f t="shared" si="1"/>
        <v>8.5435999999999996</v>
      </c>
      <c r="H35" s="15">
        <v>1.1214999999999999</v>
      </c>
      <c r="I35" s="15">
        <f t="shared" si="2"/>
        <v>9.5816473999999996</v>
      </c>
      <c r="J35" s="15">
        <v>0.74</v>
      </c>
      <c r="K35" s="15">
        <f t="shared" si="3"/>
        <v>10.3216474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 spans="1:29" ht="14.25" x14ac:dyDescent="0.2">
      <c r="A36" s="13" t="s">
        <v>896</v>
      </c>
      <c r="B36" s="14">
        <v>5202888105005</v>
      </c>
      <c r="C36" s="15">
        <v>7.35</v>
      </c>
      <c r="D36" s="15">
        <v>0.5</v>
      </c>
      <c r="E36" s="15">
        <f t="shared" si="0"/>
        <v>7.85</v>
      </c>
      <c r="F36" s="15">
        <v>1.24</v>
      </c>
      <c r="G36" s="15">
        <f t="shared" si="1"/>
        <v>9.734</v>
      </c>
      <c r="H36" s="15">
        <v>1.1214999999999999</v>
      </c>
      <c r="I36" s="15">
        <f t="shared" si="2"/>
        <v>10.916680999999999</v>
      </c>
      <c r="J36" s="15">
        <v>0.74</v>
      </c>
      <c r="K36" s="15">
        <f t="shared" si="3"/>
        <v>11.656680999999999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 spans="1:29" ht="14.25" x14ac:dyDescent="0.2">
      <c r="A37" s="13" t="s">
        <v>897</v>
      </c>
      <c r="B37" s="14">
        <v>5202888271120</v>
      </c>
      <c r="C37" s="15">
        <v>13.16</v>
      </c>
      <c r="D37" s="15">
        <v>0.9</v>
      </c>
      <c r="E37" s="15">
        <f t="shared" si="0"/>
        <v>14.06</v>
      </c>
      <c r="F37" s="15">
        <v>1.24</v>
      </c>
      <c r="G37" s="15">
        <f t="shared" si="1"/>
        <v>17.4344</v>
      </c>
      <c r="H37" s="15">
        <v>1.1214999999999999</v>
      </c>
      <c r="I37" s="15">
        <f t="shared" si="2"/>
        <v>19.552679599999998</v>
      </c>
      <c r="J37" s="15">
        <v>0.74</v>
      </c>
      <c r="K37" s="15">
        <f t="shared" si="3"/>
        <v>20.292679599999996</v>
      </c>
      <c r="L37" s="15">
        <v>20.39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 spans="1:29" ht="14.25" x14ac:dyDescent="0.2">
      <c r="A38" s="13" t="s">
        <v>898</v>
      </c>
      <c r="B38" s="14">
        <v>5202888224355</v>
      </c>
      <c r="C38" s="15">
        <v>5.9</v>
      </c>
      <c r="D38" s="15">
        <v>0.9</v>
      </c>
      <c r="E38" s="15">
        <f t="shared" si="0"/>
        <v>6.8000000000000007</v>
      </c>
      <c r="F38" s="15">
        <v>1.24</v>
      </c>
      <c r="G38" s="15">
        <f t="shared" si="1"/>
        <v>8.4320000000000004</v>
      </c>
      <c r="H38" s="15">
        <v>1.1214999999999999</v>
      </c>
      <c r="I38" s="15">
        <f t="shared" si="2"/>
        <v>9.4564880000000002</v>
      </c>
      <c r="J38" s="15">
        <v>0.74</v>
      </c>
      <c r="K38" s="15">
        <f t="shared" si="3"/>
        <v>10.196488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 spans="1:29" ht="14.25" x14ac:dyDescent="0.2">
      <c r="A39" s="13" t="s">
        <v>899</v>
      </c>
      <c r="B39" s="14">
        <v>5202888281068</v>
      </c>
      <c r="C39" s="15">
        <v>2.86</v>
      </c>
      <c r="D39" s="15">
        <v>0.9</v>
      </c>
      <c r="E39" s="15">
        <f t="shared" si="0"/>
        <v>3.76</v>
      </c>
      <c r="F39" s="15">
        <v>1.24</v>
      </c>
      <c r="G39" s="15">
        <f t="shared" si="1"/>
        <v>4.6623999999999999</v>
      </c>
      <c r="H39" s="15">
        <v>1.1214999999999999</v>
      </c>
      <c r="I39" s="15">
        <f t="shared" si="2"/>
        <v>5.2288815999999994</v>
      </c>
      <c r="J39" s="15">
        <v>0.25</v>
      </c>
      <c r="K39" s="15">
        <f t="shared" si="3"/>
        <v>5.4788815999999994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 spans="1:29" ht="14.25" x14ac:dyDescent="0.2">
      <c r="A40" s="13" t="s">
        <v>900</v>
      </c>
      <c r="B40" s="14">
        <v>5202888106200</v>
      </c>
      <c r="C40" s="15">
        <v>10.86</v>
      </c>
      <c r="D40" s="15">
        <v>0.9</v>
      </c>
      <c r="E40" s="15">
        <f t="shared" si="0"/>
        <v>11.76</v>
      </c>
      <c r="F40" s="15">
        <v>1.24</v>
      </c>
      <c r="G40" s="15">
        <f t="shared" si="1"/>
        <v>14.5824</v>
      </c>
      <c r="H40" s="15">
        <v>1.1214999999999999</v>
      </c>
      <c r="I40" s="15">
        <f t="shared" si="2"/>
        <v>16.354161599999998</v>
      </c>
      <c r="J40" s="15">
        <v>0.74</v>
      </c>
      <c r="K40" s="15">
        <f t="shared" si="3"/>
        <v>17.094161599999996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 spans="1:29" ht="14.25" x14ac:dyDescent="0.2">
      <c r="A41" s="13" t="s">
        <v>901</v>
      </c>
      <c r="B41" s="14">
        <v>5202888281044</v>
      </c>
      <c r="C41" s="15">
        <v>4.5199999999999996</v>
      </c>
      <c r="D41" s="15">
        <v>0.9</v>
      </c>
      <c r="E41" s="15">
        <f t="shared" si="0"/>
        <v>5.42</v>
      </c>
      <c r="F41" s="15">
        <v>1.24</v>
      </c>
      <c r="G41" s="15">
        <f t="shared" si="1"/>
        <v>6.7207999999999997</v>
      </c>
      <c r="H41" s="15">
        <v>1.1214999999999999</v>
      </c>
      <c r="I41" s="15">
        <f t="shared" si="2"/>
        <v>7.537377199999999</v>
      </c>
      <c r="J41" s="15">
        <v>0.73999999999999899</v>
      </c>
      <c r="K41" s="15">
        <f t="shared" si="3"/>
        <v>8.2773771999999983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 spans="1:29" ht="14.25" x14ac:dyDescent="0.2">
      <c r="A42" s="13" t="s">
        <v>902</v>
      </c>
      <c r="B42" s="14">
        <v>5202888282010</v>
      </c>
      <c r="C42" s="15">
        <v>5.01</v>
      </c>
      <c r="D42" s="15">
        <v>0.9</v>
      </c>
      <c r="E42" s="15">
        <f t="shared" si="0"/>
        <v>5.91</v>
      </c>
      <c r="F42" s="15">
        <v>1.24</v>
      </c>
      <c r="G42" s="15">
        <f t="shared" si="1"/>
        <v>7.3284000000000002</v>
      </c>
      <c r="H42" s="15">
        <v>1.1214999999999999</v>
      </c>
      <c r="I42" s="15">
        <f t="shared" si="2"/>
        <v>8.2188005999999998</v>
      </c>
      <c r="J42" s="15">
        <v>0.73999999999999899</v>
      </c>
      <c r="K42" s="15">
        <f t="shared" si="3"/>
        <v>8.9588005999999982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 spans="1:29" ht="14.25" x14ac:dyDescent="0.2">
      <c r="A43" s="13" t="s">
        <v>903</v>
      </c>
      <c r="B43" s="14">
        <v>5202888283000</v>
      </c>
      <c r="C43" s="15">
        <v>3.65</v>
      </c>
      <c r="D43" s="15">
        <v>0.9</v>
      </c>
      <c r="E43" s="15">
        <f t="shared" si="0"/>
        <v>4.55</v>
      </c>
      <c r="F43" s="15">
        <v>1.24</v>
      </c>
      <c r="G43" s="15">
        <f t="shared" si="1"/>
        <v>5.6419999999999995</v>
      </c>
      <c r="H43" s="15">
        <v>1.1214999999999999</v>
      </c>
      <c r="I43" s="15">
        <f t="shared" si="2"/>
        <v>6.3275029999999992</v>
      </c>
      <c r="J43" s="15">
        <v>0.25</v>
      </c>
      <c r="K43" s="15">
        <f t="shared" si="3"/>
        <v>6.5775029999999992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 spans="1:29" ht="14.25" x14ac:dyDescent="0.2">
      <c r="A44" s="13" t="s">
        <v>904</v>
      </c>
      <c r="B44" s="14">
        <v>5202888282102</v>
      </c>
      <c r="C44" s="15">
        <v>5.69</v>
      </c>
      <c r="D44" s="15">
        <v>0.9</v>
      </c>
      <c r="E44" s="15">
        <f t="shared" si="0"/>
        <v>6.5900000000000007</v>
      </c>
      <c r="F44" s="15">
        <v>1.24</v>
      </c>
      <c r="G44" s="15">
        <f t="shared" si="1"/>
        <v>8.1716000000000015</v>
      </c>
      <c r="H44" s="15">
        <v>1.1214999999999999</v>
      </c>
      <c r="I44" s="15">
        <f t="shared" si="2"/>
        <v>9.1644494000000005</v>
      </c>
      <c r="J44" s="15">
        <v>0.74</v>
      </c>
      <c r="K44" s="15">
        <f t="shared" si="3"/>
        <v>9.9044494000000007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 spans="1:29" ht="14.25" x14ac:dyDescent="0.2">
      <c r="A45" s="13" t="s">
        <v>905</v>
      </c>
      <c r="B45" s="14">
        <v>5202888283017</v>
      </c>
      <c r="C45" s="15">
        <v>4.67</v>
      </c>
      <c r="D45" s="15">
        <v>0.9</v>
      </c>
      <c r="E45" s="15">
        <f t="shared" si="0"/>
        <v>5.57</v>
      </c>
      <c r="F45" s="15">
        <v>1.24</v>
      </c>
      <c r="G45" s="15">
        <f t="shared" si="1"/>
        <v>6.9068000000000005</v>
      </c>
      <c r="H45" s="15">
        <v>1.1214999999999999</v>
      </c>
      <c r="I45" s="15">
        <f t="shared" si="2"/>
        <v>7.7459762000000003</v>
      </c>
      <c r="J45" s="15">
        <v>1.49</v>
      </c>
      <c r="K45" s="15">
        <f t="shared" si="3"/>
        <v>9.2359761999999996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 spans="1:29" ht="14.25" x14ac:dyDescent="0.2">
      <c r="A46" s="13" t="s">
        <v>906</v>
      </c>
      <c r="B46" s="14">
        <v>5202888331534</v>
      </c>
      <c r="C46" s="15">
        <v>15.02</v>
      </c>
      <c r="D46" s="15">
        <v>0.9</v>
      </c>
      <c r="E46" s="15">
        <f t="shared" si="0"/>
        <v>15.92</v>
      </c>
      <c r="F46" s="15">
        <v>1.24</v>
      </c>
      <c r="G46" s="15">
        <f t="shared" si="1"/>
        <v>19.7408</v>
      </c>
      <c r="H46" s="15">
        <v>1.1214999999999999</v>
      </c>
      <c r="I46" s="15">
        <f t="shared" si="2"/>
        <v>22.139307199999998</v>
      </c>
      <c r="J46" s="15">
        <v>0.73999999999999899</v>
      </c>
      <c r="K46" s="15">
        <f t="shared" si="3"/>
        <v>22.879307199999996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 spans="1:29" ht="14.25" x14ac:dyDescent="0.2">
      <c r="A47" s="13" t="s">
        <v>907</v>
      </c>
      <c r="B47" s="14">
        <v>5202888224270</v>
      </c>
      <c r="C47" s="15">
        <v>7.36</v>
      </c>
      <c r="D47" s="15">
        <v>0.9</v>
      </c>
      <c r="E47" s="15">
        <f t="shared" si="0"/>
        <v>8.26</v>
      </c>
      <c r="F47" s="15">
        <v>1.24</v>
      </c>
      <c r="G47" s="15">
        <f t="shared" si="1"/>
        <v>10.2424</v>
      </c>
      <c r="H47" s="15">
        <v>1.1214999999999999</v>
      </c>
      <c r="I47" s="15">
        <f t="shared" si="2"/>
        <v>11.4868516</v>
      </c>
      <c r="J47" s="15">
        <v>0.73999999999999899</v>
      </c>
      <c r="K47" s="15">
        <f t="shared" si="3"/>
        <v>12.226851599999998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 spans="1:29" ht="14.25" x14ac:dyDescent="0.2">
      <c r="A48" s="13" t="s">
        <v>908</v>
      </c>
      <c r="B48" s="14">
        <v>5202888224904</v>
      </c>
      <c r="C48" s="15">
        <v>8.6</v>
      </c>
      <c r="D48" s="15">
        <v>0.9</v>
      </c>
      <c r="E48" s="15">
        <f t="shared" si="0"/>
        <v>9.5</v>
      </c>
      <c r="F48" s="15">
        <v>1.24</v>
      </c>
      <c r="G48" s="15">
        <f t="shared" si="1"/>
        <v>11.78</v>
      </c>
      <c r="H48" s="15">
        <v>1.1214999999999999</v>
      </c>
      <c r="I48" s="15">
        <f t="shared" si="2"/>
        <v>13.211269999999999</v>
      </c>
      <c r="J48" s="15">
        <v>1.49</v>
      </c>
      <c r="K48" s="15">
        <f t="shared" si="3"/>
        <v>14.701269999999999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 spans="1:29" ht="14.25" x14ac:dyDescent="0.2">
      <c r="A49" s="13" t="s">
        <v>909</v>
      </c>
      <c r="B49" s="14">
        <v>5202888282027</v>
      </c>
      <c r="C49" s="15">
        <v>4.91</v>
      </c>
      <c r="D49" s="15">
        <v>0.9</v>
      </c>
      <c r="E49" s="15">
        <f t="shared" si="0"/>
        <v>5.8100000000000005</v>
      </c>
      <c r="F49" s="15">
        <v>1.24</v>
      </c>
      <c r="G49" s="15">
        <f t="shared" si="1"/>
        <v>7.2044000000000006</v>
      </c>
      <c r="H49" s="15">
        <v>1.1214999999999999</v>
      </c>
      <c r="I49" s="15">
        <f t="shared" si="2"/>
        <v>8.0797346000000001</v>
      </c>
      <c r="J49" s="15">
        <v>0.73999999999999899</v>
      </c>
      <c r="K49" s="15">
        <f t="shared" si="3"/>
        <v>8.8197345999999985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 spans="1:29" ht="14.25" x14ac:dyDescent="0.2">
      <c r="A50" s="13" t="s">
        <v>910</v>
      </c>
      <c r="B50" s="14">
        <v>5202888230103</v>
      </c>
      <c r="C50" s="15">
        <v>3.69</v>
      </c>
      <c r="D50" s="15">
        <v>0.9</v>
      </c>
      <c r="E50" s="15">
        <f t="shared" si="0"/>
        <v>4.59</v>
      </c>
      <c r="F50" s="15">
        <v>1.24</v>
      </c>
      <c r="G50" s="15">
        <f t="shared" si="1"/>
        <v>5.6916000000000002</v>
      </c>
      <c r="H50" s="15">
        <v>1.1214999999999999</v>
      </c>
      <c r="I50" s="15">
        <f t="shared" si="2"/>
        <v>6.3831293999999996</v>
      </c>
      <c r="J50" s="15">
        <v>0.25</v>
      </c>
      <c r="K50" s="15">
        <f t="shared" si="3"/>
        <v>6.6331293999999996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 spans="1:29" ht="14.25" x14ac:dyDescent="0.2">
      <c r="A51" s="13" t="s">
        <v>911</v>
      </c>
      <c r="B51" s="14">
        <v>5202888100093</v>
      </c>
      <c r="C51" s="15">
        <v>9.6999999999999993</v>
      </c>
      <c r="D51" s="15">
        <v>0.9</v>
      </c>
      <c r="E51" s="15">
        <f t="shared" si="0"/>
        <v>10.6</v>
      </c>
      <c r="F51" s="15">
        <v>1.24</v>
      </c>
      <c r="G51" s="15">
        <f t="shared" si="1"/>
        <v>13.144</v>
      </c>
      <c r="H51" s="15">
        <v>1.1214999999999999</v>
      </c>
      <c r="I51" s="15">
        <f t="shared" si="2"/>
        <v>14.740995999999999</v>
      </c>
      <c r="J51" s="15">
        <v>0.73999999999999899</v>
      </c>
      <c r="K51" s="15">
        <f t="shared" si="3"/>
        <v>15.480995999999998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 spans="1:29" ht="14.25" x14ac:dyDescent="0.2">
      <c r="A52" s="13" t="s">
        <v>912</v>
      </c>
      <c r="B52" s="14">
        <v>5202888105494</v>
      </c>
      <c r="C52" s="15">
        <v>8.57</v>
      </c>
      <c r="D52" s="15">
        <v>0.9</v>
      </c>
      <c r="E52" s="15">
        <f t="shared" si="0"/>
        <v>9.4700000000000006</v>
      </c>
      <c r="F52" s="15">
        <v>1.24</v>
      </c>
      <c r="G52" s="15">
        <f t="shared" si="1"/>
        <v>11.742800000000001</v>
      </c>
      <c r="H52" s="15">
        <v>1.1214999999999999</v>
      </c>
      <c r="I52" s="15">
        <f t="shared" si="2"/>
        <v>13.1695502</v>
      </c>
      <c r="J52" s="15">
        <v>0.73999999999999899</v>
      </c>
      <c r="K52" s="15">
        <f t="shared" si="3"/>
        <v>13.909550199999998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 spans="1:29" ht="14.25" x14ac:dyDescent="0.2">
      <c r="A53" s="13" t="s">
        <v>913</v>
      </c>
      <c r="B53" s="14">
        <v>5202888281051</v>
      </c>
      <c r="C53" s="15">
        <v>3.85</v>
      </c>
      <c r="D53" s="15">
        <v>0.9</v>
      </c>
      <c r="E53" s="15">
        <f t="shared" si="0"/>
        <v>4.75</v>
      </c>
      <c r="F53" s="15">
        <v>1.24</v>
      </c>
      <c r="G53" s="15">
        <f t="shared" si="1"/>
        <v>5.89</v>
      </c>
      <c r="H53" s="15">
        <v>1.1214999999999999</v>
      </c>
      <c r="I53" s="15">
        <f t="shared" si="2"/>
        <v>6.6056349999999995</v>
      </c>
      <c r="J53" s="15">
        <v>0.25</v>
      </c>
      <c r="K53" s="15">
        <f t="shared" si="3"/>
        <v>6.8556349999999995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 spans="1:29" ht="14.25" x14ac:dyDescent="0.2">
      <c r="A54" s="13" t="s">
        <v>914</v>
      </c>
      <c r="B54" s="14">
        <v>5202888223136</v>
      </c>
      <c r="C54" s="15">
        <v>3.53</v>
      </c>
      <c r="D54" s="15">
        <v>0.22</v>
      </c>
      <c r="E54" s="15">
        <f t="shared" si="0"/>
        <v>3.75</v>
      </c>
      <c r="F54" s="15">
        <v>1.24</v>
      </c>
      <c r="G54" s="15">
        <f t="shared" si="1"/>
        <v>4.6500000000000004</v>
      </c>
      <c r="H54" s="15">
        <v>1.1214999999999999</v>
      </c>
      <c r="I54" s="15">
        <f t="shared" si="2"/>
        <v>5.2149749999999999</v>
      </c>
      <c r="J54" s="15">
        <v>0.25</v>
      </c>
      <c r="K54" s="15">
        <f t="shared" si="3"/>
        <v>5.4649749999999999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 spans="1:29" ht="14.25" x14ac:dyDescent="0.2">
      <c r="A55" s="13" t="s">
        <v>915</v>
      </c>
      <c r="B55" s="14">
        <v>5202888271175</v>
      </c>
      <c r="C55" s="15">
        <v>8.23</v>
      </c>
      <c r="D55" s="15">
        <v>0.9</v>
      </c>
      <c r="E55" s="15">
        <f t="shared" si="0"/>
        <v>9.1300000000000008</v>
      </c>
      <c r="F55" s="15">
        <v>1.24</v>
      </c>
      <c r="G55" s="15">
        <f t="shared" si="1"/>
        <v>11.321200000000001</v>
      </c>
      <c r="H55" s="15">
        <v>1.1214999999999999</v>
      </c>
      <c r="I55" s="15">
        <f t="shared" si="2"/>
        <v>12.696725800000001</v>
      </c>
      <c r="J55" s="15">
        <v>0.73999999999999899</v>
      </c>
      <c r="K55" s="15">
        <f t="shared" si="3"/>
        <v>13.4367258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 spans="1:29" ht="14.25" x14ac:dyDescent="0.2">
      <c r="A56" s="13" t="s">
        <v>916</v>
      </c>
      <c r="B56" s="14">
        <v>5202888271281</v>
      </c>
      <c r="C56" s="15">
        <v>29.34</v>
      </c>
      <c r="D56" s="15">
        <v>0.9</v>
      </c>
      <c r="E56" s="15">
        <f t="shared" si="0"/>
        <v>30.24</v>
      </c>
      <c r="F56" s="15">
        <v>1.24</v>
      </c>
      <c r="G56" s="15">
        <f t="shared" si="1"/>
        <v>37.497599999999998</v>
      </c>
      <c r="H56" s="15">
        <v>1.1214999999999999</v>
      </c>
      <c r="I56" s="15">
        <f t="shared" si="2"/>
        <v>42.053558399999993</v>
      </c>
      <c r="J56" s="15">
        <v>0.73999999999999899</v>
      </c>
      <c r="K56" s="15">
        <f t="shared" si="3"/>
        <v>42.793558399999995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 spans="1:29" ht="14.25" x14ac:dyDescent="0.2">
      <c r="A57" s="13" t="s">
        <v>917</v>
      </c>
      <c r="B57" s="14">
        <v>5202888331015</v>
      </c>
      <c r="C57" s="15">
        <v>5.59</v>
      </c>
      <c r="D57" s="15">
        <v>0.9</v>
      </c>
      <c r="E57" s="15">
        <f t="shared" si="0"/>
        <v>6.49</v>
      </c>
      <c r="F57" s="15">
        <v>1.24</v>
      </c>
      <c r="G57" s="15">
        <f t="shared" si="1"/>
        <v>8.047600000000001</v>
      </c>
      <c r="H57" s="15">
        <v>1.1214999999999999</v>
      </c>
      <c r="I57" s="15">
        <f t="shared" si="2"/>
        <v>9.0253834000000008</v>
      </c>
      <c r="J57" s="15">
        <v>0.73999999999999899</v>
      </c>
      <c r="K57" s="15">
        <f t="shared" si="3"/>
        <v>9.7653833999999993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 spans="1:29" ht="14.25" x14ac:dyDescent="0.2">
      <c r="A58" s="13" t="s">
        <v>918</v>
      </c>
      <c r="B58" s="14">
        <v>5202888331008</v>
      </c>
      <c r="C58" s="15">
        <v>5.59</v>
      </c>
      <c r="D58" s="15">
        <v>0.9</v>
      </c>
      <c r="E58" s="15">
        <f t="shared" si="0"/>
        <v>6.49</v>
      </c>
      <c r="F58" s="15">
        <v>1.24</v>
      </c>
      <c r="G58" s="15">
        <f t="shared" si="1"/>
        <v>8.047600000000001</v>
      </c>
      <c r="H58" s="15">
        <v>1.1214999999999999</v>
      </c>
      <c r="I58" s="15">
        <f t="shared" si="2"/>
        <v>9.0253834000000008</v>
      </c>
      <c r="J58" s="15">
        <v>0.73999999999999899</v>
      </c>
      <c r="K58" s="15">
        <f t="shared" si="3"/>
        <v>9.7653833999999993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 spans="1:29" ht="14.25" x14ac:dyDescent="0.2">
      <c r="A59" s="13" t="s">
        <v>919</v>
      </c>
      <c r="B59" s="14">
        <v>5202888271038</v>
      </c>
      <c r="C59" s="15">
        <v>15.8</v>
      </c>
      <c r="D59" s="15">
        <v>0.9</v>
      </c>
      <c r="E59" s="15">
        <f t="shared" si="0"/>
        <v>16.7</v>
      </c>
      <c r="F59" s="15">
        <v>1.24</v>
      </c>
      <c r="G59" s="15">
        <f t="shared" si="1"/>
        <v>20.707999999999998</v>
      </c>
      <c r="H59" s="15">
        <v>1.1214999999999999</v>
      </c>
      <c r="I59" s="15">
        <f t="shared" si="2"/>
        <v>23.224021999999998</v>
      </c>
      <c r="J59" s="15">
        <v>0.73999999999999899</v>
      </c>
      <c r="K59" s="15">
        <f t="shared" si="3"/>
        <v>23.964021999999996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 spans="1:29" ht="14.25" x14ac:dyDescent="0.2">
      <c r="A60" s="13" t="s">
        <v>920</v>
      </c>
      <c r="B60" s="14">
        <v>5202888271151</v>
      </c>
      <c r="C60" s="15">
        <v>11.89</v>
      </c>
      <c r="D60" s="15">
        <v>0.9</v>
      </c>
      <c r="E60" s="15">
        <f t="shared" si="0"/>
        <v>12.790000000000001</v>
      </c>
      <c r="F60" s="15">
        <v>1.24</v>
      </c>
      <c r="G60" s="15">
        <f t="shared" si="1"/>
        <v>15.8596</v>
      </c>
      <c r="H60" s="15">
        <v>1.1214999999999999</v>
      </c>
      <c r="I60" s="15">
        <f t="shared" si="2"/>
        <v>17.786541400000001</v>
      </c>
      <c r="J60" s="15">
        <v>0.73999999999999899</v>
      </c>
      <c r="K60" s="15">
        <f t="shared" si="3"/>
        <v>18.526541399999999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 spans="1:29" ht="14.25" x14ac:dyDescent="0.2">
      <c r="A61" s="13" t="s">
        <v>921</v>
      </c>
      <c r="B61" s="14">
        <v>5202888282041</v>
      </c>
      <c r="C61" s="15">
        <v>5.6</v>
      </c>
      <c r="D61" s="15">
        <v>0.9</v>
      </c>
      <c r="E61" s="15">
        <f t="shared" si="0"/>
        <v>6.5</v>
      </c>
      <c r="F61" s="15">
        <v>1.24</v>
      </c>
      <c r="G61" s="15">
        <f t="shared" si="1"/>
        <v>8.06</v>
      </c>
      <c r="H61" s="15">
        <v>1.1214999999999999</v>
      </c>
      <c r="I61" s="15">
        <f t="shared" si="2"/>
        <v>9.0392899999999994</v>
      </c>
      <c r="J61" s="15">
        <v>1.49</v>
      </c>
      <c r="K61" s="15">
        <f t="shared" si="3"/>
        <v>10.52929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 spans="1:29" ht="14.25" x14ac:dyDescent="0.2">
      <c r="A62" s="13" t="s">
        <v>922</v>
      </c>
      <c r="B62" s="14">
        <v>5202888223129</v>
      </c>
      <c r="C62" s="15">
        <v>2.89</v>
      </c>
      <c r="D62" s="15">
        <v>0.9</v>
      </c>
      <c r="E62" s="15">
        <f t="shared" si="0"/>
        <v>3.79</v>
      </c>
      <c r="F62" s="15">
        <v>1.24</v>
      </c>
      <c r="G62" s="15">
        <f t="shared" si="1"/>
        <v>4.6996000000000002</v>
      </c>
      <c r="H62" s="15">
        <v>1.1214999999999999</v>
      </c>
      <c r="I62" s="15">
        <f t="shared" si="2"/>
        <v>5.2706014000000003</v>
      </c>
      <c r="J62" s="15">
        <v>0.25</v>
      </c>
      <c r="K62" s="15">
        <f t="shared" si="3"/>
        <v>5.5206014000000003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 spans="1:29" ht="14.25" x14ac:dyDescent="0.2">
      <c r="A63" s="13" t="s">
        <v>923</v>
      </c>
      <c r="B63" s="14">
        <v>5202888223143</v>
      </c>
      <c r="C63" s="15">
        <v>3.72</v>
      </c>
      <c r="D63" s="15">
        <v>0.9</v>
      </c>
      <c r="E63" s="15">
        <f t="shared" si="0"/>
        <v>4.62</v>
      </c>
      <c r="F63" s="15">
        <v>1.24</v>
      </c>
      <c r="G63" s="15">
        <f t="shared" si="1"/>
        <v>5.7287999999999997</v>
      </c>
      <c r="H63" s="15">
        <v>1.1214999999999999</v>
      </c>
      <c r="I63" s="15">
        <f t="shared" si="2"/>
        <v>6.4248491999999997</v>
      </c>
      <c r="J63" s="15">
        <v>0.25</v>
      </c>
      <c r="K63" s="15">
        <f t="shared" si="3"/>
        <v>6.6748491999999997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 spans="1:29" ht="14.25" x14ac:dyDescent="0.2">
      <c r="A64" s="13" t="s">
        <v>924</v>
      </c>
      <c r="B64" s="14">
        <v>5202888282034</v>
      </c>
      <c r="C64" s="15">
        <v>4.68</v>
      </c>
      <c r="D64" s="15">
        <v>0.17</v>
      </c>
      <c r="E64" s="15">
        <f t="shared" si="0"/>
        <v>4.8499999999999996</v>
      </c>
      <c r="F64" s="15">
        <v>1.24</v>
      </c>
      <c r="G64" s="15">
        <f t="shared" si="1"/>
        <v>6.0139999999999993</v>
      </c>
      <c r="H64" s="15">
        <v>1.1214999999999999</v>
      </c>
      <c r="I64" s="15">
        <f t="shared" si="2"/>
        <v>6.7447009999999992</v>
      </c>
      <c r="J64" s="15">
        <v>0.25</v>
      </c>
      <c r="K64" s="15">
        <f t="shared" si="3"/>
        <v>6.9947009999999992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 spans="1:29" ht="14.25" x14ac:dyDescent="0.2">
      <c r="A65" s="13" t="s">
        <v>925</v>
      </c>
      <c r="B65" s="14">
        <v>5202888221255</v>
      </c>
      <c r="C65" s="15">
        <v>6.01</v>
      </c>
      <c r="D65" s="15">
        <v>0.9</v>
      </c>
      <c r="E65" s="15">
        <f t="shared" si="0"/>
        <v>6.91</v>
      </c>
      <c r="F65" s="15">
        <v>1.06</v>
      </c>
      <c r="G65" s="15">
        <f t="shared" si="1"/>
        <v>7.3246000000000002</v>
      </c>
      <c r="H65" s="15">
        <v>1.1214999999999999</v>
      </c>
      <c r="I65" s="15">
        <f t="shared" si="2"/>
        <v>8.2145388999999991</v>
      </c>
      <c r="J65" s="15">
        <v>0.74</v>
      </c>
      <c r="K65" s="15">
        <f t="shared" si="3"/>
        <v>8.9545388999999993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 spans="1:29" ht="14.25" x14ac:dyDescent="0.2">
      <c r="A66" s="13" t="s">
        <v>926</v>
      </c>
      <c r="B66" s="14">
        <v>5202888221170</v>
      </c>
      <c r="C66" s="15">
        <v>5</v>
      </c>
      <c r="D66" s="15">
        <v>0.9</v>
      </c>
      <c r="E66" s="15">
        <f t="shared" si="0"/>
        <v>5.9</v>
      </c>
      <c r="F66" s="15">
        <v>1.24</v>
      </c>
      <c r="G66" s="15">
        <f t="shared" si="1"/>
        <v>7.3160000000000007</v>
      </c>
      <c r="H66" s="15">
        <v>1.1214999999999999</v>
      </c>
      <c r="I66" s="15">
        <f t="shared" si="2"/>
        <v>8.2048940000000012</v>
      </c>
      <c r="J66" s="15">
        <v>0.73999999999999899</v>
      </c>
      <c r="K66" s="15">
        <f t="shared" si="3"/>
        <v>8.9448939999999997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 spans="1:29" ht="14.25" x14ac:dyDescent="0.2">
      <c r="A67" s="13" t="s">
        <v>927</v>
      </c>
      <c r="B67" s="14">
        <v>5202888230080</v>
      </c>
      <c r="C67" s="15">
        <v>3.91</v>
      </c>
      <c r="D67" s="15">
        <v>0.9</v>
      </c>
      <c r="E67" s="15">
        <f t="shared" si="0"/>
        <v>4.8100000000000005</v>
      </c>
      <c r="F67" s="15">
        <v>1.24</v>
      </c>
      <c r="G67" s="15">
        <f t="shared" si="1"/>
        <v>5.9644000000000004</v>
      </c>
      <c r="H67" s="15">
        <v>1.1214999999999999</v>
      </c>
      <c r="I67" s="15">
        <f t="shared" si="2"/>
        <v>6.6890745999999996</v>
      </c>
      <c r="J67" s="15">
        <v>1.49</v>
      </c>
      <c r="K67" s="15">
        <f t="shared" si="3"/>
        <v>8.1790745999999999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 spans="1:29" ht="14.25" x14ac:dyDescent="0.2">
      <c r="A68" s="13" t="s">
        <v>928</v>
      </c>
      <c r="B68" s="14">
        <v>5202888228384</v>
      </c>
      <c r="C68" s="15">
        <v>8.1999999999999993</v>
      </c>
      <c r="D68" s="15">
        <v>0.9</v>
      </c>
      <c r="E68" s="15">
        <f t="shared" si="0"/>
        <v>9.1</v>
      </c>
      <c r="F68" s="15">
        <v>1.24</v>
      </c>
      <c r="G68" s="15">
        <f t="shared" si="1"/>
        <v>11.283999999999999</v>
      </c>
      <c r="H68" s="15">
        <v>1.1214999999999999</v>
      </c>
      <c r="I68" s="15">
        <f t="shared" si="2"/>
        <v>12.655005999999998</v>
      </c>
      <c r="J68" s="15">
        <v>0.73999999999999899</v>
      </c>
      <c r="K68" s="15">
        <f t="shared" si="3"/>
        <v>13.395005999999997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 spans="1:29" ht="14.25" x14ac:dyDescent="0.2">
      <c r="A69" s="13" t="s">
        <v>929</v>
      </c>
      <c r="B69" s="14">
        <v>5202888281082</v>
      </c>
      <c r="C69" s="15">
        <v>3.89</v>
      </c>
      <c r="D69" s="15">
        <v>0.9</v>
      </c>
      <c r="E69" s="15">
        <f t="shared" si="0"/>
        <v>4.79</v>
      </c>
      <c r="F69" s="15">
        <v>1.24</v>
      </c>
      <c r="G69" s="15">
        <f t="shared" si="1"/>
        <v>5.9396000000000004</v>
      </c>
      <c r="H69" s="15">
        <v>1.1214999999999999</v>
      </c>
      <c r="I69" s="15">
        <f t="shared" si="2"/>
        <v>6.6612613999999999</v>
      </c>
      <c r="J69" s="15">
        <v>0.25</v>
      </c>
      <c r="K69" s="15">
        <f t="shared" si="3"/>
        <v>6.9112613999999999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 spans="1:29" ht="14.25" x14ac:dyDescent="0.2">
      <c r="A70" s="13" t="s">
        <v>930</v>
      </c>
      <c r="B70" s="14">
        <v>5202888224379</v>
      </c>
      <c r="C70" s="15">
        <v>4.43</v>
      </c>
      <c r="D70" s="15">
        <v>0.9</v>
      </c>
      <c r="E70" s="15">
        <f t="shared" si="0"/>
        <v>5.33</v>
      </c>
      <c r="F70" s="15">
        <v>1.24</v>
      </c>
      <c r="G70" s="15">
        <f t="shared" si="1"/>
        <v>6.6092000000000004</v>
      </c>
      <c r="H70" s="15">
        <v>1.1214999999999999</v>
      </c>
      <c r="I70" s="15">
        <f t="shared" si="2"/>
        <v>7.4122177999999996</v>
      </c>
      <c r="J70" s="15">
        <v>0.73999999999999899</v>
      </c>
      <c r="K70" s="15">
        <f t="shared" si="3"/>
        <v>8.152217799999999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 spans="1:29" ht="14.25" x14ac:dyDescent="0.2">
      <c r="A71" s="13" t="s">
        <v>931</v>
      </c>
      <c r="B71" s="14">
        <v>5202888102110</v>
      </c>
      <c r="C71" s="15">
        <v>13.54</v>
      </c>
      <c r="D71" s="15">
        <v>0.9</v>
      </c>
      <c r="E71" s="15">
        <f t="shared" si="0"/>
        <v>14.44</v>
      </c>
      <c r="F71" s="15">
        <v>1.24</v>
      </c>
      <c r="G71" s="15">
        <f t="shared" si="1"/>
        <v>17.9056</v>
      </c>
      <c r="H71" s="15">
        <v>1.1214999999999999</v>
      </c>
      <c r="I71" s="15">
        <f t="shared" si="2"/>
        <v>20.081130399999999</v>
      </c>
      <c r="J71" s="15">
        <v>0.73999999999999899</v>
      </c>
      <c r="K71" s="15">
        <f t="shared" si="3"/>
        <v>20.821130399999998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 spans="1:29" ht="14.25" x14ac:dyDescent="0.2">
      <c r="A72" s="13" t="s">
        <v>932</v>
      </c>
      <c r="B72" s="14">
        <v>5202888271717</v>
      </c>
      <c r="C72" s="15">
        <v>13.27</v>
      </c>
      <c r="D72" s="15">
        <v>0.9</v>
      </c>
      <c r="E72" s="15">
        <f t="shared" si="0"/>
        <v>14.17</v>
      </c>
      <c r="F72" s="15">
        <v>1.24</v>
      </c>
      <c r="G72" s="15">
        <f t="shared" si="1"/>
        <v>17.570799999999998</v>
      </c>
      <c r="H72" s="15">
        <v>1.1214999999999999</v>
      </c>
      <c r="I72" s="15">
        <f t="shared" si="2"/>
        <v>19.705652199999996</v>
      </c>
      <c r="J72" s="15">
        <v>0.73999999999999899</v>
      </c>
      <c r="K72" s="15">
        <f t="shared" si="3"/>
        <v>20.445652199999994</v>
      </c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 spans="1:29" ht="14.25" x14ac:dyDescent="0.2">
      <c r="A73" s="13" t="s">
        <v>933</v>
      </c>
      <c r="B73" s="14">
        <v>5202888227165</v>
      </c>
      <c r="C73" s="15">
        <v>8.77</v>
      </c>
      <c r="D73" s="15">
        <v>0.9</v>
      </c>
      <c r="E73" s="15">
        <f t="shared" si="0"/>
        <v>9.67</v>
      </c>
      <c r="F73" s="15">
        <v>1.24</v>
      </c>
      <c r="G73" s="15">
        <f t="shared" si="1"/>
        <v>11.9908</v>
      </c>
      <c r="H73" s="15">
        <v>1.1214999999999999</v>
      </c>
      <c r="I73" s="15">
        <f t="shared" si="2"/>
        <v>13.447682199999999</v>
      </c>
      <c r="J73" s="15">
        <v>1.49</v>
      </c>
      <c r="K73" s="15">
        <f t="shared" si="3"/>
        <v>14.937682199999999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1:29" ht="14.25" x14ac:dyDescent="0.2">
      <c r="A74" s="13" t="s">
        <v>934</v>
      </c>
      <c r="B74" s="14">
        <v>5202888102127</v>
      </c>
      <c r="C74" s="15">
        <v>12.63</v>
      </c>
      <c r="D74" s="15">
        <v>0.9</v>
      </c>
      <c r="E74" s="15">
        <f t="shared" si="0"/>
        <v>13.530000000000001</v>
      </c>
      <c r="F74" s="15">
        <v>1.24</v>
      </c>
      <c r="G74" s="15">
        <f t="shared" si="1"/>
        <v>16.777200000000001</v>
      </c>
      <c r="H74" s="15">
        <v>1.1214999999999999</v>
      </c>
      <c r="I74" s="15">
        <f t="shared" si="2"/>
        <v>18.8156298</v>
      </c>
      <c r="J74" s="15">
        <v>0.73999999999999899</v>
      </c>
      <c r="K74" s="15">
        <f t="shared" si="3"/>
        <v>19.555629799999998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 spans="1:29" ht="14.25" x14ac:dyDescent="0.2">
      <c r="A75" s="13" t="s">
        <v>935</v>
      </c>
      <c r="B75" s="14">
        <v>5202888282003</v>
      </c>
      <c r="C75" s="15">
        <v>4.68</v>
      </c>
      <c r="D75" s="15">
        <v>0.9</v>
      </c>
      <c r="E75" s="15">
        <f t="shared" si="0"/>
        <v>5.58</v>
      </c>
      <c r="F75" s="15">
        <v>1.24</v>
      </c>
      <c r="G75" s="15">
        <f t="shared" si="1"/>
        <v>6.9192</v>
      </c>
      <c r="H75" s="15">
        <v>1.1214999999999999</v>
      </c>
      <c r="I75" s="15">
        <f t="shared" si="2"/>
        <v>7.7598827999999997</v>
      </c>
      <c r="J75" s="15">
        <v>0.73999999999999899</v>
      </c>
      <c r="K75" s="15">
        <f t="shared" si="3"/>
        <v>8.4998827999999982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 spans="1:29" ht="14.25" x14ac:dyDescent="0.2">
      <c r="A76" s="13" t="s">
        <v>936</v>
      </c>
      <c r="B76" s="14">
        <v>5202888105067</v>
      </c>
      <c r="C76" s="15">
        <v>8.91</v>
      </c>
      <c r="D76" s="15">
        <v>0.9</v>
      </c>
      <c r="E76" s="15">
        <f t="shared" si="0"/>
        <v>9.81</v>
      </c>
      <c r="F76" s="15">
        <v>1.24</v>
      </c>
      <c r="G76" s="15">
        <f t="shared" si="1"/>
        <v>12.164400000000001</v>
      </c>
      <c r="H76" s="15">
        <v>1.1214999999999999</v>
      </c>
      <c r="I76" s="15">
        <f t="shared" si="2"/>
        <v>13.6423746</v>
      </c>
      <c r="J76" s="15">
        <v>0.73999999999999899</v>
      </c>
      <c r="K76" s="15">
        <f t="shared" si="3"/>
        <v>14.382374599999999</v>
      </c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 spans="1:29" ht="14.25" x14ac:dyDescent="0.2">
      <c r="A77" s="13" t="s">
        <v>937</v>
      </c>
      <c r="B77" s="14">
        <v>5202888295041</v>
      </c>
      <c r="C77" s="15">
        <v>13.11</v>
      </c>
      <c r="D77" s="15">
        <v>0.9</v>
      </c>
      <c r="E77" s="15">
        <f t="shared" si="0"/>
        <v>14.01</v>
      </c>
      <c r="F77" s="15">
        <v>1.24</v>
      </c>
      <c r="G77" s="15">
        <f t="shared" si="1"/>
        <v>17.372399999999999</v>
      </c>
      <c r="H77" s="15">
        <v>1.1214999999999999</v>
      </c>
      <c r="I77" s="15">
        <f t="shared" si="2"/>
        <v>19.483146599999998</v>
      </c>
      <c r="J77" s="15">
        <v>0.73999999999999899</v>
      </c>
      <c r="K77" s="15">
        <f t="shared" si="3"/>
        <v>20.223146599999996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 spans="1:29" ht="14.25" x14ac:dyDescent="0.2">
      <c r="A78" s="13" t="s">
        <v>938</v>
      </c>
      <c r="B78" s="14">
        <v>5202888101113</v>
      </c>
      <c r="C78" s="15">
        <v>7.08</v>
      </c>
      <c r="D78" s="15">
        <v>0.9</v>
      </c>
      <c r="E78" s="15">
        <f t="shared" si="0"/>
        <v>7.98</v>
      </c>
      <c r="F78" s="15">
        <v>1.24</v>
      </c>
      <c r="G78" s="15">
        <f t="shared" si="1"/>
        <v>9.8952000000000009</v>
      </c>
      <c r="H78" s="15">
        <v>1.1214999999999999</v>
      </c>
      <c r="I78" s="15">
        <f t="shared" si="2"/>
        <v>11.097466800000001</v>
      </c>
      <c r="J78" s="15">
        <v>1.49</v>
      </c>
      <c r="K78" s="15">
        <f t="shared" si="3"/>
        <v>12.587466800000001</v>
      </c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 spans="1:29" ht="14.25" x14ac:dyDescent="0.2">
      <c r="A79" s="13" t="s">
        <v>939</v>
      </c>
      <c r="B79" s="14">
        <v>5202888223150</v>
      </c>
      <c r="C79" s="15">
        <v>6.41</v>
      </c>
      <c r="D79" s="15">
        <v>0.3</v>
      </c>
      <c r="E79" s="15">
        <f t="shared" si="0"/>
        <v>6.71</v>
      </c>
      <c r="F79" s="15">
        <v>1.06</v>
      </c>
      <c r="G79" s="15">
        <f t="shared" si="1"/>
        <v>7.1126000000000005</v>
      </c>
      <c r="H79" s="15">
        <v>1.1214999999999999</v>
      </c>
      <c r="I79" s="15">
        <f t="shared" si="2"/>
        <v>7.9767809000000005</v>
      </c>
      <c r="J79" s="15">
        <v>0.43</v>
      </c>
      <c r="K79" s="15">
        <f t="shared" si="3"/>
        <v>8.4067809000000011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 spans="1:29" ht="14.25" x14ac:dyDescent="0.2">
      <c r="A80" s="13" t="s">
        <v>940</v>
      </c>
      <c r="B80" s="14">
        <v>5202888221248</v>
      </c>
      <c r="C80" s="15">
        <v>6.16</v>
      </c>
      <c r="D80" s="15">
        <v>0.9</v>
      </c>
      <c r="E80" s="15">
        <f t="shared" si="0"/>
        <v>7.0600000000000005</v>
      </c>
      <c r="F80" s="15">
        <v>1.24</v>
      </c>
      <c r="G80" s="15">
        <f t="shared" si="1"/>
        <v>8.7544000000000004</v>
      </c>
      <c r="H80" s="15">
        <v>1.1214999999999999</v>
      </c>
      <c r="I80" s="15">
        <f t="shared" si="2"/>
        <v>9.8180595999999998</v>
      </c>
      <c r="J80" s="15">
        <v>0.73999999999999899</v>
      </c>
      <c r="K80" s="15">
        <f t="shared" si="3"/>
        <v>10.558059599999998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 spans="1:29" ht="14.25" x14ac:dyDescent="0.2">
      <c r="A81" s="13" t="s">
        <v>941</v>
      </c>
      <c r="B81" s="14">
        <v>5202888282072</v>
      </c>
      <c r="C81" s="15">
        <v>4.91</v>
      </c>
      <c r="D81" s="15">
        <v>0.9</v>
      </c>
      <c r="E81" s="15">
        <f t="shared" si="0"/>
        <v>5.8100000000000005</v>
      </c>
      <c r="F81" s="15">
        <v>1.24</v>
      </c>
      <c r="G81" s="15">
        <f t="shared" si="1"/>
        <v>7.2044000000000006</v>
      </c>
      <c r="H81" s="15">
        <v>1.1214999999999999</v>
      </c>
      <c r="I81" s="15">
        <f t="shared" si="2"/>
        <v>8.0797346000000001</v>
      </c>
      <c r="J81" s="15">
        <v>0.73999999999999899</v>
      </c>
      <c r="K81" s="15">
        <f t="shared" si="3"/>
        <v>8.8197345999999985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 spans="1:29" ht="14.25" x14ac:dyDescent="0.2">
      <c r="A82" s="13" t="s">
        <v>942</v>
      </c>
      <c r="B82" s="14">
        <v>5202888230165</v>
      </c>
      <c r="C82" s="15">
        <v>3.84</v>
      </c>
      <c r="D82" s="15">
        <v>0.9</v>
      </c>
      <c r="E82" s="15">
        <f t="shared" si="0"/>
        <v>4.74</v>
      </c>
      <c r="F82" s="15">
        <v>1.24</v>
      </c>
      <c r="G82" s="15">
        <f t="shared" si="1"/>
        <v>5.8776000000000002</v>
      </c>
      <c r="H82" s="15">
        <v>1.1214999999999999</v>
      </c>
      <c r="I82" s="15">
        <f t="shared" si="2"/>
        <v>6.5917284</v>
      </c>
      <c r="J82" s="15">
        <v>1.49</v>
      </c>
      <c r="K82" s="15">
        <f t="shared" si="3"/>
        <v>8.0817283999999994</v>
      </c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 spans="1:29" ht="14.25" x14ac:dyDescent="0.2">
      <c r="A83" s="13" t="s">
        <v>943</v>
      </c>
      <c r="B83" s="14">
        <v>5202888271687</v>
      </c>
      <c r="C83" s="15">
        <v>13.78</v>
      </c>
      <c r="D83" s="15">
        <v>0.9</v>
      </c>
      <c r="E83" s="15">
        <f t="shared" si="0"/>
        <v>14.68</v>
      </c>
      <c r="F83" s="15">
        <v>1.24</v>
      </c>
      <c r="G83" s="15">
        <f t="shared" si="1"/>
        <v>18.203199999999999</v>
      </c>
      <c r="H83" s="15">
        <v>1.1214999999999999</v>
      </c>
      <c r="I83" s="15">
        <f t="shared" si="2"/>
        <v>20.414888799999996</v>
      </c>
      <c r="J83" s="15">
        <v>0.73999999999999899</v>
      </c>
      <c r="K83" s="15">
        <f t="shared" si="3"/>
        <v>21.154888799999995</v>
      </c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 spans="1:29" ht="14.25" x14ac:dyDescent="0.2">
      <c r="A84" s="13" t="s">
        <v>944</v>
      </c>
      <c r="B84" s="14">
        <v>5202888261039</v>
      </c>
      <c r="C84" s="15">
        <v>11.39</v>
      </c>
      <c r="D84" s="15">
        <v>0.9</v>
      </c>
      <c r="E84" s="15">
        <f t="shared" si="0"/>
        <v>12.290000000000001</v>
      </c>
      <c r="F84" s="15">
        <v>1.24</v>
      </c>
      <c r="G84" s="15">
        <f t="shared" si="1"/>
        <v>15.239600000000001</v>
      </c>
      <c r="H84" s="15">
        <v>1.1214999999999999</v>
      </c>
      <c r="I84" s="15">
        <f t="shared" si="2"/>
        <v>17.091211399999999</v>
      </c>
      <c r="J84" s="15">
        <v>1.49</v>
      </c>
      <c r="K84" s="15">
        <f t="shared" si="3"/>
        <v>18.581211399999997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 spans="1:29" ht="14.25" x14ac:dyDescent="0.2">
      <c r="A85" s="13" t="s">
        <v>945</v>
      </c>
      <c r="B85" s="14">
        <v>5202888101144</v>
      </c>
      <c r="C85" s="15">
        <v>7.26</v>
      </c>
      <c r="D85" s="15">
        <v>0.9</v>
      </c>
      <c r="E85" s="15">
        <f t="shared" si="0"/>
        <v>8.16</v>
      </c>
      <c r="F85" s="15">
        <v>1.24</v>
      </c>
      <c r="G85" s="15">
        <f t="shared" si="1"/>
        <v>10.118399999999999</v>
      </c>
      <c r="H85" s="15">
        <v>1.1214999999999999</v>
      </c>
      <c r="I85" s="15">
        <f t="shared" si="2"/>
        <v>11.347785599999998</v>
      </c>
      <c r="J85" s="15">
        <v>0.73999999999999899</v>
      </c>
      <c r="K85" s="15">
        <f t="shared" si="3"/>
        <v>12.087785599999997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 spans="1:29" ht="14.25" x14ac:dyDescent="0.2">
      <c r="A86" s="13" t="s">
        <v>946</v>
      </c>
      <c r="B86" s="14">
        <v>5202888101120</v>
      </c>
      <c r="C86" s="15">
        <v>7.82</v>
      </c>
      <c r="D86" s="15">
        <v>0.9</v>
      </c>
      <c r="E86" s="15">
        <f t="shared" si="0"/>
        <v>8.7200000000000006</v>
      </c>
      <c r="F86" s="15">
        <v>1.24</v>
      </c>
      <c r="G86" s="15">
        <f t="shared" si="1"/>
        <v>10.812800000000001</v>
      </c>
      <c r="H86" s="15">
        <v>1.1214999999999999</v>
      </c>
      <c r="I86" s="15">
        <f t="shared" si="2"/>
        <v>12.1265552</v>
      </c>
      <c r="J86" s="15">
        <v>0.74</v>
      </c>
      <c r="K86" s="15">
        <f t="shared" si="3"/>
        <v>12.866555200000001</v>
      </c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 spans="1:29" ht="14.25" x14ac:dyDescent="0.2">
      <c r="A87" s="13" t="s">
        <v>947</v>
      </c>
      <c r="B87" s="14">
        <v>5202888261176</v>
      </c>
      <c r="C87" s="15">
        <v>5.7</v>
      </c>
      <c r="D87" s="15">
        <v>0.9</v>
      </c>
      <c r="E87" s="15">
        <f t="shared" si="0"/>
        <v>6.6000000000000005</v>
      </c>
      <c r="F87" s="15">
        <v>1.24</v>
      </c>
      <c r="G87" s="15">
        <f t="shared" si="1"/>
        <v>8.1840000000000011</v>
      </c>
      <c r="H87" s="15">
        <v>1.1214999999999999</v>
      </c>
      <c r="I87" s="15">
        <f t="shared" si="2"/>
        <v>9.1783560000000008</v>
      </c>
      <c r="J87" s="15">
        <v>0.73999999999999899</v>
      </c>
      <c r="K87" s="15">
        <f t="shared" si="3"/>
        <v>9.9183559999999993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 spans="1:29" ht="14.25" x14ac:dyDescent="0.2">
      <c r="A88" s="13" t="s">
        <v>948</v>
      </c>
      <c r="B88" s="14">
        <v>5202888261145</v>
      </c>
      <c r="C88" s="15">
        <v>5.07</v>
      </c>
      <c r="D88" s="15">
        <v>0.9</v>
      </c>
      <c r="E88" s="15">
        <f t="shared" si="0"/>
        <v>5.9700000000000006</v>
      </c>
      <c r="F88" s="15">
        <v>1.24</v>
      </c>
      <c r="G88" s="15">
        <f t="shared" si="1"/>
        <v>7.4028000000000009</v>
      </c>
      <c r="H88" s="15">
        <v>1.1214999999999999</v>
      </c>
      <c r="I88" s="15">
        <f t="shared" si="2"/>
        <v>8.3022402</v>
      </c>
      <c r="J88" s="15">
        <v>0.73999999999999899</v>
      </c>
      <c r="K88" s="15">
        <f t="shared" si="3"/>
        <v>9.0422401999999984</v>
      </c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 spans="1:29" ht="14.25" x14ac:dyDescent="0.2">
      <c r="A89" s="13" t="s">
        <v>949</v>
      </c>
      <c r="B89" s="14">
        <v>5202888261183</v>
      </c>
      <c r="C89" s="15">
        <v>4.9000000000000004</v>
      </c>
      <c r="D89" s="15">
        <v>0.9</v>
      </c>
      <c r="E89" s="15">
        <f t="shared" si="0"/>
        <v>5.8000000000000007</v>
      </c>
      <c r="F89" s="15">
        <v>1.24</v>
      </c>
      <c r="G89" s="15">
        <f t="shared" si="1"/>
        <v>7.1920000000000011</v>
      </c>
      <c r="H89" s="15">
        <v>1.1214999999999999</v>
      </c>
      <c r="I89" s="15">
        <f t="shared" si="2"/>
        <v>8.0658280000000016</v>
      </c>
      <c r="J89" s="15">
        <v>0.73999999999999899</v>
      </c>
      <c r="K89" s="15">
        <f t="shared" si="3"/>
        <v>8.805828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 spans="1:29" ht="14.25" x14ac:dyDescent="0.2">
      <c r="A90" s="13" t="s">
        <v>950</v>
      </c>
      <c r="B90" s="14">
        <v>5202888106163</v>
      </c>
      <c r="C90" s="15">
        <v>5.16</v>
      </c>
      <c r="D90" s="15">
        <v>0.9</v>
      </c>
      <c r="E90" s="15">
        <f t="shared" si="0"/>
        <v>6.0600000000000005</v>
      </c>
      <c r="F90" s="15">
        <v>1.24</v>
      </c>
      <c r="G90" s="15">
        <f t="shared" si="1"/>
        <v>7.5144000000000002</v>
      </c>
      <c r="H90" s="15">
        <v>1.1214999999999999</v>
      </c>
      <c r="I90" s="15">
        <f t="shared" si="2"/>
        <v>8.4273995999999993</v>
      </c>
      <c r="J90" s="15">
        <v>1.49</v>
      </c>
      <c r="K90" s="15">
        <f t="shared" si="3"/>
        <v>9.9173995999999995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 spans="1:29" ht="14.25" x14ac:dyDescent="0.2">
      <c r="A91" s="13" t="s">
        <v>951</v>
      </c>
      <c r="B91" s="14">
        <v>5202888222405</v>
      </c>
      <c r="C91" s="15">
        <v>10.84</v>
      </c>
      <c r="D91" s="15">
        <v>0.9</v>
      </c>
      <c r="E91" s="15">
        <f t="shared" si="0"/>
        <v>11.74</v>
      </c>
      <c r="F91" s="15">
        <v>1.24</v>
      </c>
      <c r="G91" s="15">
        <f t="shared" si="1"/>
        <v>14.557600000000001</v>
      </c>
      <c r="H91" s="15">
        <v>1.1214999999999999</v>
      </c>
      <c r="I91" s="15">
        <f t="shared" si="2"/>
        <v>16.326348400000001</v>
      </c>
      <c r="J91" s="15">
        <v>0.73999999999999899</v>
      </c>
      <c r="K91" s="15">
        <f t="shared" si="3"/>
        <v>17.066348399999999</v>
      </c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 spans="1:29" ht="14.25" x14ac:dyDescent="0.2">
      <c r="A92" s="13" t="s">
        <v>952</v>
      </c>
      <c r="B92" s="14">
        <v>5202888281099</v>
      </c>
      <c r="C92" s="15">
        <v>4.1399999999999997</v>
      </c>
      <c r="D92" s="15">
        <v>0.9</v>
      </c>
      <c r="E92" s="15">
        <f t="shared" si="0"/>
        <v>5.04</v>
      </c>
      <c r="F92" s="15">
        <v>1.24</v>
      </c>
      <c r="G92" s="15">
        <f t="shared" si="1"/>
        <v>6.2496</v>
      </c>
      <c r="H92" s="15">
        <v>1.1214999999999999</v>
      </c>
      <c r="I92" s="15">
        <f t="shared" si="2"/>
        <v>7.0089264</v>
      </c>
      <c r="J92" s="15">
        <v>0.73999999999999899</v>
      </c>
      <c r="K92" s="15">
        <f t="shared" si="3"/>
        <v>7.7489263999999993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 spans="1:29" ht="14.25" x14ac:dyDescent="0.2">
      <c r="A93" s="13" t="s">
        <v>953</v>
      </c>
      <c r="B93" s="14">
        <v>5202888281105</v>
      </c>
      <c r="C93" s="15">
        <v>3.9</v>
      </c>
      <c r="D93" s="15">
        <v>0.9</v>
      </c>
      <c r="E93" s="15">
        <f t="shared" si="0"/>
        <v>4.8</v>
      </c>
      <c r="F93" s="15">
        <v>1.24</v>
      </c>
      <c r="G93" s="15">
        <f t="shared" si="1"/>
        <v>5.952</v>
      </c>
      <c r="H93" s="15">
        <v>1.1214999999999999</v>
      </c>
      <c r="I93" s="15">
        <f t="shared" si="2"/>
        <v>6.6751679999999993</v>
      </c>
      <c r="J93" s="15">
        <v>0.25</v>
      </c>
      <c r="K93" s="15">
        <f t="shared" si="3"/>
        <v>6.9251679999999993</v>
      </c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 spans="1:29" ht="14.25" x14ac:dyDescent="0.2">
      <c r="A94" s="13" t="s">
        <v>954</v>
      </c>
      <c r="B94" s="14">
        <v>5202888221200</v>
      </c>
      <c r="C94" s="15">
        <v>8.08</v>
      </c>
      <c r="D94" s="15">
        <v>0.9</v>
      </c>
      <c r="E94" s="15">
        <f t="shared" si="0"/>
        <v>8.98</v>
      </c>
      <c r="F94" s="15">
        <v>1.24</v>
      </c>
      <c r="G94" s="15">
        <f t="shared" si="1"/>
        <v>11.135200000000001</v>
      </c>
      <c r="H94" s="15">
        <v>1.1214999999999999</v>
      </c>
      <c r="I94" s="15">
        <f t="shared" si="2"/>
        <v>12.4881268</v>
      </c>
      <c r="J94" s="15">
        <v>0.73999999999999899</v>
      </c>
      <c r="K94" s="15">
        <f t="shared" si="3"/>
        <v>13.228126799999998</v>
      </c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 spans="1:29" ht="14.25" x14ac:dyDescent="0.2">
      <c r="A95" s="13" t="s">
        <v>955</v>
      </c>
      <c r="B95" s="14">
        <v>5202888101090</v>
      </c>
      <c r="C95" s="15">
        <v>8.27</v>
      </c>
      <c r="D95" s="15">
        <v>0.9</v>
      </c>
      <c r="E95" s="15">
        <f t="shared" si="0"/>
        <v>9.17</v>
      </c>
      <c r="F95" s="15">
        <v>1.24</v>
      </c>
      <c r="G95" s="15">
        <f t="shared" si="1"/>
        <v>11.370799999999999</v>
      </c>
      <c r="H95" s="15">
        <v>1.1214999999999999</v>
      </c>
      <c r="I95" s="15">
        <f t="shared" si="2"/>
        <v>12.752352199999999</v>
      </c>
      <c r="J95" s="15">
        <v>0.73999999999999899</v>
      </c>
      <c r="K95" s="15">
        <f t="shared" si="3"/>
        <v>13.492352199999997</v>
      </c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 spans="1:29" ht="14.25" x14ac:dyDescent="0.2">
      <c r="A96" s="13" t="s">
        <v>956</v>
      </c>
      <c r="B96" s="14">
        <v>5202888273261</v>
      </c>
      <c r="C96" s="15">
        <v>18.48</v>
      </c>
      <c r="D96" s="15">
        <v>0.9</v>
      </c>
      <c r="E96" s="15">
        <f t="shared" si="0"/>
        <v>19.38</v>
      </c>
      <c r="F96" s="15">
        <v>1.24</v>
      </c>
      <c r="G96" s="15">
        <f t="shared" si="1"/>
        <v>24.031199999999998</v>
      </c>
      <c r="H96" s="15">
        <v>1.1214999999999999</v>
      </c>
      <c r="I96" s="15">
        <f t="shared" si="2"/>
        <v>26.950990799999996</v>
      </c>
      <c r="J96" s="15">
        <v>0.73999999999999899</v>
      </c>
      <c r="K96" s="15">
        <f t="shared" si="3"/>
        <v>27.690990799999994</v>
      </c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 spans="1:29" ht="14.25" x14ac:dyDescent="0.2">
      <c r="A97" s="13" t="s">
        <v>957</v>
      </c>
      <c r="B97" s="14">
        <v>5202888223181</v>
      </c>
      <c r="C97" s="15">
        <v>8.19</v>
      </c>
      <c r="D97" s="15">
        <v>0.9</v>
      </c>
      <c r="E97" s="15">
        <f t="shared" si="0"/>
        <v>9.09</v>
      </c>
      <c r="F97" s="15">
        <v>1.06</v>
      </c>
      <c r="G97" s="15">
        <f t="shared" si="1"/>
        <v>9.6354000000000006</v>
      </c>
      <c r="H97" s="15">
        <v>1.1214999999999999</v>
      </c>
      <c r="I97" s="15">
        <f t="shared" si="2"/>
        <v>10.806101099999999</v>
      </c>
      <c r="J97" s="15">
        <v>0.73999999999999899</v>
      </c>
      <c r="K97" s="15">
        <f t="shared" si="3"/>
        <v>11.546101099999998</v>
      </c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 spans="1:29" ht="14.25" x14ac:dyDescent="0.2">
      <c r="A98" s="13" t="s">
        <v>958</v>
      </c>
      <c r="B98" s="14">
        <v>5202888273223</v>
      </c>
      <c r="C98" s="15">
        <v>19.16</v>
      </c>
      <c r="D98" s="15">
        <v>0.9</v>
      </c>
      <c r="E98" s="15">
        <f t="shared" si="0"/>
        <v>20.059999999999999</v>
      </c>
      <c r="F98" s="15">
        <v>1.24</v>
      </c>
      <c r="G98" s="15">
        <f t="shared" si="1"/>
        <v>24.874399999999998</v>
      </c>
      <c r="H98" s="15">
        <v>1.1214999999999999</v>
      </c>
      <c r="I98" s="15">
        <f t="shared" si="2"/>
        <v>27.896639599999997</v>
      </c>
      <c r="J98" s="15">
        <v>0.73999999999999899</v>
      </c>
      <c r="K98" s="15">
        <f t="shared" si="3"/>
        <v>28.636639599999995</v>
      </c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 spans="1:29" ht="14.25" x14ac:dyDescent="0.2">
      <c r="A99" s="13" t="s">
        <v>959</v>
      </c>
      <c r="B99" s="14">
        <v>5202888227158</v>
      </c>
      <c r="C99" s="15">
        <v>8.4</v>
      </c>
      <c r="D99" s="15">
        <v>0.9</v>
      </c>
      <c r="E99" s="15">
        <f t="shared" si="0"/>
        <v>9.3000000000000007</v>
      </c>
      <c r="F99" s="15">
        <v>1.24</v>
      </c>
      <c r="G99" s="15">
        <f t="shared" si="1"/>
        <v>11.532</v>
      </c>
      <c r="H99" s="15">
        <v>1.1214999999999999</v>
      </c>
      <c r="I99" s="15">
        <f t="shared" si="2"/>
        <v>12.933138</v>
      </c>
      <c r="J99" s="15">
        <v>1.49</v>
      </c>
      <c r="K99" s="15">
        <f t="shared" si="3"/>
        <v>14.423138</v>
      </c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 spans="1:29" ht="12.75" x14ac:dyDescent="0.2">
      <c r="A100" s="12" t="s">
        <v>960</v>
      </c>
      <c r="B100" s="38">
        <v>5202888271298</v>
      </c>
      <c r="C100" s="15">
        <v>32.200000000000003</v>
      </c>
      <c r="D100" s="15">
        <v>0.9</v>
      </c>
      <c r="E100" s="15">
        <f t="shared" si="0"/>
        <v>33.1</v>
      </c>
      <c r="F100" s="15">
        <v>1.24</v>
      </c>
      <c r="G100" s="15">
        <f t="shared" si="1"/>
        <v>41.044000000000004</v>
      </c>
      <c r="H100" s="15">
        <v>1.1214999999999999</v>
      </c>
      <c r="I100" s="15">
        <f t="shared" si="2"/>
        <v>46.030846000000004</v>
      </c>
      <c r="J100" s="15">
        <v>0.73999999999999899</v>
      </c>
      <c r="K100" s="15">
        <f t="shared" si="3"/>
        <v>46.770846000000006</v>
      </c>
    </row>
    <row r="101" spans="1:29" ht="12.75" x14ac:dyDescent="0.2">
      <c r="A101" s="12" t="s">
        <v>961</v>
      </c>
      <c r="B101" s="38">
        <v>5202888106125</v>
      </c>
      <c r="C101" s="15">
        <v>5.14</v>
      </c>
      <c r="D101" s="15">
        <v>0.9</v>
      </c>
      <c r="E101" s="15">
        <f t="shared" si="0"/>
        <v>6.04</v>
      </c>
      <c r="F101" s="15">
        <v>1.24</v>
      </c>
      <c r="G101" s="15">
        <f t="shared" si="1"/>
        <v>7.4896000000000003</v>
      </c>
      <c r="H101" s="15">
        <v>1.1214999999999999</v>
      </c>
      <c r="I101" s="15">
        <f t="shared" si="2"/>
        <v>8.3995864000000005</v>
      </c>
      <c r="J101" s="15">
        <v>0.73999999999999899</v>
      </c>
      <c r="K101" s="15">
        <f t="shared" si="3"/>
        <v>9.1395863999999989</v>
      </c>
    </row>
    <row r="102" spans="1:29" ht="12.75" x14ac:dyDescent="0.2">
      <c r="A102" s="12" t="s">
        <v>962</v>
      </c>
      <c r="B102" s="38">
        <v>5202888106156</v>
      </c>
      <c r="C102" s="15">
        <v>5.14</v>
      </c>
      <c r="D102" s="15">
        <v>0.9</v>
      </c>
      <c r="E102" s="15">
        <f t="shared" si="0"/>
        <v>6.04</v>
      </c>
      <c r="F102" s="15">
        <v>1.24</v>
      </c>
      <c r="G102" s="15">
        <f t="shared" si="1"/>
        <v>7.4896000000000003</v>
      </c>
      <c r="H102" s="15">
        <v>1.1214999999999999</v>
      </c>
      <c r="I102" s="15">
        <f t="shared" si="2"/>
        <v>8.3995864000000005</v>
      </c>
      <c r="J102" s="15">
        <v>0.73999999999999899</v>
      </c>
      <c r="K102" s="15">
        <f t="shared" si="3"/>
        <v>9.1395863999999989</v>
      </c>
    </row>
    <row r="103" spans="1:29" ht="12.75" x14ac:dyDescent="0.2">
      <c r="A103" s="12" t="s">
        <v>963</v>
      </c>
      <c r="B103" s="38">
        <v>5202888010026</v>
      </c>
      <c r="C103" s="15">
        <v>8.4600000000000009</v>
      </c>
      <c r="D103" s="15">
        <v>0.9</v>
      </c>
      <c r="E103" s="15">
        <f t="shared" si="0"/>
        <v>9.3600000000000012</v>
      </c>
      <c r="F103" s="15">
        <v>1.06</v>
      </c>
      <c r="G103" s="15">
        <f t="shared" si="1"/>
        <v>9.9216000000000015</v>
      </c>
      <c r="H103" s="15">
        <v>1.1214999999999999</v>
      </c>
      <c r="I103" s="15">
        <f t="shared" si="2"/>
        <v>11.127074400000001</v>
      </c>
      <c r="J103" s="15">
        <v>0.73999999999999899</v>
      </c>
      <c r="K103" s="15">
        <f t="shared" si="3"/>
        <v>11.8670744</v>
      </c>
    </row>
    <row r="104" spans="1:29" ht="12.75" x14ac:dyDescent="0.2">
      <c r="A104" s="12" t="s">
        <v>964</v>
      </c>
      <c r="B104" s="38">
        <v>5202888221187</v>
      </c>
      <c r="C104" s="15">
        <v>7.68</v>
      </c>
      <c r="D104" s="15">
        <v>0.9</v>
      </c>
      <c r="E104" s="15">
        <f t="shared" si="0"/>
        <v>8.58</v>
      </c>
      <c r="F104" s="15">
        <v>1.24</v>
      </c>
      <c r="G104" s="15">
        <f t="shared" si="1"/>
        <v>10.639200000000001</v>
      </c>
      <c r="H104" s="15">
        <v>1.1214999999999999</v>
      </c>
      <c r="I104" s="15">
        <f t="shared" si="2"/>
        <v>11.931862799999999</v>
      </c>
      <c r="J104" s="15">
        <v>0.73999999999999899</v>
      </c>
      <c r="K104" s="15">
        <f t="shared" si="3"/>
        <v>12.671862799999998</v>
      </c>
    </row>
    <row r="105" spans="1:29" ht="12.75" x14ac:dyDescent="0.2">
      <c r="A105" s="12" t="s">
        <v>965</v>
      </c>
      <c r="B105" s="38">
        <v>5202888271021</v>
      </c>
      <c r="C105" s="15">
        <v>13.94</v>
      </c>
      <c r="D105" s="15">
        <v>0.9</v>
      </c>
      <c r="E105" s="15">
        <f t="shared" si="0"/>
        <v>14.84</v>
      </c>
      <c r="F105" s="15">
        <v>1.24</v>
      </c>
      <c r="G105" s="15">
        <f t="shared" si="1"/>
        <v>18.401599999999998</v>
      </c>
      <c r="H105" s="15">
        <v>1.1214999999999999</v>
      </c>
      <c r="I105" s="15">
        <f t="shared" si="2"/>
        <v>20.637394399999998</v>
      </c>
      <c r="J105" s="15">
        <v>0.73999999999999899</v>
      </c>
      <c r="K105" s="15">
        <f t="shared" si="3"/>
        <v>21.377394399999996</v>
      </c>
    </row>
    <row r="106" spans="1:29" ht="12.75" x14ac:dyDescent="0.2">
      <c r="A106" s="12" t="s">
        <v>966</v>
      </c>
      <c r="B106" s="38">
        <v>5202888331558</v>
      </c>
      <c r="C106" s="15">
        <v>14.01</v>
      </c>
      <c r="D106" s="15">
        <v>0.9</v>
      </c>
      <c r="E106" s="15">
        <f t="shared" si="0"/>
        <v>14.91</v>
      </c>
      <c r="F106" s="15">
        <v>1.24</v>
      </c>
      <c r="G106" s="15">
        <f t="shared" si="1"/>
        <v>18.488399999999999</v>
      </c>
      <c r="H106" s="15">
        <v>1.1214999999999999</v>
      </c>
      <c r="I106" s="15">
        <f t="shared" si="2"/>
        <v>20.734740599999999</v>
      </c>
      <c r="J106" s="15">
        <v>0.73999999999999899</v>
      </c>
      <c r="K106" s="15">
        <f t="shared" si="3"/>
        <v>21.474740599999997</v>
      </c>
    </row>
    <row r="107" spans="1:29" ht="12.75" x14ac:dyDescent="0.2">
      <c r="A107" s="12" t="s">
        <v>967</v>
      </c>
      <c r="B107" s="38">
        <v>5202888102936</v>
      </c>
      <c r="C107" s="15">
        <v>7.5</v>
      </c>
      <c r="D107" s="15">
        <v>0.9</v>
      </c>
      <c r="E107" s="15">
        <f t="shared" si="0"/>
        <v>8.4</v>
      </c>
      <c r="F107" s="15">
        <v>1.24</v>
      </c>
      <c r="G107" s="15">
        <f t="shared" si="1"/>
        <v>10.416</v>
      </c>
      <c r="H107" s="15">
        <v>1.1214999999999999</v>
      </c>
      <c r="I107" s="15">
        <f t="shared" si="2"/>
        <v>11.681544000000001</v>
      </c>
      <c r="J107" s="15">
        <v>0.73999999999999899</v>
      </c>
      <c r="K107" s="15">
        <f t="shared" si="3"/>
        <v>12.421543999999999</v>
      </c>
    </row>
    <row r="108" spans="1:29" ht="12.75" x14ac:dyDescent="0.2">
      <c r="A108" s="6" t="s">
        <v>968</v>
      </c>
      <c r="B108" s="21" t="s">
        <v>969</v>
      </c>
      <c r="C108" s="15">
        <v>13.65</v>
      </c>
      <c r="D108" s="15">
        <v>0.9</v>
      </c>
      <c r="E108" s="15">
        <f t="shared" si="0"/>
        <v>14.55</v>
      </c>
      <c r="F108" s="15">
        <v>1.24</v>
      </c>
      <c r="G108" s="15">
        <f t="shared" si="1"/>
        <v>18.042000000000002</v>
      </c>
      <c r="H108" s="15">
        <v>1.1214999999999999</v>
      </c>
      <c r="I108" s="15">
        <f t="shared" si="2"/>
        <v>20.234103000000001</v>
      </c>
      <c r="J108" s="15">
        <v>0.74</v>
      </c>
      <c r="K108" s="15">
        <f t="shared" si="3"/>
        <v>20.974102999999999</v>
      </c>
    </row>
    <row r="109" spans="1:29" ht="12.75" x14ac:dyDescent="0.2">
      <c r="A109" s="6" t="s">
        <v>970</v>
      </c>
      <c r="B109" s="21" t="s">
        <v>971</v>
      </c>
      <c r="C109" s="15">
        <v>10.63</v>
      </c>
      <c r="D109" s="15">
        <v>0.9</v>
      </c>
      <c r="E109" s="15">
        <f t="shared" si="0"/>
        <v>11.530000000000001</v>
      </c>
      <c r="F109" s="15">
        <v>1.24</v>
      </c>
      <c r="G109" s="15">
        <f t="shared" si="1"/>
        <v>14.297200000000002</v>
      </c>
      <c r="H109" s="15">
        <v>1.1214999999999999</v>
      </c>
      <c r="I109" s="15">
        <f t="shared" si="2"/>
        <v>16.034309800000003</v>
      </c>
      <c r="J109" s="15">
        <v>0.73999999999999899</v>
      </c>
      <c r="K109" s="15">
        <f t="shared" si="3"/>
        <v>16.774309800000001</v>
      </c>
    </row>
    <row r="110" spans="1:29" ht="12.75" x14ac:dyDescent="0.2">
      <c r="A110" s="6" t="s">
        <v>972</v>
      </c>
      <c r="B110" s="21" t="s">
        <v>973</v>
      </c>
      <c r="C110" s="15">
        <v>10.59</v>
      </c>
      <c r="D110" s="15">
        <v>0.9</v>
      </c>
      <c r="E110" s="15">
        <f t="shared" si="0"/>
        <v>11.49</v>
      </c>
      <c r="F110" s="15">
        <v>1.24</v>
      </c>
      <c r="G110" s="15">
        <f t="shared" si="1"/>
        <v>14.2476</v>
      </c>
      <c r="H110" s="15">
        <v>1.1214999999999999</v>
      </c>
      <c r="I110" s="15">
        <f t="shared" si="2"/>
        <v>15.9786834</v>
      </c>
      <c r="J110" s="15">
        <v>0.74</v>
      </c>
      <c r="K110" s="15">
        <f t="shared" si="3"/>
        <v>16.7186834</v>
      </c>
    </row>
    <row r="111" spans="1:29" ht="12.75" x14ac:dyDescent="0.2">
      <c r="A111" s="12" t="s">
        <v>974</v>
      </c>
      <c r="B111" s="38">
        <v>5202888221262</v>
      </c>
      <c r="C111" s="15">
        <v>8.6999999999999993</v>
      </c>
      <c r="D111" s="15">
        <v>0.9</v>
      </c>
      <c r="E111" s="15">
        <f t="shared" si="0"/>
        <v>9.6</v>
      </c>
      <c r="F111" s="15">
        <v>1.24</v>
      </c>
      <c r="G111" s="15">
        <f t="shared" si="1"/>
        <v>11.904</v>
      </c>
      <c r="H111" s="15">
        <v>1.1214999999999999</v>
      </c>
      <c r="I111" s="15">
        <f t="shared" si="2"/>
        <v>13.350335999999999</v>
      </c>
      <c r="J111" s="15">
        <v>0.73999999999999899</v>
      </c>
      <c r="K111" s="15">
        <f t="shared" si="3"/>
        <v>14.090335999999997</v>
      </c>
    </row>
    <row r="112" spans="1:29" ht="12.75" x14ac:dyDescent="0.2">
      <c r="A112" s="12" t="s">
        <v>975</v>
      </c>
      <c r="B112" s="38">
        <v>5202888222313</v>
      </c>
      <c r="C112" s="15">
        <v>12.46</v>
      </c>
      <c r="D112" s="15">
        <v>0.9</v>
      </c>
      <c r="E112" s="15">
        <f t="shared" si="0"/>
        <v>13.360000000000001</v>
      </c>
      <c r="F112" s="15">
        <v>1.24</v>
      </c>
      <c r="G112" s="15">
        <f t="shared" si="1"/>
        <v>16.566400000000002</v>
      </c>
      <c r="H112" s="15">
        <v>1.1214999999999999</v>
      </c>
      <c r="I112" s="15">
        <f t="shared" si="2"/>
        <v>18.5792176</v>
      </c>
      <c r="J112" s="15">
        <v>0.73999999999999899</v>
      </c>
      <c r="K112" s="15">
        <f t="shared" si="3"/>
        <v>19.319217599999998</v>
      </c>
    </row>
    <row r="113" spans="1:11" ht="12.75" x14ac:dyDescent="0.2">
      <c r="A113" s="12" t="s">
        <v>976</v>
      </c>
      <c r="B113" s="38">
        <v>5202888222436</v>
      </c>
      <c r="C113" s="15">
        <v>11.35</v>
      </c>
      <c r="D113" s="15">
        <v>0.9</v>
      </c>
      <c r="E113" s="15">
        <f t="shared" si="0"/>
        <v>12.25</v>
      </c>
      <c r="F113" s="15">
        <v>1.24</v>
      </c>
      <c r="G113" s="15">
        <f t="shared" si="1"/>
        <v>15.19</v>
      </c>
      <c r="H113" s="15">
        <v>1.1214999999999999</v>
      </c>
      <c r="I113" s="15">
        <f t="shared" si="2"/>
        <v>17.035584999999998</v>
      </c>
      <c r="J113" s="15">
        <v>0.73999999999999899</v>
      </c>
      <c r="K113" s="15">
        <f t="shared" si="3"/>
        <v>17.775584999999996</v>
      </c>
    </row>
    <row r="114" spans="1:11" ht="12.75" x14ac:dyDescent="0.2">
      <c r="A114" s="6" t="s">
        <v>977</v>
      </c>
      <c r="B114" s="21">
        <v>5202888271342</v>
      </c>
      <c r="C114" s="15">
        <v>34.049999999999997</v>
      </c>
      <c r="D114" s="15">
        <v>0.9</v>
      </c>
      <c r="E114" s="15">
        <f t="shared" si="0"/>
        <v>34.949999999999996</v>
      </c>
      <c r="F114" s="15">
        <v>1.24</v>
      </c>
      <c r="G114" s="15">
        <f t="shared" si="1"/>
        <v>43.337999999999994</v>
      </c>
      <c r="H114" s="15">
        <v>1.1214999999999999</v>
      </c>
      <c r="I114" s="15">
        <f t="shared" si="2"/>
        <v>48.603566999999991</v>
      </c>
      <c r="J114" s="15">
        <v>0.73999999999999899</v>
      </c>
      <c r="K114" s="15">
        <f t="shared" si="3"/>
        <v>49.343566999999993</v>
      </c>
    </row>
    <row r="115" spans="1:11" ht="12.75" x14ac:dyDescent="0.2">
      <c r="A115" s="6" t="s">
        <v>978</v>
      </c>
      <c r="B115" s="21">
        <v>5202888271335</v>
      </c>
      <c r="C115" s="15">
        <v>37.89</v>
      </c>
      <c r="D115" s="15">
        <v>0.9</v>
      </c>
      <c r="E115" s="15">
        <f t="shared" si="0"/>
        <v>38.79</v>
      </c>
      <c r="F115" s="15">
        <v>1.24</v>
      </c>
      <c r="G115" s="15">
        <f t="shared" si="1"/>
        <v>48.099599999999995</v>
      </c>
      <c r="H115" s="15">
        <v>1.1214999999999999</v>
      </c>
      <c r="I115" s="15">
        <f t="shared" si="2"/>
        <v>53.943701399999995</v>
      </c>
      <c r="J115" s="15">
        <v>0.73999999999999899</v>
      </c>
      <c r="K115" s="15">
        <f t="shared" si="3"/>
        <v>54.683701399999997</v>
      </c>
    </row>
    <row r="116" spans="1:11" ht="12.75" x14ac:dyDescent="0.2">
      <c r="A116" s="6" t="s">
        <v>979</v>
      </c>
      <c r="B116" s="21">
        <v>5202888271397</v>
      </c>
      <c r="C116" s="15">
        <v>15.18</v>
      </c>
      <c r="D116" s="15">
        <v>0.9</v>
      </c>
      <c r="E116" s="15">
        <f t="shared" si="0"/>
        <v>16.079999999999998</v>
      </c>
      <c r="F116" s="15">
        <v>1.24</v>
      </c>
      <c r="G116" s="15">
        <f t="shared" si="1"/>
        <v>19.939199999999996</v>
      </c>
      <c r="H116" s="15">
        <v>1.1214999999999999</v>
      </c>
      <c r="I116" s="15">
        <f t="shared" si="2"/>
        <v>22.361812799999996</v>
      </c>
      <c r="J116" s="15">
        <v>0.73999999999999899</v>
      </c>
      <c r="K116" s="15">
        <f t="shared" si="3"/>
        <v>23.101812799999994</v>
      </c>
    </row>
    <row r="117" spans="1:11" ht="12.75" x14ac:dyDescent="0.2">
      <c r="A117" s="6" t="s">
        <v>980</v>
      </c>
      <c r="B117" s="21">
        <v>5202888271380</v>
      </c>
      <c r="C117" s="15">
        <v>18.16</v>
      </c>
      <c r="D117" s="15">
        <v>0.9</v>
      </c>
      <c r="E117" s="15">
        <f t="shared" si="0"/>
        <v>19.059999999999999</v>
      </c>
      <c r="F117" s="15">
        <v>1.24</v>
      </c>
      <c r="G117" s="15">
        <f t="shared" si="1"/>
        <v>23.634399999999999</v>
      </c>
      <c r="H117" s="15">
        <v>1.1214999999999999</v>
      </c>
      <c r="I117" s="15">
        <f t="shared" si="2"/>
        <v>26.505979599999996</v>
      </c>
      <c r="J117" s="15">
        <v>0.73999999999999899</v>
      </c>
      <c r="K117" s="15">
        <f t="shared" si="3"/>
        <v>27.245979599999995</v>
      </c>
    </row>
    <row r="118" spans="1:11" ht="12.75" x14ac:dyDescent="0.2">
      <c r="A118" s="6" t="s">
        <v>981</v>
      </c>
      <c r="B118" s="21">
        <v>5202888271373</v>
      </c>
      <c r="C118" s="15">
        <v>30.38</v>
      </c>
      <c r="D118" s="15">
        <v>0.9</v>
      </c>
      <c r="E118" s="15">
        <f t="shared" si="0"/>
        <v>31.279999999999998</v>
      </c>
      <c r="F118" s="15">
        <v>1.24</v>
      </c>
      <c r="G118" s="15">
        <f t="shared" si="1"/>
        <v>38.787199999999999</v>
      </c>
      <c r="H118" s="15">
        <v>1.1214999999999999</v>
      </c>
      <c r="I118" s="15">
        <f t="shared" si="2"/>
        <v>43.499844799999998</v>
      </c>
      <c r="J118" s="15">
        <v>0.73999999999999899</v>
      </c>
      <c r="K118" s="15">
        <f t="shared" si="3"/>
        <v>44.2398448</v>
      </c>
    </row>
    <row r="119" spans="1:11" ht="12.75" x14ac:dyDescent="0.2">
      <c r="A119" s="12" t="s">
        <v>982</v>
      </c>
      <c r="B119" s="38">
        <v>5202888101106</v>
      </c>
      <c r="C119" s="15">
        <v>6.66</v>
      </c>
      <c r="D119" s="15">
        <v>0.9</v>
      </c>
      <c r="E119" s="15">
        <f t="shared" si="0"/>
        <v>7.5600000000000005</v>
      </c>
      <c r="F119" s="15">
        <v>1.24</v>
      </c>
      <c r="G119" s="15">
        <f t="shared" si="1"/>
        <v>9.3744000000000014</v>
      </c>
      <c r="H119" s="15">
        <v>1.1214999999999999</v>
      </c>
      <c r="I119" s="15">
        <f t="shared" si="2"/>
        <v>10.513389600000002</v>
      </c>
      <c r="J119" s="15">
        <v>0.73999999999999899</v>
      </c>
      <c r="K119" s="15">
        <f t="shared" si="3"/>
        <v>11.2533896</v>
      </c>
    </row>
    <row r="120" spans="1:11" ht="12.75" x14ac:dyDescent="0.2">
      <c r="A120" s="12" t="s">
        <v>983</v>
      </c>
      <c r="B120" s="38">
        <v>5202888105036</v>
      </c>
      <c r="C120" s="15">
        <v>11.81</v>
      </c>
      <c r="D120" s="15">
        <v>0.9</v>
      </c>
      <c r="E120" s="15">
        <f t="shared" si="0"/>
        <v>12.71</v>
      </c>
      <c r="F120" s="15">
        <v>1.24</v>
      </c>
      <c r="G120" s="15">
        <f t="shared" si="1"/>
        <v>15.760400000000001</v>
      </c>
      <c r="H120" s="15">
        <v>1.1214999999999999</v>
      </c>
      <c r="I120" s="15">
        <f t="shared" si="2"/>
        <v>17.675288599999998</v>
      </c>
      <c r="J120" s="15">
        <v>0.73999999999999899</v>
      </c>
      <c r="K120" s="15">
        <f t="shared" si="3"/>
        <v>18.415288599999997</v>
      </c>
    </row>
    <row r="121" spans="1:11" ht="12.75" x14ac:dyDescent="0.2">
      <c r="A121" s="12" t="s">
        <v>984</v>
      </c>
      <c r="B121" s="38">
        <v>5202888105050</v>
      </c>
      <c r="C121" s="15">
        <v>8.0500000000000007</v>
      </c>
      <c r="D121" s="15">
        <v>0.5</v>
      </c>
      <c r="E121" s="15">
        <f t="shared" si="0"/>
        <v>8.5500000000000007</v>
      </c>
      <c r="F121" s="15">
        <v>1.24</v>
      </c>
      <c r="G121" s="15">
        <f t="shared" si="1"/>
        <v>10.602</v>
      </c>
      <c r="H121" s="15">
        <v>1.1214999999999999</v>
      </c>
      <c r="I121" s="15">
        <f t="shared" si="2"/>
        <v>11.890143</v>
      </c>
      <c r="J121" s="15">
        <v>0.73999999999999899</v>
      </c>
      <c r="K121" s="15">
        <f t="shared" si="3"/>
        <v>12.630142999999999</v>
      </c>
    </row>
    <row r="122" spans="1:11" ht="12.75" x14ac:dyDescent="0.2">
      <c r="A122" s="12" t="s">
        <v>985</v>
      </c>
      <c r="B122" s="38">
        <v>5202888331596</v>
      </c>
      <c r="C122" s="15">
        <v>8.2100000000000009</v>
      </c>
      <c r="D122" s="15">
        <v>0.9</v>
      </c>
      <c r="E122" s="15">
        <f t="shared" si="0"/>
        <v>9.1100000000000012</v>
      </c>
      <c r="F122" s="15">
        <v>1.24</v>
      </c>
      <c r="G122" s="15">
        <f t="shared" si="1"/>
        <v>11.296400000000002</v>
      </c>
      <c r="H122" s="15">
        <v>1.1214999999999999</v>
      </c>
      <c r="I122" s="15">
        <f t="shared" si="2"/>
        <v>12.668912600000002</v>
      </c>
      <c r="J122" s="15">
        <v>0.73999999999999899</v>
      </c>
      <c r="K122" s="15">
        <f t="shared" si="3"/>
        <v>13.408912600000001</v>
      </c>
    </row>
    <row r="123" spans="1:11" ht="12.75" x14ac:dyDescent="0.2">
      <c r="A123" s="12" t="s">
        <v>986</v>
      </c>
      <c r="B123" s="38">
        <v>5202888105128</v>
      </c>
      <c r="C123" s="15">
        <v>6.32</v>
      </c>
      <c r="D123" s="15">
        <v>0.5</v>
      </c>
      <c r="E123" s="15">
        <f t="shared" si="0"/>
        <v>6.82</v>
      </c>
      <c r="F123" s="15">
        <v>1.24</v>
      </c>
      <c r="G123" s="15">
        <f t="shared" si="1"/>
        <v>8.4567999999999994</v>
      </c>
      <c r="H123" s="15">
        <v>1.1214999999999999</v>
      </c>
      <c r="I123" s="15">
        <f t="shared" si="2"/>
        <v>9.4843011999999991</v>
      </c>
      <c r="J123" s="15">
        <v>0.74</v>
      </c>
      <c r="K123" s="15">
        <f t="shared" si="3"/>
        <v>10.224301199999999</v>
      </c>
    </row>
    <row r="124" spans="1:11" ht="12.75" x14ac:dyDescent="0.2">
      <c r="A124" s="12" t="s">
        <v>987</v>
      </c>
      <c r="B124" s="38">
        <v>5202888295003</v>
      </c>
      <c r="C124" s="15">
        <v>9.61</v>
      </c>
      <c r="D124" s="15">
        <v>0.9</v>
      </c>
      <c r="E124" s="15">
        <f t="shared" si="0"/>
        <v>10.51</v>
      </c>
      <c r="F124" s="15">
        <v>1.24</v>
      </c>
      <c r="G124" s="15">
        <f t="shared" si="1"/>
        <v>13.032399999999999</v>
      </c>
      <c r="H124" s="15">
        <v>1.1214999999999999</v>
      </c>
      <c r="I124" s="15">
        <f t="shared" si="2"/>
        <v>14.615836599999998</v>
      </c>
      <c r="J124" s="15">
        <v>0.73999999999999899</v>
      </c>
      <c r="K124" s="15">
        <f t="shared" si="3"/>
        <v>15.355836599999996</v>
      </c>
    </row>
    <row r="125" spans="1:11" ht="12.75" x14ac:dyDescent="0.2">
      <c r="A125" s="6" t="s">
        <v>988</v>
      </c>
      <c r="B125" s="21" t="s">
        <v>989</v>
      </c>
      <c r="C125" s="15">
        <v>9.43</v>
      </c>
      <c r="D125" s="15">
        <v>0.9</v>
      </c>
      <c r="E125" s="15">
        <f t="shared" si="0"/>
        <v>10.33</v>
      </c>
      <c r="F125" s="15">
        <v>1.24</v>
      </c>
      <c r="G125" s="15">
        <f t="shared" si="1"/>
        <v>12.809200000000001</v>
      </c>
      <c r="H125" s="15">
        <v>1.1214999999999999</v>
      </c>
      <c r="I125" s="15">
        <f t="shared" si="2"/>
        <v>14.365517799999999</v>
      </c>
      <c r="J125" s="15">
        <v>0.73999999999999899</v>
      </c>
      <c r="K125" s="15">
        <f t="shared" si="3"/>
        <v>15.105517799999998</v>
      </c>
    </row>
    <row r="126" spans="1:11" ht="12.75" x14ac:dyDescent="0.2">
      <c r="A126" s="6" t="s">
        <v>990</v>
      </c>
      <c r="B126" s="21" t="s">
        <v>991</v>
      </c>
      <c r="C126" s="15">
        <v>9.11</v>
      </c>
      <c r="D126" s="15">
        <v>0.9</v>
      </c>
      <c r="E126" s="15">
        <f t="shared" si="0"/>
        <v>10.01</v>
      </c>
      <c r="F126" s="15">
        <v>1.24</v>
      </c>
      <c r="G126" s="15">
        <f t="shared" si="1"/>
        <v>12.4124</v>
      </c>
      <c r="H126" s="15">
        <v>1.1214999999999999</v>
      </c>
      <c r="I126" s="15">
        <f t="shared" si="2"/>
        <v>13.9205066</v>
      </c>
      <c r="J126" s="15">
        <v>0.73999999999999899</v>
      </c>
      <c r="K126" s="15">
        <f t="shared" si="3"/>
        <v>14.660506599999998</v>
      </c>
    </row>
    <row r="127" spans="1:11" ht="12.75" x14ac:dyDescent="0.2">
      <c r="A127" s="6" t="s">
        <v>992</v>
      </c>
      <c r="B127" s="21" t="s">
        <v>993</v>
      </c>
      <c r="C127" s="15">
        <v>10.45</v>
      </c>
      <c r="D127" s="15">
        <v>0.9</v>
      </c>
      <c r="E127" s="15">
        <f t="shared" si="0"/>
        <v>11.35</v>
      </c>
      <c r="F127" s="15">
        <v>1.24</v>
      </c>
      <c r="G127" s="15">
        <f t="shared" si="1"/>
        <v>14.074</v>
      </c>
      <c r="H127" s="15">
        <v>1.1214999999999999</v>
      </c>
      <c r="I127" s="15">
        <f t="shared" si="2"/>
        <v>15.783990999999999</v>
      </c>
      <c r="J127" s="15">
        <v>0.73999999999999899</v>
      </c>
      <c r="K127" s="15">
        <f t="shared" si="3"/>
        <v>16.523990999999999</v>
      </c>
    </row>
    <row r="128" spans="1:11" ht="12.75" x14ac:dyDescent="0.2">
      <c r="A128" s="6" t="s">
        <v>994</v>
      </c>
      <c r="B128" s="21" t="s">
        <v>995</v>
      </c>
      <c r="C128" s="15">
        <v>13.76</v>
      </c>
      <c r="D128" s="15">
        <v>0.9</v>
      </c>
      <c r="E128" s="15">
        <f t="shared" si="0"/>
        <v>14.66</v>
      </c>
      <c r="F128" s="15">
        <v>1.24</v>
      </c>
      <c r="G128" s="15">
        <f t="shared" si="1"/>
        <v>18.1784</v>
      </c>
      <c r="H128" s="15">
        <v>1.1214999999999999</v>
      </c>
      <c r="I128" s="15">
        <f t="shared" si="2"/>
        <v>20.387075599999999</v>
      </c>
      <c r="J128" s="15">
        <v>0.73999999999999899</v>
      </c>
      <c r="K128" s="15">
        <f t="shared" si="3"/>
        <v>21.127075599999998</v>
      </c>
    </row>
    <row r="129" spans="1:11" ht="12.75" x14ac:dyDescent="0.2">
      <c r="A129" s="6" t="s">
        <v>996</v>
      </c>
      <c r="B129" s="21" t="s">
        <v>997</v>
      </c>
      <c r="C129" s="15">
        <v>13.38</v>
      </c>
      <c r="D129" s="15">
        <v>0.9</v>
      </c>
      <c r="E129" s="15">
        <f t="shared" si="0"/>
        <v>14.280000000000001</v>
      </c>
      <c r="F129" s="15">
        <v>1.24</v>
      </c>
      <c r="G129" s="15">
        <f t="shared" si="1"/>
        <v>17.7072</v>
      </c>
      <c r="H129" s="15">
        <v>1.1214999999999999</v>
      </c>
      <c r="I129" s="15">
        <f t="shared" si="2"/>
        <v>19.858624799999998</v>
      </c>
      <c r="J129" s="15">
        <v>0.73999999999999899</v>
      </c>
      <c r="K129" s="15">
        <f t="shared" si="3"/>
        <v>20.598624799999996</v>
      </c>
    </row>
    <row r="130" spans="1:11" ht="12.75" x14ac:dyDescent="0.2">
      <c r="A130" s="12" t="s">
        <v>998</v>
      </c>
      <c r="B130" s="38">
        <v>5202888223235</v>
      </c>
      <c r="C130" s="15">
        <v>4.55</v>
      </c>
      <c r="D130" s="15">
        <v>0.3</v>
      </c>
      <c r="E130" s="15">
        <f t="shared" si="0"/>
        <v>4.8499999999999996</v>
      </c>
      <c r="F130" s="15">
        <v>1.24</v>
      </c>
      <c r="G130" s="15">
        <f t="shared" si="1"/>
        <v>6.0139999999999993</v>
      </c>
      <c r="H130" s="15">
        <v>1.1214999999999999</v>
      </c>
      <c r="I130" s="15">
        <f t="shared" si="2"/>
        <v>6.7447009999999992</v>
      </c>
      <c r="J130" s="15">
        <v>0.25</v>
      </c>
      <c r="K130" s="15">
        <f t="shared" si="3"/>
        <v>6.9947009999999992</v>
      </c>
    </row>
    <row r="131" spans="1:11" ht="12.75" x14ac:dyDescent="0.2">
      <c r="A131" s="12" t="s">
        <v>999</v>
      </c>
      <c r="B131" s="38">
        <v>5202888227554</v>
      </c>
      <c r="C131" s="15">
        <v>7.71</v>
      </c>
      <c r="D131" s="15">
        <v>0.9</v>
      </c>
      <c r="E131" s="15">
        <f t="shared" si="0"/>
        <v>8.61</v>
      </c>
      <c r="F131" s="15">
        <v>1.24</v>
      </c>
      <c r="G131" s="15">
        <f t="shared" si="1"/>
        <v>10.676399999999999</v>
      </c>
      <c r="H131" s="15">
        <v>1.1214999999999999</v>
      </c>
      <c r="I131" s="15">
        <f t="shared" si="2"/>
        <v>11.973582599999999</v>
      </c>
      <c r="J131" s="15">
        <v>0.73999999999999899</v>
      </c>
      <c r="K131" s="15">
        <f t="shared" si="3"/>
        <v>12.713582599999997</v>
      </c>
    </row>
    <row r="132" spans="1:11" ht="12.75" x14ac:dyDescent="0.2">
      <c r="A132" s="12" t="s">
        <v>1000</v>
      </c>
      <c r="B132" s="38">
        <v>5202888223198</v>
      </c>
      <c r="C132" s="15">
        <v>10.34</v>
      </c>
      <c r="D132" s="15">
        <v>0.3</v>
      </c>
      <c r="E132" s="15">
        <f t="shared" si="0"/>
        <v>10.64</v>
      </c>
      <c r="F132" s="15">
        <v>1.06</v>
      </c>
      <c r="G132" s="15">
        <f t="shared" si="1"/>
        <v>11.278400000000001</v>
      </c>
      <c r="H132" s="15">
        <v>1.1214999999999999</v>
      </c>
      <c r="I132" s="15">
        <f t="shared" si="2"/>
        <v>12.648725600000001</v>
      </c>
      <c r="J132" s="15">
        <v>0.73999999999999899</v>
      </c>
      <c r="K132" s="15">
        <f t="shared" si="3"/>
        <v>13.388725599999999</v>
      </c>
    </row>
    <row r="133" spans="1:11" ht="12.75" x14ac:dyDescent="0.2">
      <c r="A133" s="12" t="s">
        <v>1001</v>
      </c>
      <c r="B133" s="38">
        <v>5202888271403</v>
      </c>
      <c r="C133" s="15">
        <v>18.96</v>
      </c>
      <c r="D133" s="15">
        <v>0.9</v>
      </c>
      <c r="E133" s="15">
        <f t="shared" si="0"/>
        <v>19.86</v>
      </c>
      <c r="F133" s="15">
        <v>1.24</v>
      </c>
      <c r="G133" s="15">
        <f t="shared" si="1"/>
        <v>24.6264</v>
      </c>
      <c r="H133" s="15">
        <v>1.1214999999999999</v>
      </c>
      <c r="I133" s="15">
        <f t="shared" si="2"/>
        <v>27.618507599999997</v>
      </c>
      <c r="J133" s="15">
        <v>0.73999999999999899</v>
      </c>
      <c r="K133" s="15">
        <f t="shared" si="3"/>
        <v>28.358507599999996</v>
      </c>
    </row>
    <row r="134" spans="1:11" ht="12.75" x14ac:dyDescent="0.2">
      <c r="A134" s="12" t="s">
        <v>1002</v>
      </c>
      <c r="B134" s="38">
        <v>5202888331565</v>
      </c>
      <c r="C134" s="15">
        <v>14.04</v>
      </c>
      <c r="D134" s="15">
        <v>0.9</v>
      </c>
      <c r="E134" s="15">
        <f t="shared" si="0"/>
        <v>14.94</v>
      </c>
      <c r="F134" s="15">
        <v>1.24</v>
      </c>
      <c r="G134" s="15">
        <f t="shared" si="1"/>
        <v>18.525600000000001</v>
      </c>
      <c r="H134" s="15">
        <v>1.1214999999999999</v>
      </c>
      <c r="I134" s="15">
        <f t="shared" si="2"/>
        <v>20.776460400000001</v>
      </c>
      <c r="J134" s="15">
        <v>0.73999999999999899</v>
      </c>
      <c r="K134" s="15">
        <f t="shared" si="3"/>
        <v>21.5164604</v>
      </c>
    </row>
    <row r="135" spans="1:11" ht="12.75" x14ac:dyDescent="0.2">
      <c r="B135" s="38"/>
      <c r="C135" s="15">
        <v>0</v>
      </c>
      <c r="D135" s="15">
        <v>0.9</v>
      </c>
      <c r="E135" s="15">
        <f t="shared" si="0"/>
        <v>0.9</v>
      </c>
      <c r="F135" s="15">
        <v>1.24</v>
      </c>
      <c r="G135" s="15">
        <f t="shared" si="1"/>
        <v>1.1160000000000001</v>
      </c>
      <c r="H135" s="15">
        <v>1.1214999999999999</v>
      </c>
      <c r="I135" s="15">
        <f t="shared" si="2"/>
        <v>1.2515940000000001</v>
      </c>
      <c r="J135" s="15">
        <v>0.73999999999999899</v>
      </c>
      <c r="K135" s="15">
        <f t="shared" si="3"/>
        <v>1.9915939999999992</v>
      </c>
    </row>
    <row r="136" spans="1:11" ht="12.75" x14ac:dyDescent="0.2">
      <c r="B136" s="38"/>
      <c r="C136" s="15">
        <v>0</v>
      </c>
      <c r="D136" s="15">
        <v>0.9</v>
      </c>
      <c r="E136" s="15">
        <f t="shared" si="0"/>
        <v>0.9</v>
      </c>
      <c r="F136" s="15">
        <v>1.24</v>
      </c>
      <c r="G136" s="15">
        <f t="shared" si="1"/>
        <v>1.1160000000000001</v>
      </c>
      <c r="H136" s="15">
        <v>1.1214999999999999</v>
      </c>
      <c r="I136" s="15">
        <f t="shared" si="2"/>
        <v>1.2515940000000001</v>
      </c>
      <c r="J136" s="15">
        <v>0.73999999999999899</v>
      </c>
      <c r="K136" s="15">
        <f t="shared" si="3"/>
        <v>1.9915939999999992</v>
      </c>
    </row>
    <row r="137" spans="1:11" ht="12.75" x14ac:dyDescent="0.2">
      <c r="B137" s="38"/>
      <c r="C137" s="15">
        <v>0</v>
      </c>
      <c r="D137" s="15">
        <v>0.9</v>
      </c>
      <c r="E137" s="15">
        <f t="shared" si="0"/>
        <v>0.9</v>
      </c>
      <c r="F137" s="15">
        <v>1.24</v>
      </c>
      <c r="G137" s="15">
        <f t="shared" si="1"/>
        <v>1.1160000000000001</v>
      </c>
      <c r="H137" s="15">
        <v>1.1214999999999999</v>
      </c>
      <c r="I137" s="15">
        <f t="shared" si="2"/>
        <v>1.2515940000000001</v>
      </c>
      <c r="J137" s="15">
        <v>0.73999999999999899</v>
      </c>
      <c r="K137" s="15">
        <f t="shared" si="3"/>
        <v>1.9915939999999992</v>
      </c>
    </row>
    <row r="138" spans="1:11" ht="12.75" x14ac:dyDescent="0.2">
      <c r="B138" s="38"/>
      <c r="C138" s="15">
        <v>0</v>
      </c>
      <c r="D138" s="15">
        <v>0.9</v>
      </c>
      <c r="E138" s="15">
        <f t="shared" si="0"/>
        <v>0.9</v>
      </c>
      <c r="F138" s="15">
        <v>1.24</v>
      </c>
      <c r="G138" s="15">
        <f t="shared" si="1"/>
        <v>1.1160000000000001</v>
      </c>
      <c r="H138" s="15">
        <v>1.1214999999999999</v>
      </c>
      <c r="I138" s="15">
        <f t="shared" si="2"/>
        <v>1.2515940000000001</v>
      </c>
      <c r="J138" s="15">
        <v>0.73999999999999899</v>
      </c>
      <c r="K138" s="15">
        <f t="shared" si="3"/>
        <v>1.9915939999999992</v>
      </c>
    </row>
    <row r="139" spans="1:11" ht="12.75" x14ac:dyDescent="0.2">
      <c r="B139" s="38"/>
      <c r="C139" s="15">
        <v>0</v>
      </c>
      <c r="D139" s="15">
        <v>0.9</v>
      </c>
      <c r="E139" s="15">
        <f t="shared" si="0"/>
        <v>0.9</v>
      </c>
      <c r="F139" s="15">
        <v>1.24</v>
      </c>
      <c r="G139" s="15">
        <f t="shared" si="1"/>
        <v>1.1160000000000001</v>
      </c>
      <c r="H139" s="15">
        <v>1.1214999999999999</v>
      </c>
      <c r="I139" s="15">
        <f t="shared" si="2"/>
        <v>1.2515940000000001</v>
      </c>
      <c r="J139" s="15">
        <v>0.73999999999999899</v>
      </c>
      <c r="K139" s="15">
        <f t="shared" si="3"/>
        <v>1.9915939999999992</v>
      </c>
    </row>
    <row r="140" spans="1:11" ht="12.75" x14ac:dyDescent="0.2">
      <c r="B140" s="38"/>
      <c r="C140" s="15">
        <v>0</v>
      </c>
      <c r="D140" s="15">
        <v>0.9</v>
      </c>
      <c r="E140" s="15">
        <f t="shared" si="0"/>
        <v>0.9</v>
      </c>
      <c r="F140" s="15">
        <v>1.24</v>
      </c>
      <c r="G140" s="15">
        <f t="shared" si="1"/>
        <v>1.1160000000000001</v>
      </c>
      <c r="H140" s="15">
        <v>1.1214999999999999</v>
      </c>
      <c r="I140" s="15">
        <f t="shared" si="2"/>
        <v>1.2515940000000001</v>
      </c>
      <c r="J140" s="15">
        <v>0.73999999999999899</v>
      </c>
      <c r="K140" s="15">
        <f t="shared" si="3"/>
        <v>1.9915939999999992</v>
      </c>
    </row>
    <row r="141" spans="1:11" ht="12.75" x14ac:dyDescent="0.2">
      <c r="B141" s="38"/>
      <c r="C141" s="15">
        <v>0</v>
      </c>
      <c r="D141" s="15">
        <v>0.9</v>
      </c>
      <c r="E141" s="15">
        <f t="shared" si="0"/>
        <v>0.9</v>
      </c>
      <c r="F141" s="15">
        <v>1.24</v>
      </c>
      <c r="G141" s="15">
        <f t="shared" si="1"/>
        <v>1.1160000000000001</v>
      </c>
      <c r="H141" s="15">
        <v>1.1214999999999999</v>
      </c>
      <c r="I141" s="15">
        <f t="shared" si="2"/>
        <v>1.2515940000000001</v>
      </c>
      <c r="J141" s="15">
        <v>0.73999999999999899</v>
      </c>
      <c r="K141" s="15">
        <f t="shared" si="3"/>
        <v>1.9915939999999992</v>
      </c>
    </row>
    <row r="142" spans="1:11" ht="12.75" x14ac:dyDescent="0.2">
      <c r="B142" s="38"/>
      <c r="C142" s="15">
        <v>0</v>
      </c>
      <c r="D142" s="15">
        <v>0.9</v>
      </c>
      <c r="E142" s="15">
        <f t="shared" si="0"/>
        <v>0.9</v>
      </c>
      <c r="F142" s="15">
        <v>1.24</v>
      </c>
      <c r="G142" s="15">
        <f t="shared" si="1"/>
        <v>1.1160000000000001</v>
      </c>
      <c r="H142" s="15">
        <v>1.1214999999999999</v>
      </c>
      <c r="I142" s="15">
        <f t="shared" si="2"/>
        <v>1.2515940000000001</v>
      </c>
      <c r="J142" s="15">
        <v>0.73999999999999899</v>
      </c>
      <c r="K142" s="15">
        <f t="shared" si="3"/>
        <v>1.9915939999999992</v>
      </c>
    </row>
    <row r="143" spans="1:11" ht="12.75" x14ac:dyDescent="0.2">
      <c r="B143" s="38"/>
      <c r="C143" s="15">
        <v>0</v>
      </c>
      <c r="D143" s="15">
        <v>0.9</v>
      </c>
      <c r="E143" s="15">
        <f t="shared" si="0"/>
        <v>0.9</v>
      </c>
      <c r="F143" s="15">
        <v>1.24</v>
      </c>
      <c r="G143" s="15">
        <f t="shared" si="1"/>
        <v>1.1160000000000001</v>
      </c>
      <c r="H143" s="15">
        <v>1.1214999999999999</v>
      </c>
      <c r="I143" s="15">
        <f t="shared" si="2"/>
        <v>1.2515940000000001</v>
      </c>
      <c r="J143" s="15">
        <v>0.73999999999999899</v>
      </c>
      <c r="K143" s="15">
        <f t="shared" si="3"/>
        <v>1.9915939999999992</v>
      </c>
    </row>
    <row r="144" spans="1:11" ht="12.75" x14ac:dyDescent="0.2">
      <c r="B144" s="38"/>
      <c r="C144" s="15">
        <v>0</v>
      </c>
      <c r="D144" s="15">
        <v>0.9</v>
      </c>
      <c r="E144" s="15">
        <f t="shared" si="0"/>
        <v>0.9</v>
      </c>
      <c r="F144" s="15">
        <v>1.24</v>
      </c>
      <c r="G144" s="15">
        <f t="shared" si="1"/>
        <v>1.1160000000000001</v>
      </c>
      <c r="H144" s="15">
        <v>1.1214999999999999</v>
      </c>
      <c r="I144" s="15">
        <f t="shared" si="2"/>
        <v>1.2515940000000001</v>
      </c>
      <c r="J144" s="15">
        <v>0.73999999999999899</v>
      </c>
      <c r="K144" s="15">
        <f t="shared" si="3"/>
        <v>1.9915939999999992</v>
      </c>
    </row>
    <row r="145" spans="2:11" ht="12.75" x14ac:dyDescent="0.2">
      <c r="B145" s="38"/>
      <c r="C145" s="15">
        <v>0</v>
      </c>
      <c r="D145" s="15">
        <v>0.9</v>
      </c>
      <c r="E145" s="15">
        <f t="shared" si="0"/>
        <v>0.9</v>
      </c>
      <c r="F145" s="15">
        <v>1.24</v>
      </c>
      <c r="G145" s="15">
        <f t="shared" si="1"/>
        <v>1.1160000000000001</v>
      </c>
      <c r="H145" s="15">
        <v>1.1214999999999999</v>
      </c>
      <c r="I145" s="15">
        <f t="shared" si="2"/>
        <v>1.2515940000000001</v>
      </c>
      <c r="J145" s="15">
        <v>0.73999999999999899</v>
      </c>
      <c r="K145" s="15">
        <f t="shared" si="3"/>
        <v>1.9915939999999992</v>
      </c>
    </row>
    <row r="146" spans="2:11" ht="12.75" x14ac:dyDescent="0.2">
      <c r="B146" s="38"/>
      <c r="C146" s="15">
        <v>0</v>
      </c>
      <c r="D146" s="15">
        <v>0.9</v>
      </c>
      <c r="E146" s="15">
        <f t="shared" si="0"/>
        <v>0.9</v>
      </c>
      <c r="F146" s="15">
        <v>1.24</v>
      </c>
      <c r="G146" s="15">
        <f t="shared" si="1"/>
        <v>1.1160000000000001</v>
      </c>
      <c r="H146" s="15">
        <v>1.1214999999999999</v>
      </c>
      <c r="I146" s="15">
        <f t="shared" si="2"/>
        <v>1.2515940000000001</v>
      </c>
      <c r="J146" s="15">
        <v>0.73999999999999899</v>
      </c>
      <c r="K146" s="15">
        <f t="shared" si="3"/>
        <v>1.9915939999999992</v>
      </c>
    </row>
    <row r="147" spans="2:11" ht="12.75" x14ac:dyDescent="0.2">
      <c r="B147" s="38"/>
      <c r="C147" s="15">
        <v>0</v>
      </c>
      <c r="D147" s="15">
        <v>0.9</v>
      </c>
      <c r="E147" s="15">
        <f t="shared" si="0"/>
        <v>0.9</v>
      </c>
      <c r="F147" s="15">
        <v>1.24</v>
      </c>
      <c r="G147" s="15">
        <f t="shared" si="1"/>
        <v>1.1160000000000001</v>
      </c>
      <c r="H147" s="15">
        <v>1.1214999999999999</v>
      </c>
      <c r="I147" s="15">
        <f t="shared" si="2"/>
        <v>1.2515940000000001</v>
      </c>
      <c r="J147" s="15">
        <v>0.73999999999999899</v>
      </c>
      <c r="K147" s="15">
        <f t="shared" si="3"/>
        <v>1.9915939999999992</v>
      </c>
    </row>
    <row r="148" spans="2:11" ht="12.75" x14ac:dyDescent="0.2">
      <c r="B148" s="38"/>
      <c r="C148" s="15">
        <v>0</v>
      </c>
      <c r="D148" s="15">
        <v>0.9</v>
      </c>
      <c r="E148" s="15">
        <f t="shared" si="0"/>
        <v>0.9</v>
      </c>
      <c r="F148" s="15">
        <v>1.24</v>
      </c>
      <c r="G148" s="15">
        <f t="shared" si="1"/>
        <v>1.1160000000000001</v>
      </c>
      <c r="H148" s="15">
        <v>1.1214999999999999</v>
      </c>
      <c r="I148" s="15">
        <f t="shared" si="2"/>
        <v>1.2515940000000001</v>
      </c>
      <c r="J148" s="15">
        <v>0.73999999999999899</v>
      </c>
      <c r="K148" s="15">
        <f t="shared" si="3"/>
        <v>1.9915939999999992</v>
      </c>
    </row>
    <row r="149" spans="2:11" ht="12.75" x14ac:dyDescent="0.2">
      <c r="B149" s="38"/>
      <c r="C149" s="15">
        <v>0</v>
      </c>
      <c r="D149" s="15">
        <v>0.9</v>
      </c>
      <c r="E149" s="15">
        <f t="shared" si="0"/>
        <v>0.9</v>
      </c>
      <c r="F149" s="15">
        <v>1.24</v>
      </c>
      <c r="G149" s="15">
        <f t="shared" si="1"/>
        <v>1.1160000000000001</v>
      </c>
      <c r="H149" s="15">
        <v>1.1214999999999999</v>
      </c>
      <c r="I149" s="15">
        <f t="shared" si="2"/>
        <v>1.2515940000000001</v>
      </c>
      <c r="J149" s="15">
        <v>0.73999999999999899</v>
      </c>
      <c r="K149" s="15">
        <f t="shared" si="3"/>
        <v>1.9915939999999992</v>
      </c>
    </row>
    <row r="150" spans="2:11" ht="12.75" x14ac:dyDescent="0.2">
      <c r="B150" s="38"/>
      <c r="C150" s="15">
        <v>0</v>
      </c>
      <c r="D150" s="15">
        <v>0.9</v>
      </c>
      <c r="E150" s="15">
        <f t="shared" si="0"/>
        <v>0.9</v>
      </c>
      <c r="F150" s="15">
        <v>1.24</v>
      </c>
      <c r="G150" s="15">
        <f t="shared" si="1"/>
        <v>1.1160000000000001</v>
      </c>
      <c r="H150" s="15">
        <v>1.1214999999999999</v>
      </c>
      <c r="I150" s="15">
        <f t="shared" si="2"/>
        <v>1.2515940000000001</v>
      </c>
      <c r="J150" s="15">
        <v>0.73999999999999899</v>
      </c>
      <c r="K150" s="15">
        <f t="shared" si="3"/>
        <v>1.9915939999999992</v>
      </c>
    </row>
    <row r="151" spans="2:11" ht="12.75" x14ac:dyDescent="0.2">
      <c r="B151" s="38"/>
      <c r="C151" s="15">
        <v>0</v>
      </c>
      <c r="D151" s="15">
        <v>0.9</v>
      </c>
      <c r="E151" s="15">
        <f t="shared" si="0"/>
        <v>0.9</v>
      </c>
      <c r="F151" s="15">
        <v>1.24</v>
      </c>
      <c r="G151" s="15">
        <f t="shared" si="1"/>
        <v>1.1160000000000001</v>
      </c>
      <c r="H151" s="15">
        <v>1.1214999999999999</v>
      </c>
      <c r="I151" s="15">
        <f t="shared" si="2"/>
        <v>1.2515940000000001</v>
      </c>
      <c r="J151" s="15">
        <v>0.73999999999999899</v>
      </c>
      <c r="K151" s="15">
        <f t="shared" si="3"/>
        <v>1.9915939999999992</v>
      </c>
    </row>
    <row r="152" spans="2:11" ht="12.75" x14ac:dyDescent="0.2">
      <c r="B152" s="38"/>
      <c r="C152" s="15">
        <v>0</v>
      </c>
      <c r="D152" s="15">
        <v>0.9</v>
      </c>
      <c r="E152" s="15">
        <f t="shared" si="0"/>
        <v>0.9</v>
      </c>
      <c r="F152" s="15">
        <v>1.24</v>
      </c>
      <c r="G152" s="15">
        <f t="shared" si="1"/>
        <v>1.1160000000000001</v>
      </c>
      <c r="H152" s="15">
        <v>1.1214999999999999</v>
      </c>
      <c r="I152" s="15">
        <f t="shared" si="2"/>
        <v>1.2515940000000001</v>
      </c>
      <c r="J152" s="15">
        <v>0.73999999999999899</v>
      </c>
      <c r="K152" s="15">
        <f t="shared" si="3"/>
        <v>1.9915939999999992</v>
      </c>
    </row>
    <row r="153" spans="2:11" ht="12.75" x14ac:dyDescent="0.2">
      <c r="B153" s="38"/>
      <c r="C153" s="15">
        <v>0</v>
      </c>
      <c r="D153" s="15">
        <v>0.9</v>
      </c>
      <c r="E153" s="15">
        <f t="shared" si="0"/>
        <v>0.9</v>
      </c>
      <c r="F153" s="15">
        <v>1.24</v>
      </c>
      <c r="G153" s="15">
        <f t="shared" si="1"/>
        <v>1.1160000000000001</v>
      </c>
      <c r="H153" s="15">
        <v>1.1214999999999999</v>
      </c>
      <c r="I153" s="15">
        <f t="shared" si="2"/>
        <v>1.2515940000000001</v>
      </c>
      <c r="J153" s="15">
        <v>0.73999999999999899</v>
      </c>
      <c r="K153" s="15">
        <f t="shared" si="3"/>
        <v>1.9915939999999992</v>
      </c>
    </row>
    <row r="154" spans="2:11" ht="12.75" x14ac:dyDescent="0.2">
      <c r="B154" s="38"/>
      <c r="C154" s="15">
        <v>0</v>
      </c>
      <c r="D154" s="15">
        <v>0.9</v>
      </c>
      <c r="E154" s="15">
        <f t="shared" si="0"/>
        <v>0.9</v>
      </c>
      <c r="F154" s="15">
        <v>1.24</v>
      </c>
      <c r="G154" s="15">
        <f t="shared" si="1"/>
        <v>1.1160000000000001</v>
      </c>
      <c r="H154" s="15">
        <v>1.1214999999999999</v>
      </c>
      <c r="I154" s="15">
        <f t="shared" si="2"/>
        <v>1.2515940000000001</v>
      </c>
      <c r="J154" s="15">
        <v>0.73999999999999899</v>
      </c>
      <c r="K154" s="15">
        <f t="shared" si="3"/>
        <v>1.9915939999999992</v>
      </c>
    </row>
    <row r="155" spans="2:11" ht="12.75" x14ac:dyDescent="0.2">
      <c r="B155" s="38"/>
      <c r="C155" s="15">
        <v>0</v>
      </c>
      <c r="D155" s="15">
        <v>0.9</v>
      </c>
      <c r="E155" s="15">
        <f t="shared" si="0"/>
        <v>0.9</v>
      </c>
      <c r="F155" s="15">
        <v>1.24</v>
      </c>
      <c r="G155" s="15">
        <f t="shared" si="1"/>
        <v>1.1160000000000001</v>
      </c>
      <c r="H155" s="15">
        <v>1.1214999999999999</v>
      </c>
      <c r="I155" s="15">
        <f t="shared" si="2"/>
        <v>1.2515940000000001</v>
      </c>
      <c r="J155" s="15">
        <v>0.73999999999999899</v>
      </c>
      <c r="K155" s="15">
        <f t="shared" si="3"/>
        <v>1.9915939999999992</v>
      </c>
    </row>
    <row r="156" spans="2:11" ht="12.75" x14ac:dyDescent="0.2">
      <c r="B156" s="38"/>
      <c r="C156" s="15">
        <v>0</v>
      </c>
      <c r="D156" s="15">
        <v>0.9</v>
      </c>
      <c r="E156" s="15">
        <f t="shared" si="0"/>
        <v>0.9</v>
      </c>
      <c r="F156" s="15">
        <v>1.24</v>
      </c>
      <c r="G156" s="15">
        <f t="shared" si="1"/>
        <v>1.1160000000000001</v>
      </c>
      <c r="H156" s="15">
        <v>1.1214999999999999</v>
      </c>
      <c r="I156" s="15">
        <f t="shared" si="2"/>
        <v>1.2515940000000001</v>
      </c>
      <c r="J156" s="15">
        <v>0.73999999999999899</v>
      </c>
      <c r="K156" s="15">
        <f t="shared" si="3"/>
        <v>1.9915939999999992</v>
      </c>
    </row>
    <row r="157" spans="2:11" ht="12.75" x14ac:dyDescent="0.2">
      <c r="B157" s="38"/>
      <c r="C157" s="15">
        <v>0</v>
      </c>
      <c r="D157" s="15">
        <v>0.9</v>
      </c>
      <c r="E157" s="15">
        <f t="shared" si="0"/>
        <v>0.9</v>
      </c>
      <c r="F157" s="15">
        <v>1.24</v>
      </c>
      <c r="G157" s="15">
        <f t="shared" si="1"/>
        <v>1.1160000000000001</v>
      </c>
      <c r="H157" s="15">
        <v>1.1214999999999999</v>
      </c>
      <c r="I157" s="15">
        <f t="shared" si="2"/>
        <v>1.2515940000000001</v>
      </c>
      <c r="J157" s="15">
        <v>0.73999999999999899</v>
      </c>
      <c r="K157" s="15">
        <f t="shared" si="3"/>
        <v>1.9915939999999992</v>
      </c>
    </row>
    <row r="158" spans="2:11" ht="12.75" x14ac:dyDescent="0.2">
      <c r="B158" s="38"/>
      <c r="C158" s="15">
        <v>0</v>
      </c>
      <c r="D158" s="15">
        <v>0.9</v>
      </c>
      <c r="E158" s="15">
        <f t="shared" si="0"/>
        <v>0.9</v>
      </c>
      <c r="F158" s="15">
        <v>1.24</v>
      </c>
      <c r="G158" s="15">
        <f t="shared" si="1"/>
        <v>1.1160000000000001</v>
      </c>
      <c r="H158" s="15">
        <v>1.1214999999999999</v>
      </c>
      <c r="I158" s="15">
        <f t="shared" si="2"/>
        <v>1.2515940000000001</v>
      </c>
      <c r="J158" s="15">
        <v>0.73999999999999899</v>
      </c>
      <c r="K158" s="15">
        <f t="shared" si="3"/>
        <v>1.9915939999999992</v>
      </c>
    </row>
    <row r="159" spans="2:11" ht="12.75" x14ac:dyDescent="0.2">
      <c r="B159" s="38"/>
      <c r="C159" s="15">
        <v>0</v>
      </c>
      <c r="D159" s="15">
        <v>0.9</v>
      </c>
      <c r="E159" s="15">
        <f t="shared" si="0"/>
        <v>0.9</v>
      </c>
      <c r="F159" s="15">
        <v>1.24</v>
      </c>
      <c r="G159" s="15">
        <f t="shared" si="1"/>
        <v>1.1160000000000001</v>
      </c>
      <c r="H159" s="15">
        <v>1.1214999999999999</v>
      </c>
      <c r="I159" s="15">
        <f t="shared" si="2"/>
        <v>1.2515940000000001</v>
      </c>
      <c r="J159" s="15">
        <v>0.73999999999999899</v>
      </c>
      <c r="K159" s="15">
        <f t="shared" si="3"/>
        <v>1.9915939999999992</v>
      </c>
    </row>
    <row r="160" spans="2:11" ht="12.75" x14ac:dyDescent="0.2">
      <c r="B160" s="38"/>
      <c r="C160" s="15">
        <v>0</v>
      </c>
      <c r="D160" s="15">
        <v>0.9</v>
      </c>
      <c r="E160" s="15">
        <f t="shared" si="0"/>
        <v>0.9</v>
      </c>
      <c r="F160" s="15">
        <v>1.24</v>
      </c>
      <c r="G160" s="15">
        <f t="shared" si="1"/>
        <v>1.1160000000000001</v>
      </c>
      <c r="H160" s="15">
        <v>1.1214999999999999</v>
      </c>
      <c r="I160" s="15">
        <f t="shared" si="2"/>
        <v>1.2515940000000001</v>
      </c>
      <c r="J160" s="15">
        <v>0.73999999999999899</v>
      </c>
      <c r="K160" s="15">
        <f t="shared" si="3"/>
        <v>1.9915939999999992</v>
      </c>
    </row>
    <row r="161" spans="2:11" ht="12.75" x14ac:dyDescent="0.2">
      <c r="B161" s="38"/>
      <c r="C161" s="15">
        <v>0</v>
      </c>
      <c r="D161" s="15">
        <v>0.9</v>
      </c>
      <c r="E161" s="15">
        <f t="shared" si="0"/>
        <v>0.9</v>
      </c>
      <c r="F161" s="15">
        <v>1.24</v>
      </c>
      <c r="G161" s="15">
        <f t="shared" si="1"/>
        <v>1.1160000000000001</v>
      </c>
      <c r="H161" s="15">
        <v>1.1214999999999999</v>
      </c>
      <c r="I161" s="15">
        <f t="shared" si="2"/>
        <v>1.2515940000000001</v>
      </c>
      <c r="J161" s="15">
        <v>0.73999999999999899</v>
      </c>
      <c r="K161" s="15">
        <f t="shared" si="3"/>
        <v>1.9915939999999992</v>
      </c>
    </row>
    <row r="162" spans="2:11" ht="12.75" x14ac:dyDescent="0.2">
      <c r="B162" s="38"/>
      <c r="C162" s="15">
        <v>0</v>
      </c>
      <c r="D162" s="15">
        <v>0.9</v>
      </c>
      <c r="E162" s="15">
        <f t="shared" si="0"/>
        <v>0.9</v>
      </c>
      <c r="F162" s="15">
        <v>1.24</v>
      </c>
      <c r="G162" s="15">
        <f t="shared" si="1"/>
        <v>1.1160000000000001</v>
      </c>
      <c r="H162" s="15">
        <v>1.1214999999999999</v>
      </c>
      <c r="I162" s="15">
        <f t="shared" si="2"/>
        <v>1.2515940000000001</v>
      </c>
      <c r="J162" s="15">
        <v>0.73999999999999899</v>
      </c>
      <c r="K162" s="15">
        <f t="shared" si="3"/>
        <v>1.9915939999999992</v>
      </c>
    </row>
    <row r="163" spans="2:11" ht="12.75" x14ac:dyDescent="0.2">
      <c r="B163" s="38"/>
      <c r="C163" s="15">
        <v>0</v>
      </c>
      <c r="D163" s="15">
        <v>0.9</v>
      </c>
      <c r="E163" s="15">
        <f t="shared" si="0"/>
        <v>0.9</v>
      </c>
      <c r="F163" s="15">
        <v>1.24</v>
      </c>
      <c r="G163" s="15">
        <f t="shared" si="1"/>
        <v>1.1160000000000001</v>
      </c>
      <c r="H163" s="15">
        <v>1.1214999999999999</v>
      </c>
      <c r="I163" s="15">
        <f t="shared" si="2"/>
        <v>1.2515940000000001</v>
      </c>
      <c r="J163" s="15">
        <v>0.73999999999999899</v>
      </c>
      <c r="K163" s="15">
        <f t="shared" si="3"/>
        <v>1.9915939999999992</v>
      </c>
    </row>
    <row r="164" spans="2:11" ht="12.75" x14ac:dyDescent="0.2">
      <c r="B164" s="38"/>
      <c r="C164" s="15">
        <v>0</v>
      </c>
      <c r="D164" s="15">
        <v>0.9</v>
      </c>
      <c r="E164" s="15">
        <f t="shared" si="0"/>
        <v>0.9</v>
      </c>
      <c r="F164" s="15">
        <v>1.24</v>
      </c>
      <c r="G164" s="15">
        <f t="shared" si="1"/>
        <v>1.1160000000000001</v>
      </c>
      <c r="H164" s="15">
        <v>1.1214999999999999</v>
      </c>
      <c r="I164" s="15">
        <f t="shared" si="2"/>
        <v>1.2515940000000001</v>
      </c>
      <c r="J164" s="15">
        <v>0.73999999999999899</v>
      </c>
      <c r="K164" s="15">
        <f t="shared" si="3"/>
        <v>1.9915939999999992</v>
      </c>
    </row>
    <row r="165" spans="2:11" ht="12.75" x14ac:dyDescent="0.2">
      <c r="B165" s="38"/>
      <c r="C165" s="15">
        <v>0</v>
      </c>
      <c r="D165" s="15">
        <v>0.9</v>
      </c>
      <c r="E165" s="15">
        <f t="shared" si="0"/>
        <v>0.9</v>
      </c>
      <c r="F165" s="15">
        <v>1.24</v>
      </c>
      <c r="G165" s="15">
        <f t="shared" si="1"/>
        <v>1.1160000000000001</v>
      </c>
      <c r="H165" s="15">
        <v>1.1214999999999999</v>
      </c>
      <c r="I165" s="15">
        <f t="shared" si="2"/>
        <v>1.2515940000000001</v>
      </c>
      <c r="J165" s="15">
        <v>0.73999999999999899</v>
      </c>
      <c r="K165" s="15">
        <f t="shared" si="3"/>
        <v>1.9915939999999992</v>
      </c>
    </row>
    <row r="166" spans="2:11" ht="12.75" x14ac:dyDescent="0.2">
      <c r="B166" s="38"/>
      <c r="C166" s="15">
        <v>0</v>
      </c>
      <c r="D166" s="15">
        <v>0.9</v>
      </c>
      <c r="E166" s="15">
        <f t="shared" si="0"/>
        <v>0.9</v>
      </c>
      <c r="F166" s="15">
        <v>1.24</v>
      </c>
      <c r="G166" s="15">
        <f t="shared" si="1"/>
        <v>1.1160000000000001</v>
      </c>
      <c r="H166" s="15">
        <v>1.1214999999999999</v>
      </c>
      <c r="I166" s="15">
        <f t="shared" si="2"/>
        <v>1.2515940000000001</v>
      </c>
      <c r="J166" s="15">
        <v>0.73999999999999899</v>
      </c>
      <c r="K166" s="15">
        <f t="shared" si="3"/>
        <v>1.9915939999999992</v>
      </c>
    </row>
    <row r="167" spans="2:11" ht="12.75" x14ac:dyDescent="0.2">
      <c r="B167" s="38"/>
      <c r="C167" s="15">
        <v>0</v>
      </c>
      <c r="D167" s="15">
        <v>0.9</v>
      </c>
      <c r="E167" s="15">
        <f t="shared" si="0"/>
        <v>0.9</v>
      </c>
      <c r="F167" s="15">
        <v>1.24</v>
      </c>
      <c r="G167" s="15">
        <f t="shared" si="1"/>
        <v>1.1160000000000001</v>
      </c>
      <c r="H167" s="15">
        <v>1.1214999999999999</v>
      </c>
      <c r="I167" s="15">
        <f t="shared" si="2"/>
        <v>1.2515940000000001</v>
      </c>
      <c r="J167" s="15">
        <v>0.73999999999999899</v>
      </c>
      <c r="K167" s="15">
        <f t="shared" si="3"/>
        <v>1.9915939999999992</v>
      </c>
    </row>
    <row r="168" spans="2:11" ht="12.75" x14ac:dyDescent="0.2">
      <c r="B168" s="38"/>
      <c r="C168" s="15">
        <v>0</v>
      </c>
      <c r="D168" s="15">
        <v>0.9</v>
      </c>
      <c r="E168" s="15">
        <f t="shared" si="0"/>
        <v>0.9</v>
      </c>
      <c r="F168" s="15">
        <v>1.24</v>
      </c>
      <c r="G168" s="15">
        <f t="shared" si="1"/>
        <v>1.1160000000000001</v>
      </c>
      <c r="H168" s="15">
        <v>1.1214999999999999</v>
      </c>
      <c r="I168" s="15">
        <f t="shared" si="2"/>
        <v>1.2515940000000001</v>
      </c>
      <c r="J168" s="15">
        <v>0.73999999999999899</v>
      </c>
      <c r="K168" s="15">
        <f t="shared" si="3"/>
        <v>1.9915939999999992</v>
      </c>
    </row>
    <row r="169" spans="2:11" ht="12.75" x14ac:dyDescent="0.2">
      <c r="B169" s="38"/>
    </row>
    <row r="170" spans="2:11" ht="12.75" x14ac:dyDescent="0.2">
      <c r="B170" s="38"/>
    </row>
    <row r="171" spans="2:11" ht="12.75" x14ac:dyDescent="0.2">
      <c r="B171" s="38"/>
    </row>
    <row r="172" spans="2:11" ht="12.75" x14ac:dyDescent="0.2">
      <c r="B172" s="38"/>
    </row>
    <row r="173" spans="2:11" ht="12.75" x14ac:dyDescent="0.2">
      <c r="B173" s="38"/>
    </row>
    <row r="174" spans="2:11" ht="12.75" x14ac:dyDescent="0.2">
      <c r="B174" s="38"/>
    </row>
    <row r="175" spans="2:11" ht="12.75" x14ac:dyDescent="0.2">
      <c r="B175" s="38"/>
    </row>
    <row r="176" spans="2:11" ht="12.75" x14ac:dyDescent="0.2">
      <c r="B176" s="38"/>
    </row>
    <row r="177" spans="2:2" ht="12.75" x14ac:dyDescent="0.2">
      <c r="B177" s="38"/>
    </row>
    <row r="178" spans="2:2" ht="12.75" x14ac:dyDescent="0.2">
      <c r="B178" s="38"/>
    </row>
    <row r="179" spans="2:2" ht="12.75" x14ac:dyDescent="0.2">
      <c r="B179" s="38"/>
    </row>
    <row r="180" spans="2:2" ht="12.75" x14ac:dyDescent="0.2">
      <c r="B180" s="38"/>
    </row>
    <row r="181" spans="2:2" ht="12.75" x14ac:dyDescent="0.2">
      <c r="B181" s="38"/>
    </row>
    <row r="182" spans="2:2" ht="12.75" x14ac:dyDescent="0.2">
      <c r="B182" s="38"/>
    </row>
    <row r="183" spans="2:2" ht="12.75" x14ac:dyDescent="0.2">
      <c r="B183" s="38"/>
    </row>
    <row r="184" spans="2:2" ht="12.75" x14ac:dyDescent="0.2">
      <c r="B184" s="38"/>
    </row>
    <row r="185" spans="2:2" ht="12.75" x14ac:dyDescent="0.2">
      <c r="B185" s="38"/>
    </row>
    <row r="186" spans="2:2" ht="12.75" x14ac:dyDescent="0.2">
      <c r="B186" s="38"/>
    </row>
    <row r="187" spans="2:2" ht="12.75" x14ac:dyDescent="0.2">
      <c r="B187" s="38"/>
    </row>
    <row r="188" spans="2:2" ht="12.75" x14ac:dyDescent="0.2">
      <c r="B188" s="38"/>
    </row>
    <row r="189" spans="2:2" ht="12.75" x14ac:dyDescent="0.2">
      <c r="B189" s="38"/>
    </row>
    <row r="190" spans="2:2" ht="12.75" x14ac:dyDescent="0.2">
      <c r="B190" s="38"/>
    </row>
    <row r="191" spans="2:2" ht="12.75" x14ac:dyDescent="0.2">
      <c r="B191" s="38"/>
    </row>
    <row r="192" spans="2:2" ht="12.75" x14ac:dyDescent="0.2">
      <c r="B192" s="38"/>
    </row>
    <row r="193" spans="2:2" ht="12.75" x14ac:dyDescent="0.2">
      <c r="B193" s="38"/>
    </row>
    <row r="194" spans="2:2" ht="12.75" x14ac:dyDescent="0.2">
      <c r="B194" s="38"/>
    </row>
    <row r="195" spans="2:2" ht="12.75" x14ac:dyDescent="0.2">
      <c r="B195" s="38"/>
    </row>
    <row r="196" spans="2:2" ht="12.75" x14ac:dyDescent="0.2">
      <c r="B196" s="38"/>
    </row>
    <row r="197" spans="2:2" ht="12.75" x14ac:dyDescent="0.2">
      <c r="B197" s="38"/>
    </row>
    <row r="198" spans="2:2" ht="12.75" x14ac:dyDescent="0.2">
      <c r="B198" s="38"/>
    </row>
    <row r="199" spans="2:2" ht="12.75" x14ac:dyDescent="0.2">
      <c r="B199" s="38"/>
    </row>
    <row r="200" spans="2:2" ht="12.75" x14ac:dyDescent="0.2">
      <c r="B200" s="38"/>
    </row>
    <row r="201" spans="2:2" ht="12.75" x14ac:dyDescent="0.2">
      <c r="B201" s="38"/>
    </row>
    <row r="202" spans="2:2" ht="12.75" x14ac:dyDescent="0.2">
      <c r="B202" s="38"/>
    </row>
    <row r="203" spans="2:2" ht="12.75" x14ac:dyDescent="0.2">
      <c r="B203" s="38"/>
    </row>
    <row r="204" spans="2:2" ht="12.75" x14ac:dyDescent="0.2">
      <c r="B204" s="38"/>
    </row>
    <row r="205" spans="2:2" ht="12.75" x14ac:dyDescent="0.2">
      <c r="B205" s="38"/>
    </row>
    <row r="206" spans="2:2" ht="12.75" x14ac:dyDescent="0.2">
      <c r="B206" s="38"/>
    </row>
    <row r="207" spans="2:2" ht="12.75" x14ac:dyDescent="0.2">
      <c r="B207" s="38"/>
    </row>
    <row r="208" spans="2:2" ht="12.75" x14ac:dyDescent="0.2">
      <c r="B208" s="38"/>
    </row>
    <row r="209" spans="2:2" ht="12.75" x14ac:dyDescent="0.2">
      <c r="B209" s="38"/>
    </row>
    <row r="210" spans="2:2" ht="12.75" x14ac:dyDescent="0.2">
      <c r="B210" s="38"/>
    </row>
    <row r="211" spans="2:2" ht="12.75" x14ac:dyDescent="0.2">
      <c r="B211" s="38"/>
    </row>
    <row r="212" spans="2:2" ht="12.75" x14ac:dyDescent="0.2">
      <c r="B212" s="38"/>
    </row>
    <row r="213" spans="2:2" ht="12.75" x14ac:dyDescent="0.2">
      <c r="B213" s="38"/>
    </row>
    <row r="214" spans="2:2" ht="12.75" x14ac:dyDescent="0.2">
      <c r="B214" s="38"/>
    </row>
    <row r="215" spans="2:2" ht="12.75" x14ac:dyDescent="0.2">
      <c r="B215" s="38"/>
    </row>
    <row r="216" spans="2:2" ht="12.75" x14ac:dyDescent="0.2">
      <c r="B216" s="38"/>
    </row>
    <row r="217" spans="2:2" ht="12.75" x14ac:dyDescent="0.2">
      <c r="B217" s="38"/>
    </row>
    <row r="218" spans="2:2" ht="12.75" x14ac:dyDescent="0.2">
      <c r="B218" s="38"/>
    </row>
    <row r="219" spans="2:2" ht="12.75" x14ac:dyDescent="0.2">
      <c r="B219" s="38"/>
    </row>
    <row r="220" spans="2:2" ht="12.75" x14ac:dyDescent="0.2">
      <c r="B220" s="38"/>
    </row>
    <row r="221" spans="2:2" ht="12.75" x14ac:dyDescent="0.2">
      <c r="B221" s="38"/>
    </row>
    <row r="222" spans="2:2" ht="12.75" x14ac:dyDescent="0.2">
      <c r="B222" s="38"/>
    </row>
    <row r="223" spans="2:2" ht="12.75" x14ac:dyDescent="0.2">
      <c r="B223" s="38"/>
    </row>
    <row r="224" spans="2:2" ht="12.75" x14ac:dyDescent="0.2">
      <c r="B224" s="38"/>
    </row>
    <row r="225" spans="2:2" ht="12.75" x14ac:dyDescent="0.2">
      <c r="B225" s="38"/>
    </row>
    <row r="226" spans="2:2" ht="12.75" x14ac:dyDescent="0.2">
      <c r="B226" s="38"/>
    </row>
    <row r="227" spans="2:2" ht="12.75" x14ac:dyDescent="0.2">
      <c r="B227" s="38"/>
    </row>
    <row r="228" spans="2:2" ht="12.75" x14ac:dyDescent="0.2">
      <c r="B228" s="38"/>
    </row>
    <row r="229" spans="2:2" ht="12.75" x14ac:dyDescent="0.2">
      <c r="B229" s="38"/>
    </row>
    <row r="230" spans="2:2" ht="12.75" x14ac:dyDescent="0.2">
      <c r="B230" s="38"/>
    </row>
    <row r="231" spans="2:2" ht="12.75" x14ac:dyDescent="0.2">
      <c r="B231" s="38"/>
    </row>
    <row r="232" spans="2:2" ht="12.75" x14ac:dyDescent="0.2">
      <c r="B232" s="38"/>
    </row>
    <row r="233" spans="2:2" ht="12.75" x14ac:dyDescent="0.2">
      <c r="B233" s="38"/>
    </row>
    <row r="234" spans="2:2" ht="12.75" x14ac:dyDescent="0.2">
      <c r="B234" s="38"/>
    </row>
    <row r="235" spans="2:2" ht="12.75" x14ac:dyDescent="0.2">
      <c r="B235" s="38"/>
    </row>
    <row r="236" spans="2:2" ht="12.75" x14ac:dyDescent="0.2">
      <c r="B236" s="38"/>
    </row>
    <row r="237" spans="2:2" ht="12.75" x14ac:dyDescent="0.2">
      <c r="B237" s="38"/>
    </row>
    <row r="238" spans="2:2" ht="12.75" x14ac:dyDescent="0.2">
      <c r="B238" s="38"/>
    </row>
    <row r="239" spans="2:2" ht="12.75" x14ac:dyDescent="0.2">
      <c r="B239" s="38"/>
    </row>
    <row r="240" spans="2:2" ht="12.75" x14ac:dyDescent="0.2">
      <c r="B240" s="38"/>
    </row>
    <row r="241" spans="2:2" ht="12.75" x14ac:dyDescent="0.2">
      <c r="B241" s="38"/>
    </row>
    <row r="242" spans="2:2" ht="12.75" x14ac:dyDescent="0.2">
      <c r="B242" s="38"/>
    </row>
    <row r="243" spans="2:2" ht="12.75" x14ac:dyDescent="0.2">
      <c r="B243" s="38"/>
    </row>
    <row r="244" spans="2:2" ht="12.75" x14ac:dyDescent="0.2">
      <c r="B244" s="38"/>
    </row>
    <row r="245" spans="2:2" ht="12.75" x14ac:dyDescent="0.2">
      <c r="B245" s="38"/>
    </row>
    <row r="246" spans="2:2" ht="12.75" x14ac:dyDescent="0.2">
      <c r="B246" s="38"/>
    </row>
    <row r="247" spans="2:2" ht="12.75" x14ac:dyDescent="0.2">
      <c r="B247" s="38"/>
    </row>
    <row r="248" spans="2:2" ht="12.75" x14ac:dyDescent="0.2">
      <c r="B248" s="38"/>
    </row>
    <row r="249" spans="2:2" ht="12.75" x14ac:dyDescent="0.2">
      <c r="B249" s="38"/>
    </row>
    <row r="250" spans="2:2" ht="12.75" x14ac:dyDescent="0.2">
      <c r="B250" s="38"/>
    </row>
    <row r="251" spans="2:2" ht="12.75" x14ac:dyDescent="0.2">
      <c r="B251" s="38"/>
    </row>
    <row r="252" spans="2:2" ht="12.75" x14ac:dyDescent="0.2">
      <c r="B252" s="38"/>
    </row>
    <row r="253" spans="2:2" ht="12.75" x14ac:dyDescent="0.2">
      <c r="B253" s="38"/>
    </row>
    <row r="254" spans="2:2" ht="12.75" x14ac:dyDescent="0.2">
      <c r="B254" s="38"/>
    </row>
    <row r="255" spans="2:2" ht="12.75" x14ac:dyDescent="0.2">
      <c r="B255" s="38"/>
    </row>
    <row r="256" spans="2:2" ht="12.75" x14ac:dyDescent="0.2">
      <c r="B256" s="38"/>
    </row>
    <row r="257" spans="2:2" ht="12.75" x14ac:dyDescent="0.2">
      <c r="B257" s="38"/>
    </row>
    <row r="258" spans="2:2" ht="12.75" x14ac:dyDescent="0.2">
      <c r="B258" s="38"/>
    </row>
    <row r="259" spans="2:2" ht="12.75" x14ac:dyDescent="0.2">
      <c r="B259" s="38"/>
    </row>
    <row r="260" spans="2:2" ht="12.75" x14ac:dyDescent="0.2">
      <c r="B260" s="38"/>
    </row>
    <row r="261" spans="2:2" ht="12.75" x14ac:dyDescent="0.2">
      <c r="B261" s="38"/>
    </row>
    <row r="262" spans="2:2" ht="12.75" x14ac:dyDescent="0.2">
      <c r="B262" s="38"/>
    </row>
    <row r="263" spans="2:2" ht="12.75" x14ac:dyDescent="0.2">
      <c r="B263" s="38"/>
    </row>
    <row r="264" spans="2:2" ht="12.75" x14ac:dyDescent="0.2">
      <c r="B264" s="38"/>
    </row>
    <row r="265" spans="2:2" ht="12.75" x14ac:dyDescent="0.2">
      <c r="B265" s="38"/>
    </row>
    <row r="266" spans="2:2" ht="12.75" x14ac:dyDescent="0.2">
      <c r="B266" s="38"/>
    </row>
    <row r="267" spans="2:2" ht="12.75" x14ac:dyDescent="0.2">
      <c r="B267" s="38"/>
    </row>
    <row r="268" spans="2:2" ht="12.75" x14ac:dyDescent="0.2">
      <c r="B268" s="38"/>
    </row>
    <row r="269" spans="2:2" ht="12.75" x14ac:dyDescent="0.2">
      <c r="B269" s="38"/>
    </row>
    <row r="270" spans="2:2" ht="12.75" x14ac:dyDescent="0.2">
      <c r="B270" s="38"/>
    </row>
    <row r="271" spans="2:2" ht="12.75" x14ac:dyDescent="0.2">
      <c r="B271" s="38"/>
    </row>
    <row r="272" spans="2:2" ht="12.75" x14ac:dyDescent="0.2">
      <c r="B272" s="38"/>
    </row>
    <row r="273" spans="2:2" ht="12.75" x14ac:dyDescent="0.2">
      <c r="B273" s="38"/>
    </row>
    <row r="274" spans="2:2" ht="12.75" x14ac:dyDescent="0.2">
      <c r="B274" s="38"/>
    </row>
    <row r="275" spans="2:2" ht="12.75" x14ac:dyDescent="0.2">
      <c r="B275" s="38"/>
    </row>
    <row r="276" spans="2:2" ht="12.75" x14ac:dyDescent="0.2">
      <c r="B276" s="38"/>
    </row>
    <row r="277" spans="2:2" ht="12.75" x14ac:dyDescent="0.2">
      <c r="B277" s="38"/>
    </row>
    <row r="278" spans="2:2" ht="12.75" x14ac:dyDescent="0.2">
      <c r="B278" s="38"/>
    </row>
    <row r="279" spans="2:2" ht="12.75" x14ac:dyDescent="0.2">
      <c r="B279" s="38"/>
    </row>
    <row r="280" spans="2:2" ht="12.75" x14ac:dyDescent="0.2">
      <c r="B280" s="38"/>
    </row>
    <row r="281" spans="2:2" ht="12.75" x14ac:dyDescent="0.2">
      <c r="B281" s="38"/>
    </row>
    <row r="282" spans="2:2" ht="12.75" x14ac:dyDescent="0.2">
      <c r="B282" s="38"/>
    </row>
    <row r="283" spans="2:2" ht="12.75" x14ac:dyDescent="0.2">
      <c r="B283" s="38"/>
    </row>
    <row r="284" spans="2:2" ht="12.75" x14ac:dyDescent="0.2">
      <c r="B284" s="38"/>
    </row>
    <row r="285" spans="2:2" ht="12.75" x14ac:dyDescent="0.2">
      <c r="B285" s="38"/>
    </row>
    <row r="286" spans="2:2" ht="12.75" x14ac:dyDescent="0.2">
      <c r="B286" s="38"/>
    </row>
    <row r="287" spans="2:2" ht="12.75" x14ac:dyDescent="0.2">
      <c r="B287" s="38"/>
    </row>
    <row r="288" spans="2:2" ht="12.75" x14ac:dyDescent="0.2">
      <c r="B288" s="38"/>
    </row>
    <row r="289" spans="2:2" ht="12.75" x14ac:dyDescent="0.2">
      <c r="B289" s="38"/>
    </row>
    <row r="290" spans="2:2" ht="12.75" x14ac:dyDescent="0.2">
      <c r="B290" s="38"/>
    </row>
    <row r="291" spans="2:2" ht="12.75" x14ac:dyDescent="0.2">
      <c r="B291" s="38"/>
    </row>
    <row r="292" spans="2:2" ht="12.75" x14ac:dyDescent="0.2">
      <c r="B292" s="38"/>
    </row>
    <row r="293" spans="2:2" ht="12.75" x14ac:dyDescent="0.2">
      <c r="B293" s="38"/>
    </row>
    <row r="294" spans="2:2" ht="12.75" x14ac:dyDescent="0.2">
      <c r="B294" s="38"/>
    </row>
    <row r="295" spans="2:2" ht="12.75" x14ac:dyDescent="0.2">
      <c r="B295" s="38"/>
    </row>
    <row r="296" spans="2:2" ht="12.75" x14ac:dyDescent="0.2">
      <c r="B296" s="38"/>
    </row>
    <row r="297" spans="2:2" ht="12.75" x14ac:dyDescent="0.2">
      <c r="B297" s="38"/>
    </row>
    <row r="298" spans="2:2" ht="12.75" x14ac:dyDescent="0.2">
      <c r="B298" s="38"/>
    </row>
    <row r="299" spans="2:2" ht="12.75" x14ac:dyDescent="0.2">
      <c r="B299" s="38"/>
    </row>
    <row r="300" spans="2:2" ht="12.75" x14ac:dyDescent="0.2">
      <c r="B300" s="38"/>
    </row>
    <row r="301" spans="2:2" ht="12.75" x14ac:dyDescent="0.2">
      <c r="B301" s="38"/>
    </row>
    <row r="302" spans="2:2" ht="12.75" x14ac:dyDescent="0.2">
      <c r="B302" s="38"/>
    </row>
    <row r="303" spans="2:2" ht="12.75" x14ac:dyDescent="0.2">
      <c r="B303" s="38"/>
    </row>
    <row r="304" spans="2:2" ht="12.75" x14ac:dyDescent="0.2">
      <c r="B304" s="38"/>
    </row>
    <row r="305" spans="2:2" ht="12.75" x14ac:dyDescent="0.2">
      <c r="B305" s="38"/>
    </row>
    <row r="306" spans="2:2" ht="12.75" x14ac:dyDescent="0.2">
      <c r="B306" s="38"/>
    </row>
    <row r="307" spans="2:2" ht="12.75" x14ac:dyDescent="0.2">
      <c r="B307" s="38"/>
    </row>
    <row r="308" spans="2:2" ht="12.75" x14ac:dyDescent="0.2">
      <c r="B308" s="38"/>
    </row>
    <row r="309" spans="2:2" ht="12.75" x14ac:dyDescent="0.2">
      <c r="B309" s="38"/>
    </row>
    <row r="310" spans="2:2" ht="12.75" x14ac:dyDescent="0.2">
      <c r="B310" s="38"/>
    </row>
    <row r="311" spans="2:2" ht="12.75" x14ac:dyDescent="0.2">
      <c r="B311" s="38"/>
    </row>
    <row r="312" spans="2:2" ht="12.75" x14ac:dyDescent="0.2">
      <c r="B312" s="38"/>
    </row>
    <row r="313" spans="2:2" ht="12.75" x14ac:dyDescent="0.2">
      <c r="B313" s="38"/>
    </row>
    <row r="314" spans="2:2" ht="12.75" x14ac:dyDescent="0.2">
      <c r="B314" s="38"/>
    </row>
    <row r="315" spans="2:2" ht="12.75" x14ac:dyDescent="0.2">
      <c r="B315" s="38"/>
    </row>
    <row r="316" spans="2:2" ht="12.75" x14ac:dyDescent="0.2">
      <c r="B316" s="38"/>
    </row>
    <row r="317" spans="2:2" ht="12.75" x14ac:dyDescent="0.2">
      <c r="B317" s="38"/>
    </row>
    <row r="318" spans="2:2" ht="12.75" x14ac:dyDescent="0.2">
      <c r="B318" s="38"/>
    </row>
    <row r="319" spans="2:2" ht="12.75" x14ac:dyDescent="0.2">
      <c r="B319" s="38"/>
    </row>
    <row r="320" spans="2:2" ht="12.75" x14ac:dyDescent="0.2">
      <c r="B320" s="38"/>
    </row>
    <row r="321" spans="2:2" ht="12.75" x14ac:dyDescent="0.2">
      <c r="B321" s="38"/>
    </row>
    <row r="322" spans="2:2" ht="12.75" x14ac:dyDescent="0.2">
      <c r="B322" s="38"/>
    </row>
    <row r="323" spans="2:2" ht="12.75" x14ac:dyDescent="0.2">
      <c r="B323" s="38"/>
    </row>
    <row r="324" spans="2:2" ht="12.75" x14ac:dyDescent="0.2">
      <c r="B324" s="38"/>
    </row>
    <row r="325" spans="2:2" ht="12.75" x14ac:dyDescent="0.2">
      <c r="B325" s="38"/>
    </row>
    <row r="326" spans="2:2" ht="12.75" x14ac:dyDescent="0.2">
      <c r="B326" s="38"/>
    </row>
    <row r="327" spans="2:2" ht="12.75" x14ac:dyDescent="0.2">
      <c r="B327" s="38"/>
    </row>
    <row r="328" spans="2:2" ht="12.75" x14ac:dyDescent="0.2">
      <c r="B328" s="38"/>
    </row>
    <row r="329" spans="2:2" ht="12.75" x14ac:dyDescent="0.2">
      <c r="B329" s="38"/>
    </row>
    <row r="330" spans="2:2" ht="12.75" x14ac:dyDescent="0.2">
      <c r="B330" s="38"/>
    </row>
    <row r="331" spans="2:2" ht="12.75" x14ac:dyDescent="0.2">
      <c r="B331" s="38"/>
    </row>
    <row r="332" spans="2:2" ht="12.75" x14ac:dyDescent="0.2">
      <c r="B332" s="38"/>
    </row>
    <row r="333" spans="2:2" ht="12.75" x14ac:dyDescent="0.2">
      <c r="B333" s="38"/>
    </row>
    <row r="334" spans="2:2" ht="12.75" x14ac:dyDescent="0.2">
      <c r="B334" s="38"/>
    </row>
    <row r="335" spans="2:2" ht="12.75" x14ac:dyDescent="0.2">
      <c r="B335" s="38"/>
    </row>
    <row r="336" spans="2:2" ht="12.75" x14ac:dyDescent="0.2">
      <c r="B336" s="38"/>
    </row>
    <row r="337" spans="2:2" ht="12.75" x14ac:dyDescent="0.2">
      <c r="B337" s="38"/>
    </row>
    <row r="338" spans="2:2" ht="12.75" x14ac:dyDescent="0.2">
      <c r="B338" s="38"/>
    </row>
    <row r="339" spans="2:2" ht="12.75" x14ac:dyDescent="0.2">
      <c r="B339" s="38"/>
    </row>
    <row r="340" spans="2:2" ht="12.75" x14ac:dyDescent="0.2">
      <c r="B340" s="38"/>
    </row>
    <row r="341" spans="2:2" ht="12.75" x14ac:dyDescent="0.2">
      <c r="B341" s="38"/>
    </row>
    <row r="342" spans="2:2" ht="12.75" x14ac:dyDescent="0.2">
      <c r="B342" s="38"/>
    </row>
    <row r="343" spans="2:2" ht="12.75" x14ac:dyDescent="0.2">
      <c r="B343" s="38"/>
    </row>
    <row r="344" spans="2:2" ht="12.75" x14ac:dyDescent="0.2">
      <c r="B344" s="38"/>
    </row>
    <row r="345" spans="2:2" ht="12.75" x14ac:dyDescent="0.2">
      <c r="B345" s="38"/>
    </row>
    <row r="346" spans="2:2" ht="12.75" x14ac:dyDescent="0.2">
      <c r="B346" s="38"/>
    </row>
    <row r="347" spans="2:2" ht="12.75" x14ac:dyDescent="0.2">
      <c r="B347" s="38"/>
    </row>
    <row r="348" spans="2:2" ht="12.75" x14ac:dyDescent="0.2">
      <c r="B348" s="38"/>
    </row>
    <row r="349" spans="2:2" ht="12.75" x14ac:dyDescent="0.2">
      <c r="B349" s="38"/>
    </row>
    <row r="350" spans="2:2" ht="12.75" x14ac:dyDescent="0.2">
      <c r="B350" s="38"/>
    </row>
    <row r="351" spans="2:2" ht="12.75" x14ac:dyDescent="0.2">
      <c r="B351" s="38"/>
    </row>
    <row r="352" spans="2:2" ht="12.75" x14ac:dyDescent="0.2">
      <c r="B352" s="38"/>
    </row>
    <row r="353" spans="2:2" ht="12.75" x14ac:dyDescent="0.2">
      <c r="B353" s="38"/>
    </row>
    <row r="354" spans="2:2" ht="12.75" x14ac:dyDescent="0.2">
      <c r="B354" s="38"/>
    </row>
    <row r="355" spans="2:2" ht="12.75" x14ac:dyDescent="0.2">
      <c r="B355" s="38"/>
    </row>
    <row r="356" spans="2:2" ht="12.75" x14ac:dyDescent="0.2">
      <c r="B356" s="38"/>
    </row>
    <row r="357" spans="2:2" ht="12.75" x14ac:dyDescent="0.2">
      <c r="B357" s="38"/>
    </row>
    <row r="358" spans="2:2" ht="12.75" x14ac:dyDescent="0.2">
      <c r="B358" s="38"/>
    </row>
    <row r="359" spans="2:2" ht="12.75" x14ac:dyDescent="0.2">
      <c r="B359" s="38"/>
    </row>
    <row r="360" spans="2:2" ht="12.75" x14ac:dyDescent="0.2">
      <c r="B360" s="38"/>
    </row>
    <row r="361" spans="2:2" ht="12.75" x14ac:dyDescent="0.2">
      <c r="B361" s="38"/>
    </row>
    <row r="362" spans="2:2" ht="12.75" x14ac:dyDescent="0.2">
      <c r="B362" s="38"/>
    </row>
    <row r="363" spans="2:2" ht="12.75" x14ac:dyDescent="0.2">
      <c r="B363" s="38"/>
    </row>
    <row r="364" spans="2:2" ht="12.75" x14ac:dyDescent="0.2">
      <c r="B364" s="38"/>
    </row>
    <row r="365" spans="2:2" ht="12.75" x14ac:dyDescent="0.2">
      <c r="B365" s="38"/>
    </row>
    <row r="366" spans="2:2" ht="12.75" x14ac:dyDescent="0.2">
      <c r="B366" s="38"/>
    </row>
    <row r="367" spans="2:2" ht="12.75" x14ac:dyDescent="0.2">
      <c r="B367" s="38"/>
    </row>
    <row r="368" spans="2:2" ht="12.75" x14ac:dyDescent="0.2">
      <c r="B368" s="38"/>
    </row>
    <row r="369" spans="2:2" ht="12.75" x14ac:dyDescent="0.2">
      <c r="B369" s="38"/>
    </row>
    <row r="370" spans="2:2" ht="12.75" x14ac:dyDescent="0.2">
      <c r="B370" s="38"/>
    </row>
    <row r="371" spans="2:2" ht="12.75" x14ac:dyDescent="0.2">
      <c r="B371" s="38"/>
    </row>
    <row r="372" spans="2:2" ht="12.75" x14ac:dyDescent="0.2">
      <c r="B372" s="38"/>
    </row>
    <row r="373" spans="2:2" ht="12.75" x14ac:dyDescent="0.2">
      <c r="B373" s="38"/>
    </row>
    <row r="374" spans="2:2" ht="12.75" x14ac:dyDescent="0.2">
      <c r="B374" s="38"/>
    </row>
    <row r="375" spans="2:2" ht="12.75" x14ac:dyDescent="0.2">
      <c r="B375" s="38"/>
    </row>
    <row r="376" spans="2:2" ht="12.75" x14ac:dyDescent="0.2">
      <c r="B376" s="38"/>
    </row>
    <row r="377" spans="2:2" ht="12.75" x14ac:dyDescent="0.2">
      <c r="B377" s="38"/>
    </row>
    <row r="378" spans="2:2" ht="12.75" x14ac:dyDescent="0.2">
      <c r="B378" s="38"/>
    </row>
    <row r="379" spans="2:2" ht="12.75" x14ac:dyDescent="0.2">
      <c r="B379" s="38"/>
    </row>
    <row r="380" spans="2:2" ht="12.75" x14ac:dyDescent="0.2">
      <c r="B380" s="38"/>
    </row>
    <row r="381" spans="2:2" ht="12.75" x14ac:dyDescent="0.2">
      <c r="B381" s="38"/>
    </row>
    <row r="382" spans="2:2" ht="12.75" x14ac:dyDescent="0.2">
      <c r="B382" s="38"/>
    </row>
    <row r="383" spans="2:2" ht="12.75" x14ac:dyDescent="0.2">
      <c r="B383" s="38"/>
    </row>
    <row r="384" spans="2:2" ht="12.75" x14ac:dyDescent="0.2">
      <c r="B384" s="38"/>
    </row>
    <row r="385" spans="2:2" ht="12.75" x14ac:dyDescent="0.2">
      <c r="B385" s="38"/>
    </row>
    <row r="386" spans="2:2" ht="12.75" x14ac:dyDescent="0.2">
      <c r="B386" s="38"/>
    </row>
    <row r="387" spans="2:2" ht="12.75" x14ac:dyDescent="0.2">
      <c r="B387" s="38"/>
    </row>
    <row r="388" spans="2:2" ht="12.75" x14ac:dyDescent="0.2">
      <c r="B388" s="38"/>
    </row>
    <row r="389" spans="2:2" ht="12.75" x14ac:dyDescent="0.2">
      <c r="B389" s="38"/>
    </row>
    <row r="390" spans="2:2" ht="12.75" x14ac:dyDescent="0.2">
      <c r="B390" s="38"/>
    </row>
    <row r="391" spans="2:2" ht="12.75" x14ac:dyDescent="0.2">
      <c r="B391" s="38"/>
    </row>
    <row r="392" spans="2:2" ht="12.75" x14ac:dyDescent="0.2">
      <c r="B392" s="38"/>
    </row>
    <row r="393" spans="2:2" ht="12.75" x14ac:dyDescent="0.2">
      <c r="B393" s="38"/>
    </row>
    <row r="394" spans="2:2" ht="12.75" x14ac:dyDescent="0.2">
      <c r="B394" s="38"/>
    </row>
    <row r="395" spans="2:2" ht="12.75" x14ac:dyDescent="0.2">
      <c r="B395" s="38"/>
    </row>
    <row r="396" spans="2:2" ht="12.75" x14ac:dyDescent="0.2">
      <c r="B396" s="38"/>
    </row>
    <row r="397" spans="2:2" ht="12.75" x14ac:dyDescent="0.2">
      <c r="B397" s="38"/>
    </row>
    <row r="398" spans="2:2" ht="12.75" x14ac:dyDescent="0.2">
      <c r="B398" s="38"/>
    </row>
    <row r="399" spans="2:2" ht="12.75" x14ac:dyDescent="0.2">
      <c r="B399" s="38"/>
    </row>
    <row r="400" spans="2:2" ht="12.75" x14ac:dyDescent="0.2">
      <c r="B400" s="38"/>
    </row>
    <row r="401" spans="2:2" ht="12.75" x14ac:dyDescent="0.2">
      <c r="B401" s="38"/>
    </row>
    <row r="402" spans="2:2" ht="12.75" x14ac:dyDescent="0.2">
      <c r="B402" s="38"/>
    </row>
    <row r="403" spans="2:2" ht="12.75" x14ac:dyDescent="0.2">
      <c r="B403" s="38"/>
    </row>
    <row r="404" spans="2:2" ht="12.75" x14ac:dyDescent="0.2">
      <c r="B404" s="38"/>
    </row>
    <row r="405" spans="2:2" ht="12.75" x14ac:dyDescent="0.2">
      <c r="B405" s="38"/>
    </row>
    <row r="406" spans="2:2" ht="12.75" x14ac:dyDescent="0.2">
      <c r="B406" s="38"/>
    </row>
    <row r="407" spans="2:2" ht="12.75" x14ac:dyDescent="0.2">
      <c r="B407" s="38"/>
    </row>
    <row r="408" spans="2:2" ht="12.75" x14ac:dyDescent="0.2">
      <c r="B408" s="38"/>
    </row>
    <row r="409" spans="2:2" ht="12.75" x14ac:dyDescent="0.2">
      <c r="B409" s="38"/>
    </row>
    <row r="410" spans="2:2" ht="12.75" x14ac:dyDescent="0.2">
      <c r="B410" s="38"/>
    </row>
    <row r="411" spans="2:2" ht="12.75" x14ac:dyDescent="0.2">
      <c r="B411" s="38"/>
    </row>
    <row r="412" spans="2:2" ht="12.75" x14ac:dyDescent="0.2">
      <c r="B412" s="38"/>
    </row>
    <row r="413" spans="2:2" ht="12.75" x14ac:dyDescent="0.2">
      <c r="B413" s="38"/>
    </row>
    <row r="414" spans="2:2" ht="12.75" x14ac:dyDescent="0.2">
      <c r="B414" s="38"/>
    </row>
    <row r="415" spans="2:2" ht="12.75" x14ac:dyDescent="0.2">
      <c r="B415" s="38"/>
    </row>
    <row r="416" spans="2:2" ht="12.75" x14ac:dyDescent="0.2">
      <c r="B416" s="38"/>
    </row>
    <row r="417" spans="2:2" ht="12.75" x14ac:dyDescent="0.2">
      <c r="B417" s="38"/>
    </row>
    <row r="418" spans="2:2" ht="12.75" x14ac:dyDescent="0.2">
      <c r="B418" s="38"/>
    </row>
    <row r="419" spans="2:2" ht="12.75" x14ac:dyDescent="0.2">
      <c r="B419" s="38"/>
    </row>
    <row r="420" spans="2:2" ht="12.75" x14ac:dyDescent="0.2">
      <c r="B420" s="38"/>
    </row>
    <row r="421" spans="2:2" ht="12.75" x14ac:dyDescent="0.2">
      <c r="B421" s="38"/>
    </row>
    <row r="422" spans="2:2" ht="12.75" x14ac:dyDescent="0.2">
      <c r="B422" s="38"/>
    </row>
    <row r="423" spans="2:2" ht="12.75" x14ac:dyDescent="0.2">
      <c r="B423" s="38"/>
    </row>
    <row r="424" spans="2:2" ht="12.75" x14ac:dyDescent="0.2">
      <c r="B424" s="38"/>
    </row>
    <row r="425" spans="2:2" ht="12.75" x14ac:dyDescent="0.2">
      <c r="B425" s="38"/>
    </row>
    <row r="426" spans="2:2" ht="12.75" x14ac:dyDescent="0.2">
      <c r="B426" s="38"/>
    </row>
    <row r="427" spans="2:2" ht="12.75" x14ac:dyDescent="0.2">
      <c r="B427" s="38"/>
    </row>
    <row r="428" spans="2:2" ht="12.75" x14ac:dyDescent="0.2">
      <c r="B428" s="38"/>
    </row>
    <row r="429" spans="2:2" ht="12.75" x14ac:dyDescent="0.2">
      <c r="B429" s="38"/>
    </row>
    <row r="430" spans="2:2" ht="12.75" x14ac:dyDescent="0.2">
      <c r="B430" s="38"/>
    </row>
    <row r="431" spans="2:2" ht="12.75" x14ac:dyDescent="0.2">
      <c r="B431" s="38"/>
    </row>
    <row r="432" spans="2:2" ht="12.75" x14ac:dyDescent="0.2">
      <c r="B432" s="38"/>
    </row>
    <row r="433" spans="2:2" ht="12.75" x14ac:dyDescent="0.2">
      <c r="B433" s="38"/>
    </row>
    <row r="434" spans="2:2" ht="12.75" x14ac:dyDescent="0.2">
      <c r="B434" s="38"/>
    </row>
    <row r="435" spans="2:2" ht="12.75" x14ac:dyDescent="0.2">
      <c r="B435" s="38"/>
    </row>
    <row r="436" spans="2:2" ht="12.75" x14ac:dyDescent="0.2">
      <c r="B436" s="38"/>
    </row>
    <row r="437" spans="2:2" ht="12.75" x14ac:dyDescent="0.2">
      <c r="B437" s="38"/>
    </row>
    <row r="438" spans="2:2" ht="12.75" x14ac:dyDescent="0.2">
      <c r="B438" s="38"/>
    </row>
    <row r="439" spans="2:2" ht="12.75" x14ac:dyDescent="0.2">
      <c r="B439" s="38"/>
    </row>
    <row r="440" spans="2:2" ht="12.75" x14ac:dyDescent="0.2">
      <c r="B440" s="38"/>
    </row>
    <row r="441" spans="2:2" ht="12.75" x14ac:dyDescent="0.2">
      <c r="B441" s="38"/>
    </row>
    <row r="442" spans="2:2" ht="12.75" x14ac:dyDescent="0.2">
      <c r="B442" s="38"/>
    </row>
    <row r="443" spans="2:2" ht="12.75" x14ac:dyDescent="0.2">
      <c r="B443" s="38"/>
    </row>
    <row r="444" spans="2:2" ht="12.75" x14ac:dyDescent="0.2">
      <c r="B444" s="38"/>
    </row>
    <row r="445" spans="2:2" ht="12.75" x14ac:dyDescent="0.2">
      <c r="B445" s="38"/>
    </row>
    <row r="446" spans="2:2" ht="12.75" x14ac:dyDescent="0.2">
      <c r="B446" s="38"/>
    </row>
    <row r="447" spans="2:2" ht="12.75" x14ac:dyDescent="0.2">
      <c r="B447" s="38"/>
    </row>
    <row r="448" spans="2:2" ht="12.75" x14ac:dyDescent="0.2">
      <c r="B448" s="38"/>
    </row>
    <row r="449" spans="2:2" ht="12.75" x14ac:dyDescent="0.2">
      <c r="B449" s="38"/>
    </row>
    <row r="450" spans="2:2" ht="12.75" x14ac:dyDescent="0.2">
      <c r="B450" s="38"/>
    </row>
    <row r="451" spans="2:2" ht="12.75" x14ac:dyDescent="0.2">
      <c r="B451" s="38"/>
    </row>
    <row r="452" spans="2:2" ht="12.75" x14ac:dyDescent="0.2">
      <c r="B452" s="38"/>
    </row>
    <row r="453" spans="2:2" ht="12.75" x14ac:dyDescent="0.2">
      <c r="B453" s="38"/>
    </row>
    <row r="454" spans="2:2" ht="12.75" x14ac:dyDescent="0.2">
      <c r="B454" s="38"/>
    </row>
    <row r="455" spans="2:2" ht="12.75" x14ac:dyDescent="0.2">
      <c r="B455" s="38"/>
    </row>
    <row r="456" spans="2:2" ht="12.75" x14ac:dyDescent="0.2">
      <c r="B456" s="38"/>
    </row>
    <row r="457" spans="2:2" ht="12.75" x14ac:dyDescent="0.2">
      <c r="B457" s="38"/>
    </row>
    <row r="458" spans="2:2" ht="12.75" x14ac:dyDescent="0.2">
      <c r="B458" s="38"/>
    </row>
    <row r="459" spans="2:2" ht="12.75" x14ac:dyDescent="0.2">
      <c r="B459" s="38"/>
    </row>
    <row r="460" spans="2:2" ht="12.75" x14ac:dyDescent="0.2">
      <c r="B460" s="38"/>
    </row>
    <row r="461" spans="2:2" ht="12.75" x14ac:dyDescent="0.2">
      <c r="B461" s="38"/>
    </row>
    <row r="462" spans="2:2" ht="12.75" x14ac:dyDescent="0.2">
      <c r="B462" s="38"/>
    </row>
    <row r="463" spans="2:2" ht="12.75" x14ac:dyDescent="0.2">
      <c r="B463" s="38"/>
    </row>
    <row r="464" spans="2:2" ht="12.75" x14ac:dyDescent="0.2">
      <c r="B464" s="38"/>
    </row>
    <row r="465" spans="2:2" ht="12.75" x14ac:dyDescent="0.2">
      <c r="B465" s="38"/>
    </row>
    <row r="466" spans="2:2" ht="12.75" x14ac:dyDescent="0.2">
      <c r="B466" s="38"/>
    </row>
    <row r="467" spans="2:2" ht="12.75" x14ac:dyDescent="0.2">
      <c r="B467" s="38"/>
    </row>
    <row r="468" spans="2:2" ht="12.75" x14ac:dyDescent="0.2">
      <c r="B468" s="38"/>
    </row>
    <row r="469" spans="2:2" ht="12.75" x14ac:dyDescent="0.2">
      <c r="B469" s="38"/>
    </row>
    <row r="470" spans="2:2" ht="12.75" x14ac:dyDescent="0.2">
      <c r="B470" s="38"/>
    </row>
    <row r="471" spans="2:2" ht="12.75" x14ac:dyDescent="0.2">
      <c r="B471" s="38"/>
    </row>
    <row r="472" spans="2:2" ht="12.75" x14ac:dyDescent="0.2">
      <c r="B472" s="38"/>
    </row>
    <row r="473" spans="2:2" ht="12.75" x14ac:dyDescent="0.2">
      <c r="B473" s="38"/>
    </row>
    <row r="474" spans="2:2" ht="12.75" x14ac:dyDescent="0.2">
      <c r="B474" s="38"/>
    </row>
    <row r="475" spans="2:2" ht="12.75" x14ac:dyDescent="0.2">
      <c r="B475" s="38"/>
    </row>
    <row r="476" spans="2:2" ht="12.75" x14ac:dyDescent="0.2">
      <c r="B476" s="38"/>
    </row>
    <row r="477" spans="2:2" ht="12.75" x14ac:dyDescent="0.2">
      <c r="B477" s="38"/>
    </row>
    <row r="478" spans="2:2" ht="12.75" x14ac:dyDescent="0.2">
      <c r="B478" s="38"/>
    </row>
    <row r="479" spans="2:2" ht="12.75" x14ac:dyDescent="0.2">
      <c r="B479" s="38"/>
    </row>
    <row r="480" spans="2:2" ht="12.75" x14ac:dyDescent="0.2">
      <c r="B480" s="38"/>
    </row>
    <row r="481" spans="2:2" ht="12.75" x14ac:dyDescent="0.2">
      <c r="B481" s="38"/>
    </row>
    <row r="482" spans="2:2" ht="12.75" x14ac:dyDescent="0.2">
      <c r="B482" s="38"/>
    </row>
    <row r="483" spans="2:2" ht="12.75" x14ac:dyDescent="0.2">
      <c r="B483" s="38"/>
    </row>
    <row r="484" spans="2:2" ht="12.75" x14ac:dyDescent="0.2">
      <c r="B484" s="38"/>
    </row>
    <row r="485" spans="2:2" ht="12.75" x14ac:dyDescent="0.2">
      <c r="B485" s="38"/>
    </row>
    <row r="486" spans="2:2" ht="12.75" x14ac:dyDescent="0.2">
      <c r="B486" s="38"/>
    </row>
    <row r="487" spans="2:2" ht="12.75" x14ac:dyDescent="0.2">
      <c r="B487" s="38"/>
    </row>
    <row r="488" spans="2:2" ht="12.75" x14ac:dyDescent="0.2">
      <c r="B488" s="38"/>
    </row>
    <row r="489" spans="2:2" ht="12.75" x14ac:dyDescent="0.2">
      <c r="B489" s="38"/>
    </row>
    <row r="490" spans="2:2" ht="12.75" x14ac:dyDescent="0.2">
      <c r="B490" s="38"/>
    </row>
    <row r="491" spans="2:2" ht="12.75" x14ac:dyDescent="0.2">
      <c r="B491" s="38"/>
    </row>
    <row r="492" spans="2:2" ht="12.75" x14ac:dyDescent="0.2">
      <c r="B492" s="38"/>
    </row>
    <row r="493" spans="2:2" ht="12.75" x14ac:dyDescent="0.2">
      <c r="B493" s="38"/>
    </row>
    <row r="494" spans="2:2" ht="12.75" x14ac:dyDescent="0.2">
      <c r="B494" s="38"/>
    </row>
    <row r="495" spans="2:2" ht="12.75" x14ac:dyDescent="0.2">
      <c r="B495" s="38"/>
    </row>
    <row r="496" spans="2:2" ht="12.75" x14ac:dyDescent="0.2">
      <c r="B496" s="38"/>
    </row>
    <row r="497" spans="2:2" ht="12.75" x14ac:dyDescent="0.2">
      <c r="B497" s="38"/>
    </row>
    <row r="498" spans="2:2" ht="12.75" x14ac:dyDescent="0.2">
      <c r="B498" s="38"/>
    </row>
    <row r="499" spans="2:2" ht="12.75" x14ac:dyDescent="0.2">
      <c r="B499" s="38"/>
    </row>
    <row r="500" spans="2:2" ht="12.75" x14ac:dyDescent="0.2">
      <c r="B500" s="38"/>
    </row>
    <row r="501" spans="2:2" ht="12.75" x14ac:dyDescent="0.2">
      <c r="B501" s="38"/>
    </row>
    <row r="502" spans="2:2" ht="12.75" x14ac:dyDescent="0.2">
      <c r="B502" s="38"/>
    </row>
    <row r="503" spans="2:2" ht="12.75" x14ac:dyDescent="0.2">
      <c r="B503" s="38"/>
    </row>
    <row r="504" spans="2:2" ht="12.75" x14ac:dyDescent="0.2">
      <c r="B504" s="38"/>
    </row>
    <row r="505" spans="2:2" ht="12.75" x14ac:dyDescent="0.2">
      <c r="B505" s="38"/>
    </row>
    <row r="506" spans="2:2" ht="12.75" x14ac:dyDescent="0.2">
      <c r="B506" s="38"/>
    </row>
    <row r="507" spans="2:2" ht="12.75" x14ac:dyDescent="0.2">
      <c r="B507" s="38"/>
    </row>
    <row r="508" spans="2:2" ht="12.75" x14ac:dyDescent="0.2">
      <c r="B508" s="38"/>
    </row>
    <row r="509" spans="2:2" ht="12.75" x14ac:dyDescent="0.2">
      <c r="B509" s="38"/>
    </row>
    <row r="510" spans="2:2" ht="12.75" x14ac:dyDescent="0.2">
      <c r="B510" s="38"/>
    </row>
    <row r="511" spans="2:2" ht="12.75" x14ac:dyDescent="0.2">
      <c r="B511" s="38"/>
    </row>
    <row r="512" spans="2:2" ht="12.75" x14ac:dyDescent="0.2">
      <c r="B512" s="38"/>
    </row>
    <row r="513" spans="2:2" ht="12.75" x14ac:dyDescent="0.2">
      <c r="B513" s="38"/>
    </row>
    <row r="514" spans="2:2" ht="12.75" x14ac:dyDescent="0.2">
      <c r="B514" s="38"/>
    </row>
    <row r="515" spans="2:2" ht="12.75" x14ac:dyDescent="0.2">
      <c r="B515" s="38"/>
    </row>
    <row r="516" spans="2:2" ht="12.75" x14ac:dyDescent="0.2">
      <c r="B516" s="38"/>
    </row>
    <row r="517" spans="2:2" ht="12.75" x14ac:dyDescent="0.2">
      <c r="B517" s="38"/>
    </row>
    <row r="518" spans="2:2" ht="12.75" x14ac:dyDescent="0.2">
      <c r="B518" s="38"/>
    </row>
    <row r="519" spans="2:2" ht="12.75" x14ac:dyDescent="0.2">
      <c r="B519" s="38"/>
    </row>
    <row r="520" spans="2:2" ht="12.75" x14ac:dyDescent="0.2">
      <c r="B520" s="38"/>
    </row>
    <row r="521" spans="2:2" ht="12.75" x14ac:dyDescent="0.2">
      <c r="B521" s="38"/>
    </row>
    <row r="522" spans="2:2" ht="12.75" x14ac:dyDescent="0.2">
      <c r="B522" s="38"/>
    </row>
    <row r="523" spans="2:2" ht="12.75" x14ac:dyDescent="0.2">
      <c r="B523" s="38"/>
    </row>
    <row r="524" spans="2:2" ht="12.75" x14ac:dyDescent="0.2">
      <c r="B524" s="38"/>
    </row>
    <row r="525" spans="2:2" ht="12.75" x14ac:dyDescent="0.2">
      <c r="B525" s="38"/>
    </row>
    <row r="526" spans="2:2" ht="12.75" x14ac:dyDescent="0.2">
      <c r="B526" s="38"/>
    </row>
    <row r="527" spans="2:2" ht="12.75" x14ac:dyDescent="0.2">
      <c r="B527" s="38"/>
    </row>
    <row r="528" spans="2:2" ht="12.75" x14ac:dyDescent="0.2">
      <c r="B528" s="38"/>
    </row>
    <row r="529" spans="2:2" ht="12.75" x14ac:dyDescent="0.2">
      <c r="B529" s="38"/>
    </row>
    <row r="530" spans="2:2" ht="12.75" x14ac:dyDescent="0.2">
      <c r="B530" s="38"/>
    </row>
    <row r="531" spans="2:2" ht="12.75" x14ac:dyDescent="0.2">
      <c r="B531" s="38"/>
    </row>
    <row r="532" spans="2:2" ht="12.75" x14ac:dyDescent="0.2">
      <c r="B532" s="38"/>
    </row>
    <row r="533" spans="2:2" ht="12.75" x14ac:dyDescent="0.2">
      <c r="B533" s="38"/>
    </row>
    <row r="534" spans="2:2" ht="12.75" x14ac:dyDescent="0.2">
      <c r="B534" s="38"/>
    </row>
    <row r="535" spans="2:2" ht="12.75" x14ac:dyDescent="0.2">
      <c r="B535" s="38"/>
    </row>
    <row r="536" spans="2:2" ht="12.75" x14ac:dyDescent="0.2">
      <c r="B536" s="38"/>
    </row>
    <row r="537" spans="2:2" ht="12.75" x14ac:dyDescent="0.2">
      <c r="B537" s="38"/>
    </row>
    <row r="538" spans="2:2" ht="12.75" x14ac:dyDescent="0.2">
      <c r="B538" s="38"/>
    </row>
    <row r="539" spans="2:2" ht="12.75" x14ac:dyDescent="0.2">
      <c r="B539" s="38"/>
    </row>
    <row r="540" spans="2:2" ht="12.75" x14ac:dyDescent="0.2">
      <c r="B540" s="38"/>
    </row>
    <row r="541" spans="2:2" ht="12.75" x14ac:dyDescent="0.2">
      <c r="B541" s="38"/>
    </row>
    <row r="542" spans="2:2" ht="12.75" x14ac:dyDescent="0.2">
      <c r="B542" s="38"/>
    </row>
    <row r="543" spans="2:2" ht="12.75" x14ac:dyDescent="0.2">
      <c r="B543" s="38"/>
    </row>
    <row r="544" spans="2:2" ht="12.75" x14ac:dyDescent="0.2">
      <c r="B544" s="38"/>
    </row>
    <row r="545" spans="2:2" ht="12.75" x14ac:dyDescent="0.2">
      <c r="B545" s="38"/>
    </row>
    <row r="546" spans="2:2" ht="12.75" x14ac:dyDescent="0.2">
      <c r="B546" s="38"/>
    </row>
    <row r="547" spans="2:2" ht="12.75" x14ac:dyDescent="0.2">
      <c r="B547" s="38"/>
    </row>
    <row r="548" spans="2:2" ht="12.75" x14ac:dyDescent="0.2">
      <c r="B548" s="38"/>
    </row>
    <row r="549" spans="2:2" ht="12.75" x14ac:dyDescent="0.2">
      <c r="B549" s="38"/>
    </row>
    <row r="550" spans="2:2" ht="12.75" x14ac:dyDescent="0.2">
      <c r="B550" s="38"/>
    </row>
    <row r="551" spans="2:2" ht="12.75" x14ac:dyDescent="0.2">
      <c r="B551" s="38"/>
    </row>
    <row r="552" spans="2:2" ht="12.75" x14ac:dyDescent="0.2">
      <c r="B552" s="38"/>
    </row>
    <row r="553" spans="2:2" ht="12.75" x14ac:dyDescent="0.2">
      <c r="B553" s="38"/>
    </row>
    <row r="554" spans="2:2" ht="12.75" x14ac:dyDescent="0.2">
      <c r="B554" s="38"/>
    </row>
    <row r="555" spans="2:2" ht="12.75" x14ac:dyDescent="0.2">
      <c r="B555" s="38"/>
    </row>
    <row r="556" spans="2:2" ht="12.75" x14ac:dyDescent="0.2">
      <c r="B556" s="38"/>
    </row>
    <row r="557" spans="2:2" ht="12.75" x14ac:dyDescent="0.2">
      <c r="B557" s="38"/>
    </row>
    <row r="558" spans="2:2" ht="12.75" x14ac:dyDescent="0.2">
      <c r="B558" s="38"/>
    </row>
    <row r="559" spans="2:2" ht="12.75" x14ac:dyDescent="0.2">
      <c r="B559" s="38"/>
    </row>
    <row r="560" spans="2:2" ht="12.75" x14ac:dyDescent="0.2">
      <c r="B560" s="38"/>
    </row>
    <row r="561" spans="2:2" ht="12.75" x14ac:dyDescent="0.2">
      <c r="B561" s="38"/>
    </row>
    <row r="562" spans="2:2" ht="12.75" x14ac:dyDescent="0.2">
      <c r="B562" s="38"/>
    </row>
    <row r="563" spans="2:2" ht="12.75" x14ac:dyDescent="0.2">
      <c r="B563" s="38"/>
    </row>
    <row r="564" spans="2:2" ht="12.75" x14ac:dyDescent="0.2">
      <c r="B564" s="38"/>
    </row>
    <row r="565" spans="2:2" ht="12.75" x14ac:dyDescent="0.2">
      <c r="B565" s="38"/>
    </row>
    <row r="566" spans="2:2" ht="12.75" x14ac:dyDescent="0.2">
      <c r="B566" s="38"/>
    </row>
    <row r="567" spans="2:2" ht="12.75" x14ac:dyDescent="0.2">
      <c r="B567" s="38"/>
    </row>
    <row r="568" spans="2:2" ht="12.75" x14ac:dyDescent="0.2">
      <c r="B568" s="38"/>
    </row>
    <row r="569" spans="2:2" ht="12.75" x14ac:dyDescent="0.2">
      <c r="B569" s="38"/>
    </row>
    <row r="570" spans="2:2" ht="12.75" x14ac:dyDescent="0.2">
      <c r="B570" s="38"/>
    </row>
    <row r="571" spans="2:2" ht="12.75" x14ac:dyDescent="0.2">
      <c r="B571" s="38"/>
    </row>
    <row r="572" spans="2:2" ht="12.75" x14ac:dyDescent="0.2">
      <c r="B572" s="38"/>
    </row>
    <row r="573" spans="2:2" ht="12.75" x14ac:dyDescent="0.2">
      <c r="B573" s="38"/>
    </row>
    <row r="574" spans="2:2" ht="12.75" x14ac:dyDescent="0.2">
      <c r="B574" s="38"/>
    </row>
    <row r="575" spans="2:2" ht="12.75" x14ac:dyDescent="0.2">
      <c r="B575" s="38"/>
    </row>
    <row r="576" spans="2:2" ht="12.75" x14ac:dyDescent="0.2">
      <c r="B576" s="38"/>
    </row>
    <row r="577" spans="2:2" ht="12.75" x14ac:dyDescent="0.2">
      <c r="B577" s="38"/>
    </row>
    <row r="578" spans="2:2" ht="12.75" x14ac:dyDescent="0.2">
      <c r="B578" s="38"/>
    </row>
    <row r="579" spans="2:2" ht="12.75" x14ac:dyDescent="0.2">
      <c r="B579" s="38"/>
    </row>
    <row r="580" spans="2:2" ht="12.75" x14ac:dyDescent="0.2">
      <c r="B580" s="38"/>
    </row>
    <row r="581" spans="2:2" ht="12.75" x14ac:dyDescent="0.2">
      <c r="B581" s="38"/>
    </row>
    <row r="582" spans="2:2" ht="12.75" x14ac:dyDescent="0.2">
      <c r="B582" s="38"/>
    </row>
    <row r="583" spans="2:2" ht="12.75" x14ac:dyDescent="0.2">
      <c r="B583" s="38"/>
    </row>
    <row r="584" spans="2:2" ht="12.75" x14ac:dyDescent="0.2">
      <c r="B584" s="38"/>
    </row>
    <row r="585" spans="2:2" ht="12.75" x14ac:dyDescent="0.2">
      <c r="B585" s="38"/>
    </row>
    <row r="586" spans="2:2" ht="12.75" x14ac:dyDescent="0.2">
      <c r="B586" s="38"/>
    </row>
    <row r="587" spans="2:2" ht="12.75" x14ac:dyDescent="0.2">
      <c r="B587" s="38"/>
    </row>
    <row r="588" spans="2:2" ht="12.75" x14ac:dyDescent="0.2">
      <c r="B588" s="38"/>
    </row>
    <row r="589" spans="2:2" ht="12.75" x14ac:dyDescent="0.2">
      <c r="B589" s="38"/>
    </row>
    <row r="590" spans="2:2" ht="12.75" x14ac:dyDescent="0.2">
      <c r="B590" s="38"/>
    </row>
    <row r="591" spans="2:2" ht="12.75" x14ac:dyDescent="0.2">
      <c r="B591" s="38"/>
    </row>
    <row r="592" spans="2:2" ht="12.75" x14ac:dyDescent="0.2">
      <c r="B592" s="38"/>
    </row>
    <row r="593" spans="2:2" ht="12.75" x14ac:dyDescent="0.2">
      <c r="B593" s="38"/>
    </row>
    <row r="594" spans="2:2" ht="12.75" x14ac:dyDescent="0.2">
      <c r="B594" s="38"/>
    </row>
    <row r="595" spans="2:2" ht="12.75" x14ac:dyDescent="0.2">
      <c r="B595" s="38"/>
    </row>
    <row r="596" spans="2:2" ht="12.75" x14ac:dyDescent="0.2">
      <c r="B596" s="38"/>
    </row>
    <row r="597" spans="2:2" ht="12.75" x14ac:dyDescent="0.2">
      <c r="B597" s="38"/>
    </row>
    <row r="598" spans="2:2" ht="12.75" x14ac:dyDescent="0.2">
      <c r="B598" s="38"/>
    </row>
    <row r="599" spans="2:2" ht="12.75" x14ac:dyDescent="0.2">
      <c r="B599" s="38"/>
    </row>
    <row r="600" spans="2:2" ht="12.75" x14ac:dyDescent="0.2">
      <c r="B600" s="38"/>
    </row>
    <row r="601" spans="2:2" ht="12.75" x14ac:dyDescent="0.2">
      <c r="B601" s="38"/>
    </row>
    <row r="602" spans="2:2" ht="12.75" x14ac:dyDescent="0.2">
      <c r="B602" s="38"/>
    </row>
    <row r="603" spans="2:2" ht="12.75" x14ac:dyDescent="0.2">
      <c r="B603" s="38"/>
    </row>
    <row r="604" spans="2:2" ht="12.75" x14ac:dyDescent="0.2">
      <c r="B604" s="38"/>
    </row>
    <row r="605" spans="2:2" ht="12.75" x14ac:dyDescent="0.2">
      <c r="B605" s="38"/>
    </row>
    <row r="606" spans="2:2" ht="12.75" x14ac:dyDescent="0.2">
      <c r="B606" s="38"/>
    </row>
    <row r="607" spans="2:2" ht="12.75" x14ac:dyDescent="0.2">
      <c r="B607" s="38"/>
    </row>
    <row r="608" spans="2:2" ht="12.75" x14ac:dyDescent="0.2">
      <c r="B608" s="38"/>
    </row>
    <row r="609" spans="2:2" ht="12.75" x14ac:dyDescent="0.2">
      <c r="B609" s="38"/>
    </row>
    <row r="610" spans="2:2" ht="12.75" x14ac:dyDescent="0.2">
      <c r="B610" s="38"/>
    </row>
    <row r="611" spans="2:2" ht="12.75" x14ac:dyDescent="0.2">
      <c r="B611" s="38"/>
    </row>
    <row r="612" spans="2:2" ht="12.75" x14ac:dyDescent="0.2">
      <c r="B612" s="38"/>
    </row>
    <row r="613" spans="2:2" ht="12.75" x14ac:dyDescent="0.2">
      <c r="B613" s="38"/>
    </row>
    <row r="614" spans="2:2" ht="12.75" x14ac:dyDescent="0.2">
      <c r="B614" s="38"/>
    </row>
    <row r="615" spans="2:2" ht="12.75" x14ac:dyDescent="0.2">
      <c r="B615" s="38"/>
    </row>
    <row r="616" spans="2:2" ht="12.75" x14ac:dyDescent="0.2">
      <c r="B616" s="38"/>
    </row>
    <row r="617" spans="2:2" ht="12.75" x14ac:dyDescent="0.2">
      <c r="B617" s="38"/>
    </row>
    <row r="618" spans="2:2" ht="12.75" x14ac:dyDescent="0.2">
      <c r="B618" s="38"/>
    </row>
    <row r="619" spans="2:2" ht="12.75" x14ac:dyDescent="0.2">
      <c r="B619" s="38"/>
    </row>
    <row r="620" spans="2:2" ht="12.75" x14ac:dyDescent="0.2">
      <c r="B620" s="38"/>
    </row>
    <row r="621" spans="2:2" ht="12.75" x14ac:dyDescent="0.2">
      <c r="B621" s="38"/>
    </row>
    <row r="622" spans="2:2" ht="12.75" x14ac:dyDescent="0.2">
      <c r="B622" s="38"/>
    </row>
    <row r="623" spans="2:2" ht="12.75" x14ac:dyDescent="0.2">
      <c r="B623" s="38"/>
    </row>
    <row r="624" spans="2:2" ht="12.75" x14ac:dyDescent="0.2">
      <c r="B624" s="38"/>
    </row>
    <row r="625" spans="2:2" ht="12.75" x14ac:dyDescent="0.2">
      <c r="B625" s="38"/>
    </row>
    <row r="626" spans="2:2" ht="12.75" x14ac:dyDescent="0.2">
      <c r="B626" s="38"/>
    </row>
    <row r="627" spans="2:2" ht="12.75" x14ac:dyDescent="0.2">
      <c r="B627" s="38"/>
    </row>
    <row r="628" spans="2:2" ht="12.75" x14ac:dyDescent="0.2">
      <c r="B628" s="38"/>
    </row>
    <row r="629" spans="2:2" ht="12.75" x14ac:dyDescent="0.2">
      <c r="B629" s="38"/>
    </row>
    <row r="630" spans="2:2" ht="12.75" x14ac:dyDescent="0.2">
      <c r="B630" s="38"/>
    </row>
    <row r="631" spans="2:2" ht="12.75" x14ac:dyDescent="0.2">
      <c r="B631" s="38"/>
    </row>
    <row r="632" spans="2:2" ht="12.75" x14ac:dyDescent="0.2">
      <c r="B632" s="38"/>
    </row>
    <row r="633" spans="2:2" ht="12.75" x14ac:dyDescent="0.2">
      <c r="B633" s="38"/>
    </row>
    <row r="634" spans="2:2" ht="12.75" x14ac:dyDescent="0.2">
      <c r="B634" s="38"/>
    </row>
    <row r="635" spans="2:2" ht="12.75" x14ac:dyDescent="0.2">
      <c r="B635" s="38"/>
    </row>
    <row r="636" spans="2:2" ht="12.75" x14ac:dyDescent="0.2">
      <c r="B636" s="38"/>
    </row>
    <row r="637" spans="2:2" ht="12.75" x14ac:dyDescent="0.2">
      <c r="B637" s="38"/>
    </row>
    <row r="638" spans="2:2" ht="12.75" x14ac:dyDescent="0.2">
      <c r="B638" s="38"/>
    </row>
    <row r="639" spans="2:2" ht="12.75" x14ac:dyDescent="0.2">
      <c r="B639" s="38"/>
    </row>
    <row r="640" spans="2:2" ht="12.75" x14ac:dyDescent="0.2">
      <c r="B640" s="38"/>
    </row>
    <row r="641" spans="2:2" ht="12.75" x14ac:dyDescent="0.2">
      <c r="B641" s="38"/>
    </row>
    <row r="642" spans="2:2" ht="12.75" x14ac:dyDescent="0.2">
      <c r="B642" s="38"/>
    </row>
    <row r="643" spans="2:2" ht="12.75" x14ac:dyDescent="0.2">
      <c r="B643" s="38"/>
    </row>
    <row r="644" spans="2:2" ht="12.75" x14ac:dyDescent="0.2">
      <c r="B644" s="38"/>
    </row>
    <row r="645" spans="2:2" ht="12.75" x14ac:dyDescent="0.2">
      <c r="B645" s="38"/>
    </row>
    <row r="646" spans="2:2" ht="12.75" x14ac:dyDescent="0.2">
      <c r="B646" s="38"/>
    </row>
    <row r="647" spans="2:2" ht="12.75" x14ac:dyDescent="0.2">
      <c r="B647" s="38"/>
    </row>
    <row r="648" spans="2:2" ht="12.75" x14ac:dyDescent="0.2">
      <c r="B648" s="38"/>
    </row>
    <row r="649" spans="2:2" ht="12.75" x14ac:dyDescent="0.2">
      <c r="B649" s="38"/>
    </row>
    <row r="650" spans="2:2" ht="12.75" x14ac:dyDescent="0.2">
      <c r="B650" s="38"/>
    </row>
    <row r="651" spans="2:2" ht="12.75" x14ac:dyDescent="0.2">
      <c r="B651" s="38"/>
    </row>
    <row r="652" spans="2:2" ht="12.75" x14ac:dyDescent="0.2">
      <c r="B652" s="38"/>
    </row>
    <row r="653" spans="2:2" ht="12.75" x14ac:dyDescent="0.2">
      <c r="B653" s="38"/>
    </row>
    <row r="654" spans="2:2" ht="12.75" x14ac:dyDescent="0.2">
      <c r="B654" s="38"/>
    </row>
    <row r="655" spans="2:2" ht="12.75" x14ac:dyDescent="0.2">
      <c r="B655" s="38"/>
    </row>
    <row r="656" spans="2:2" ht="12.75" x14ac:dyDescent="0.2">
      <c r="B656" s="38"/>
    </row>
    <row r="657" spans="2:2" ht="12.75" x14ac:dyDescent="0.2">
      <c r="B657" s="38"/>
    </row>
    <row r="658" spans="2:2" ht="12.75" x14ac:dyDescent="0.2">
      <c r="B658" s="38"/>
    </row>
    <row r="659" spans="2:2" ht="12.75" x14ac:dyDescent="0.2">
      <c r="B659" s="38"/>
    </row>
    <row r="660" spans="2:2" ht="12.75" x14ac:dyDescent="0.2">
      <c r="B660" s="38"/>
    </row>
    <row r="661" spans="2:2" ht="12.75" x14ac:dyDescent="0.2">
      <c r="B661" s="38"/>
    </row>
    <row r="662" spans="2:2" ht="12.75" x14ac:dyDescent="0.2">
      <c r="B662" s="38"/>
    </row>
    <row r="663" spans="2:2" ht="12.75" x14ac:dyDescent="0.2">
      <c r="B663" s="38"/>
    </row>
    <row r="664" spans="2:2" ht="12.75" x14ac:dyDescent="0.2">
      <c r="B664" s="38"/>
    </row>
    <row r="665" spans="2:2" ht="12.75" x14ac:dyDescent="0.2">
      <c r="B665" s="38"/>
    </row>
    <row r="666" spans="2:2" ht="12.75" x14ac:dyDescent="0.2">
      <c r="B666" s="38"/>
    </row>
    <row r="667" spans="2:2" ht="12.75" x14ac:dyDescent="0.2">
      <c r="B667" s="38"/>
    </row>
    <row r="668" spans="2:2" ht="12.75" x14ac:dyDescent="0.2">
      <c r="B668" s="38"/>
    </row>
    <row r="669" spans="2:2" ht="12.75" x14ac:dyDescent="0.2">
      <c r="B669" s="38"/>
    </row>
    <row r="670" spans="2:2" ht="12.75" x14ac:dyDescent="0.2">
      <c r="B670" s="38"/>
    </row>
    <row r="671" spans="2:2" ht="12.75" x14ac:dyDescent="0.2">
      <c r="B671" s="38"/>
    </row>
    <row r="672" spans="2:2" ht="12.75" x14ac:dyDescent="0.2">
      <c r="B672" s="38"/>
    </row>
    <row r="673" spans="2:2" ht="12.75" x14ac:dyDescent="0.2">
      <c r="B673" s="38"/>
    </row>
    <row r="674" spans="2:2" ht="12.75" x14ac:dyDescent="0.2">
      <c r="B674" s="38"/>
    </row>
    <row r="675" spans="2:2" ht="12.75" x14ac:dyDescent="0.2">
      <c r="B675" s="38"/>
    </row>
    <row r="676" spans="2:2" ht="12.75" x14ac:dyDescent="0.2">
      <c r="B676" s="38"/>
    </row>
    <row r="677" spans="2:2" ht="12.75" x14ac:dyDescent="0.2">
      <c r="B677" s="38"/>
    </row>
    <row r="678" spans="2:2" ht="12.75" x14ac:dyDescent="0.2">
      <c r="B678" s="38"/>
    </row>
    <row r="679" spans="2:2" ht="12.75" x14ac:dyDescent="0.2">
      <c r="B679" s="38"/>
    </row>
    <row r="680" spans="2:2" ht="12.75" x14ac:dyDescent="0.2">
      <c r="B680" s="38"/>
    </row>
    <row r="681" spans="2:2" ht="12.75" x14ac:dyDescent="0.2">
      <c r="B681" s="38"/>
    </row>
    <row r="682" spans="2:2" ht="12.75" x14ac:dyDescent="0.2">
      <c r="B682" s="38"/>
    </row>
    <row r="683" spans="2:2" ht="12.75" x14ac:dyDescent="0.2">
      <c r="B683" s="38"/>
    </row>
    <row r="684" spans="2:2" ht="12.75" x14ac:dyDescent="0.2">
      <c r="B684" s="38"/>
    </row>
    <row r="685" spans="2:2" ht="12.75" x14ac:dyDescent="0.2">
      <c r="B685" s="38"/>
    </row>
    <row r="686" spans="2:2" ht="12.75" x14ac:dyDescent="0.2">
      <c r="B686" s="38"/>
    </row>
    <row r="687" spans="2:2" ht="12.75" x14ac:dyDescent="0.2">
      <c r="B687" s="38"/>
    </row>
    <row r="688" spans="2:2" ht="12.75" x14ac:dyDescent="0.2">
      <c r="B688" s="38"/>
    </row>
    <row r="689" spans="2:2" ht="12.75" x14ac:dyDescent="0.2">
      <c r="B689" s="38"/>
    </row>
    <row r="690" spans="2:2" ht="12.75" x14ac:dyDescent="0.2">
      <c r="B690" s="38"/>
    </row>
    <row r="691" spans="2:2" ht="12.75" x14ac:dyDescent="0.2">
      <c r="B691" s="38"/>
    </row>
    <row r="692" spans="2:2" ht="12.75" x14ac:dyDescent="0.2">
      <c r="B692" s="38"/>
    </row>
    <row r="693" spans="2:2" ht="12.75" x14ac:dyDescent="0.2">
      <c r="B693" s="38"/>
    </row>
    <row r="694" spans="2:2" ht="12.75" x14ac:dyDescent="0.2">
      <c r="B694" s="38"/>
    </row>
    <row r="695" spans="2:2" ht="12.75" x14ac:dyDescent="0.2">
      <c r="B695" s="38"/>
    </row>
    <row r="696" spans="2:2" ht="12.75" x14ac:dyDescent="0.2">
      <c r="B696" s="38"/>
    </row>
    <row r="697" spans="2:2" ht="12.75" x14ac:dyDescent="0.2">
      <c r="B697" s="38"/>
    </row>
    <row r="698" spans="2:2" ht="12.75" x14ac:dyDescent="0.2">
      <c r="B698" s="38"/>
    </row>
    <row r="699" spans="2:2" ht="12.75" x14ac:dyDescent="0.2">
      <c r="B699" s="38"/>
    </row>
    <row r="700" spans="2:2" ht="12.75" x14ac:dyDescent="0.2">
      <c r="B700" s="38"/>
    </row>
    <row r="701" spans="2:2" ht="12.75" x14ac:dyDescent="0.2">
      <c r="B701" s="38"/>
    </row>
    <row r="702" spans="2:2" ht="12.75" x14ac:dyDescent="0.2">
      <c r="B702" s="38"/>
    </row>
    <row r="703" spans="2:2" ht="12.75" x14ac:dyDescent="0.2">
      <c r="B703" s="38"/>
    </row>
    <row r="704" spans="2:2" ht="12.75" x14ac:dyDescent="0.2">
      <c r="B704" s="38"/>
    </row>
    <row r="705" spans="2:2" ht="12.75" x14ac:dyDescent="0.2">
      <c r="B705" s="38"/>
    </row>
    <row r="706" spans="2:2" ht="12.75" x14ac:dyDescent="0.2">
      <c r="B706" s="38"/>
    </row>
    <row r="707" spans="2:2" ht="12.75" x14ac:dyDescent="0.2">
      <c r="B707" s="38"/>
    </row>
    <row r="708" spans="2:2" ht="12.75" x14ac:dyDescent="0.2">
      <c r="B708" s="38"/>
    </row>
    <row r="709" spans="2:2" ht="12.75" x14ac:dyDescent="0.2">
      <c r="B709" s="38"/>
    </row>
    <row r="710" spans="2:2" ht="12.75" x14ac:dyDescent="0.2">
      <c r="B710" s="38"/>
    </row>
    <row r="711" spans="2:2" ht="12.75" x14ac:dyDescent="0.2">
      <c r="B711" s="38"/>
    </row>
    <row r="712" spans="2:2" ht="12.75" x14ac:dyDescent="0.2">
      <c r="B712" s="38"/>
    </row>
    <row r="713" spans="2:2" ht="12.75" x14ac:dyDescent="0.2">
      <c r="B713" s="38"/>
    </row>
    <row r="714" spans="2:2" ht="12.75" x14ac:dyDescent="0.2">
      <c r="B714" s="38"/>
    </row>
    <row r="715" spans="2:2" ht="12.75" x14ac:dyDescent="0.2">
      <c r="B715" s="38"/>
    </row>
    <row r="716" spans="2:2" ht="12.75" x14ac:dyDescent="0.2">
      <c r="B716" s="38"/>
    </row>
    <row r="717" spans="2:2" ht="12.75" x14ac:dyDescent="0.2">
      <c r="B717" s="38"/>
    </row>
    <row r="718" spans="2:2" ht="12.75" x14ac:dyDescent="0.2">
      <c r="B718" s="38"/>
    </row>
    <row r="719" spans="2:2" ht="12.75" x14ac:dyDescent="0.2">
      <c r="B719" s="38"/>
    </row>
    <row r="720" spans="2:2" ht="12.75" x14ac:dyDescent="0.2">
      <c r="B720" s="38"/>
    </row>
    <row r="721" spans="2:2" ht="12.75" x14ac:dyDescent="0.2">
      <c r="B721" s="38"/>
    </row>
    <row r="722" spans="2:2" ht="12.75" x14ac:dyDescent="0.2">
      <c r="B722" s="38"/>
    </row>
    <row r="723" spans="2:2" ht="12.75" x14ac:dyDescent="0.2">
      <c r="B723" s="38"/>
    </row>
    <row r="724" spans="2:2" ht="12.75" x14ac:dyDescent="0.2">
      <c r="B724" s="38"/>
    </row>
    <row r="725" spans="2:2" ht="12.75" x14ac:dyDescent="0.2">
      <c r="B725" s="38"/>
    </row>
    <row r="726" spans="2:2" ht="12.75" x14ac:dyDescent="0.2">
      <c r="B726" s="38"/>
    </row>
    <row r="727" spans="2:2" ht="12.75" x14ac:dyDescent="0.2">
      <c r="B727" s="38"/>
    </row>
    <row r="728" spans="2:2" ht="12.75" x14ac:dyDescent="0.2">
      <c r="B728" s="38"/>
    </row>
    <row r="729" spans="2:2" ht="12.75" x14ac:dyDescent="0.2">
      <c r="B729" s="38"/>
    </row>
    <row r="730" spans="2:2" ht="12.75" x14ac:dyDescent="0.2">
      <c r="B730" s="38"/>
    </row>
    <row r="731" spans="2:2" ht="12.75" x14ac:dyDescent="0.2">
      <c r="B731" s="38"/>
    </row>
    <row r="732" spans="2:2" ht="12.75" x14ac:dyDescent="0.2">
      <c r="B732" s="38"/>
    </row>
    <row r="733" spans="2:2" ht="12.75" x14ac:dyDescent="0.2">
      <c r="B733" s="38"/>
    </row>
    <row r="734" spans="2:2" ht="12.75" x14ac:dyDescent="0.2">
      <c r="B734" s="38"/>
    </row>
    <row r="735" spans="2:2" ht="12.75" x14ac:dyDescent="0.2">
      <c r="B735" s="38"/>
    </row>
    <row r="736" spans="2:2" ht="12.75" x14ac:dyDescent="0.2">
      <c r="B736" s="38"/>
    </row>
    <row r="737" spans="2:2" ht="12.75" x14ac:dyDescent="0.2">
      <c r="B737" s="38"/>
    </row>
    <row r="738" spans="2:2" ht="12.75" x14ac:dyDescent="0.2">
      <c r="B738" s="38"/>
    </row>
    <row r="739" spans="2:2" ht="12.75" x14ac:dyDescent="0.2">
      <c r="B739" s="38"/>
    </row>
    <row r="740" spans="2:2" ht="12.75" x14ac:dyDescent="0.2">
      <c r="B740" s="38"/>
    </row>
    <row r="741" spans="2:2" ht="12.75" x14ac:dyDescent="0.2">
      <c r="B741" s="38"/>
    </row>
    <row r="742" spans="2:2" ht="12.75" x14ac:dyDescent="0.2">
      <c r="B742" s="38"/>
    </row>
    <row r="743" spans="2:2" ht="12.75" x14ac:dyDescent="0.2">
      <c r="B743" s="38"/>
    </row>
    <row r="744" spans="2:2" ht="12.75" x14ac:dyDescent="0.2">
      <c r="B744" s="38"/>
    </row>
    <row r="745" spans="2:2" ht="12.75" x14ac:dyDescent="0.2">
      <c r="B745" s="38"/>
    </row>
    <row r="746" spans="2:2" ht="12.75" x14ac:dyDescent="0.2">
      <c r="B746" s="38"/>
    </row>
    <row r="747" spans="2:2" ht="12.75" x14ac:dyDescent="0.2">
      <c r="B747" s="38"/>
    </row>
    <row r="748" spans="2:2" ht="12.75" x14ac:dyDescent="0.2">
      <c r="B748" s="38"/>
    </row>
    <row r="749" spans="2:2" ht="12.75" x14ac:dyDescent="0.2">
      <c r="B749" s="38"/>
    </row>
    <row r="750" spans="2:2" ht="12.75" x14ac:dyDescent="0.2">
      <c r="B750" s="38"/>
    </row>
    <row r="751" spans="2:2" ht="12.75" x14ac:dyDescent="0.2">
      <c r="B751" s="38"/>
    </row>
    <row r="752" spans="2:2" ht="12.75" x14ac:dyDescent="0.2">
      <c r="B752" s="38"/>
    </row>
    <row r="753" spans="2:2" ht="12.75" x14ac:dyDescent="0.2">
      <c r="B753" s="38"/>
    </row>
    <row r="754" spans="2:2" ht="12.75" x14ac:dyDescent="0.2">
      <c r="B754" s="38"/>
    </row>
    <row r="755" spans="2:2" ht="12.75" x14ac:dyDescent="0.2">
      <c r="B755" s="38"/>
    </row>
    <row r="756" spans="2:2" ht="12.75" x14ac:dyDescent="0.2">
      <c r="B756" s="38"/>
    </row>
    <row r="757" spans="2:2" ht="12.75" x14ac:dyDescent="0.2">
      <c r="B757" s="38"/>
    </row>
    <row r="758" spans="2:2" ht="12.75" x14ac:dyDescent="0.2">
      <c r="B758" s="38"/>
    </row>
    <row r="759" spans="2:2" ht="12.75" x14ac:dyDescent="0.2">
      <c r="B759" s="38"/>
    </row>
    <row r="760" spans="2:2" ht="12.75" x14ac:dyDescent="0.2">
      <c r="B760" s="38"/>
    </row>
    <row r="761" spans="2:2" ht="12.75" x14ac:dyDescent="0.2">
      <c r="B761" s="38"/>
    </row>
    <row r="762" spans="2:2" ht="12.75" x14ac:dyDescent="0.2">
      <c r="B762" s="38"/>
    </row>
    <row r="763" spans="2:2" ht="12.75" x14ac:dyDescent="0.2">
      <c r="B763" s="38"/>
    </row>
    <row r="764" spans="2:2" ht="12.75" x14ac:dyDescent="0.2">
      <c r="B764" s="38"/>
    </row>
    <row r="765" spans="2:2" ht="12.75" x14ac:dyDescent="0.2">
      <c r="B765" s="38"/>
    </row>
    <row r="766" spans="2:2" ht="12.75" x14ac:dyDescent="0.2">
      <c r="B766" s="38"/>
    </row>
    <row r="767" spans="2:2" ht="12.75" x14ac:dyDescent="0.2">
      <c r="B767" s="38"/>
    </row>
    <row r="768" spans="2:2" ht="12.75" x14ac:dyDescent="0.2">
      <c r="B768" s="38"/>
    </row>
    <row r="769" spans="2:2" ht="12.75" x14ac:dyDescent="0.2">
      <c r="B769" s="38"/>
    </row>
    <row r="770" spans="2:2" ht="12.75" x14ac:dyDescent="0.2">
      <c r="B770" s="38"/>
    </row>
    <row r="771" spans="2:2" ht="12.75" x14ac:dyDescent="0.2">
      <c r="B771" s="38"/>
    </row>
    <row r="772" spans="2:2" ht="12.75" x14ac:dyDescent="0.2">
      <c r="B772" s="38"/>
    </row>
    <row r="773" spans="2:2" ht="12.75" x14ac:dyDescent="0.2">
      <c r="B773" s="38"/>
    </row>
    <row r="774" spans="2:2" ht="12.75" x14ac:dyDescent="0.2">
      <c r="B774" s="38"/>
    </row>
    <row r="775" spans="2:2" ht="12.75" x14ac:dyDescent="0.2">
      <c r="B775" s="38"/>
    </row>
    <row r="776" spans="2:2" ht="12.75" x14ac:dyDescent="0.2">
      <c r="B776" s="38"/>
    </row>
    <row r="777" spans="2:2" ht="12.75" x14ac:dyDescent="0.2">
      <c r="B777" s="38"/>
    </row>
    <row r="778" spans="2:2" ht="12.75" x14ac:dyDescent="0.2">
      <c r="B778" s="38"/>
    </row>
    <row r="779" spans="2:2" ht="12.75" x14ac:dyDescent="0.2">
      <c r="B779" s="38"/>
    </row>
    <row r="780" spans="2:2" ht="12.75" x14ac:dyDescent="0.2">
      <c r="B780" s="38"/>
    </row>
    <row r="781" spans="2:2" ht="12.75" x14ac:dyDescent="0.2">
      <c r="B781" s="38"/>
    </row>
    <row r="782" spans="2:2" ht="12.75" x14ac:dyDescent="0.2">
      <c r="B782" s="38"/>
    </row>
    <row r="783" spans="2:2" ht="12.75" x14ac:dyDescent="0.2">
      <c r="B783" s="38"/>
    </row>
    <row r="784" spans="2:2" ht="12.75" x14ac:dyDescent="0.2">
      <c r="B784" s="38"/>
    </row>
    <row r="785" spans="2:2" ht="12.75" x14ac:dyDescent="0.2">
      <c r="B785" s="38"/>
    </row>
    <row r="786" spans="2:2" ht="12.75" x14ac:dyDescent="0.2">
      <c r="B786" s="38"/>
    </row>
    <row r="787" spans="2:2" ht="12.75" x14ac:dyDescent="0.2">
      <c r="B787" s="38"/>
    </row>
    <row r="788" spans="2:2" ht="12.75" x14ac:dyDescent="0.2">
      <c r="B788" s="38"/>
    </row>
    <row r="789" spans="2:2" ht="12.75" x14ac:dyDescent="0.2">
      <c r="B789" s="38"/>
    </row>
    <row r="790" spans="2:2" ht="12.75" x14ac:dyDescent="0.2">
      <c r="B790" s="38"/>
    </row>
    <row r="791" spans="2:2" ht="12.75" x14ac:dyDescent="0.2">
      <c r="B791" s="38"/>
    </row>
    <row r="792" spans="2:2" ht="12.75" x14ac:dyDescent="0.2">
      <c r="B792" s="38"/>
    </row>
    <row r="793" spans="2:2" ht="12.75" x14ac:dyDescent="0.2">
      <c r="B793" s="38"/>
    </row>
    <row r="794" spans="2:2" ht="12.75" x14ac:dyDescent="0.2">
      <c r="B794" s="38"/>
    </row>
    <row r="795" spans="2:2" ht="12.75" x14ac:dyDescent="0.2">
      <c r="B795" s="38"/>
    </row>
    <row r="796" spans="2:2" ht="12.75" x14ac:dyDescent="0.2">
      <c r="B796" s="38"/>
    </row>
    <row r="797" spans="2:2" ht="12.75" x14ac:dyDescent="0.2">
      <c r="B797" s="38"/>
    </row>
    <row r="798" spans="2:2" ht="12.75" x14ac:dyDescent="0.2">
      <c r="B798" s="38"/>
    </row>
    <row r="799" spans="2:2" ht="12.75" x14ac:dyDescent="0.2">
      <c r="B799" s="38"/>
    </row>
    <row r="800" spans="2:2" ht="12.75" x14ac:dyDescent="0.2">
      <c r="B800" s="38"/>
    </row>
    <row r="801" spans="2:2" ht="12.75" x14ac:dyDescent="0.2">
      <c r="B801" s="38"/>
    </row>
    <row r="802" spans="2:2" ht="12.75" x14ac:dyDescent="0.2">
      <c r="B802" s="38"/>
    </row>
    <row r="803" spans="2:2" ht="12.75" x14ac:dyDescent="0.2">
      <c r="B803" s="38"/>
    </row>
    <row r="804" spans="2:2" ht="12.75" x14ac:dyDescent="0.2">
      <c r="B804" s="38"/>
    </row>
    <row r="805" spans="2:2" ht="12.75" x14ac:dyDescent="0.2">
      <c r="B805" s="38"/>
    </row>
    <row r="806" spans="2:2" ht="12.75" x14ac:dyDescent="0.2">
      <c r="B806" s="38"/>
    </row>
    <row r="807" spans="2:2" ht="12.75" x14ac:dyDescent="0.2">
      <c r="B807" s="38"/>
    </row>
    <row r="808" spans="2:2" ht="12.75" x14ac:dyDescent="0.2">
      <c r="B808" s="38"/>
    </row>
    <row r="809" spans="2:2" ht="12.75" x14ac:dyDescent="0.2">
      <c r="B809" s="38"/>
    </row>
    <row r="810" spans="2:2" ht="12.75" x14ac:dyDescent="0.2">
      <c r="B810" s="38"/>
    </row>
    <row r="811" spans="2:2" ht="12.75" x14ac:dyDescent="0.2">
      <c r="B811" s="38"/>
    </row>
    <row r="812" spans="2:2" ht="12.75" x14ac:dyDescent="0.2">
      <c r="B812" s="38"/>
    </row>
    <row r="813" spans="2:2" ht="12.75" x14ac:dyDescent="0.2">
      <c r="B813" s="38"/>
    </row>
    <row r="814" spans="2:2" ht="12.75" x14ac:dyDescent="0.2">
      <c r="B814" s="38"/>
    </row>
    <row r="815" spans="2:2" ht="12.75" x14ac:dyDescent="0.2">
      <c r="B815" s="38"/>
    </row>
    <row r="816" spans="2:2" ht="12.75" x14ac:dyDescent="0.2">
      <c r="B816" s="38"/>
    </row>
    <row r="817" spans="2:2" ht="12.75" x14ac:dyDescent="0.2">
      <c r="B817" s="38"/>
    </row>
    <row r="818" spans="2:2" ht="12.75" x14ac:dyDescent="0.2">
      <c r="B818" s="38"/>
    </row>
    <row r="819" spans="2:2" ht="12.75" x14ac:dyDescent="0.2">
      <c r="B819" s="38"/>
    </row>
    <row r="820" spans="2:2" ht="12.75" x14ac:dyDescent="0.2">
      <c r="B820" s="38"/>
    </row>
    <row r="821" spans="2:2" ht="12.75" x14ac:dyDescent="0.2">
      <c r="B821" s="38"/>
    </row>
    <row r="822" spans="2:2" ht="12.75" x14ac:dyDescent="0.2">
      <c r="B822" s="38"/>
    </row>
    <row r="823" spans="2:2" ht="12.75" x14ac:dyDescent="0.2">
      <c r="B823" s="38"/>
    </row>
    <row r="824" spans="2:2" ht="12.75" x14ac:dyDescent="0.2">
      <c r="B824" s="38"/>
    </row>
    <row r="825" spans="2:2" ht="12.75" x14ac:dyDescent="0.2">
      <c r="B825" s="38"/>
    </row>
    <row r="826" spans="2:2" ht="12.75" x14ac:dyDescent="0.2">
      <c r="B826" s="38"/>
    </row>
    <row r="827" spans="2:2" ht="12.75" x14ac:dyDescent="0.2">
      <c r="B827" s="38"/>
    </row>
    <row r="828" spans="2:2" ht="12.75" x14ac:dyDescent="0.2">
      <c r="B828" s="38"/>
    </row>
    <row r="829" spans="2:2" ht="12.75" x14ac:dyDescent="0.2">
      <c r="B829" s="38"/>
    </row>
    <row r="830" spans="2:2" ht="12.75" x14ac:dyDescent="0.2">
      <c r="B830" s="38"/>
    </row>
    <row r="831" spans="2:2" ht="12.75" x14ac:dyDescent="0.2">
      <c r="B831" s="38"/>
    </row>
    <row r="832" spans="2:2" ht="12.75" x14ac:dyDescent="0.2">
      <c r="B832" s="38"/>
    </row>
    <row r="833" spans="2:2" ht="12.75" x14ac:dyDescent="0.2">
      <c r="B833" s="38"/>
    </row>
    <row r="834" spans="2:2" ht="12.75" x14ac:dyDescent="0.2">
      <c r="B834" s="38"/>
    </row>
    <row r="835" spans="2:2" ht="12.75" x14ac:dyDescent="0.2">
      <c r="B835" s="38"/>
    </row>
    <row r="836" spans="2:2" ht="12.75" x14ac:dyDescent="0.2">
      <c r="B836" s="38"/>
    </row>
    <row r="837" spans="2:2" ht="12.75" x14ac:dyDescent="0.2">
      <c r="B837" s="38"/>
    </row>
    <row r="838" spans="2:2" ht="12.75" x14ac:dyDescent="0.2">
      <c r="B838" s="38"/>
    </row>
    <row r="839" spans="2:2" ht="12.75" x14ac:dyDescent="0.2">
      <c r="B839" s="38"/>
    </row>
    <row r="840" spans="2:2" ht="12.75" x14ac:dyDescent="0.2">
      <c r="B840" s="38"/>
    </row>
    <row r="841" spans="2:2" ht="12.75" x14ac:dyDescent="0.2">
      <c r="B841" s="38"/>
    </row>
    <row r="842" spans="2:2" ht="12.75" x14ac:dyDescent="0.2">
      <c r="B842" s="38"/>
    </row>
    <row r="843" spans="2:2" ht="12.75" x14ac:dyDescent="0.2">
      <c r="B843" s="38"/>
    </row>
    <row r="844" spans="2:2" ht="12.75" x14ac:dyDescent="0.2">
      <c r="B844" s="38"/>
    </row>
    <row r="845" spans="2:2" ht="12.75" x14ac:dyDescent="0.2">
      <c r="B845" s="38"/>
    </row>
    <row r="846" spans="2:2" ht="12.75" x14ac:dyDescent="0.2">
      <c r="B846" s="38"/>
    </row>
    <row r="847" spans="2:2" ht="12.75" x14ac:dyDescent="0.2">
      <c r="B847" s="38"/>
    </row>
    <row r="848" spans="2:2" ht="12.75" x14ac:dyDescent="0.2">
      <c r="B848" s="38"/>
    </row>
    <row r="849" spans="2:2" ht="12.75" x14ac:dyDescent="0.2">
      <c r="B849" s="38"/>
    </row>
    <row r="850" spans="2:2" ht="12.75" x14ac:dyDescent="0.2">
      <c r="B850" s="38"/>
    </row>
    <row r="851" spans="2:2" ht="12.75" x14ac:dyDescent="0.2">
      <c r="B851" s="38"/>
    </row>
    <row r="852" spans="2:2" ht="12.75" x14ac:dyDescent="0.2">
      <c r="B852" s="38"/>
    </row>
    <row r="853" spans="2:2" ht="12.75" x14ac:dyDescent="0.2">
      <c r="B853" s="38"/>
    </row>
    <row r="854" spans="2:2" ht="12.75" x14ac:dyDescent="0.2">
      <c r="B854" s="38"/>
    </row>
    <row r="855" spans="2:2" ht="12.75" x14ac:dyDescent="0.2">
      <c r="B855" s="38"/>
    </row>
    <row r="856" spans="2:2" ht="12.75" x14ac:dyDescent="0.2">
      <c r="B856" s="38"/>
    </row>
    <row r="857" spans="2:2" ht="12.75" x14ac:dyDescent="0.2">
      <c r="B857" s="38"/>
    </row>
    <row r="858" spans="2:2" ht="12.75" x14ac:dyDescent="0.2">
      <c r="B858" s="38"/>
    </row>
    <row r="859" spans="2:2" ht="12.75" x14ac:dyDescent="0.2">
      <c r="B859" s="38"/>
    </row>
    <row r="860" spans="2:2" ht="12.75" x14ac:dyDescent="0.2">
      <c r="B860" s="38"/>
    </row>
    <row r="861" spans="2:2" ht="12.75" x14ac:dyDescent="0.2">
      <c r="B861" s="38"/>
    </row>
    <row r="862" spans="2:2" ht="12.75" x14ac:dyDescent="0.2">
      <c r="B862" s="38"/>
    </row>
    <row r="863" spans="2:2" ht="12.75" x14ac:dyDescent="0.2">
      <c r="B863" s="38"/>
    </row>
    <row r="864" spans="2:2" ht="12.75" x14ac:dyDescent="0.2">
      <c r="B864" s="38"/>
    </row>
    <row r="865" spans="2:2" ht="12.75" x14ac:dyDescent="0.2">
      <c r="B865" s="38"/>
    </row>
    <row r="866" spans="2:2" ht="12.75" x14ac:dyDescent="0.2">
      <c r="B866" s="38"/>
    </row>
    <row r="867" spans="2:2" ht="12.75" x14ac:dyDescent="0.2">
      <c r="B867" s="38"/>
    </row>
    <row r="868" spans="2:2" ht="12.75" x14ac:dyDescent="0.2">
      <c r="B868" s="38"/>
    </row>
    <row r="869" spans="2:2" ht="12.75" x14ac:dyDescent="0.2">
      <c r="B869" s="38"/>
    </row>
    <row r="870" spans="2:2" ht="12.75" x14ac:dyDescent="0.2">
      <c r="B870" s="38"/>
    </row>
    <row r="871" spans="2:2" ht="12.75" x14ac:dyDescent="0.2">
      <c r="B871" s="38"/>
    </row>
    <row r="872" spans="2:2" ht="12.75" x14ac:dyDescent="0.2">
      <c r="B872" s="38"/>
    </row>
    <row r="873" spans="2:2" ht="12.75" x14ac:dyDescent="0.2">
      <c r="B873" s="38"/>
    </row>
    <row r="874" spans="2:2" ht="12.75" x14ac:dyDescent="0.2">
      <c r="B874" s="38"/>
    </row>
    <row r="875" spans="2:2" ht="12.75" x14ac:dyDescent="0.2">
      <c r="B875" s="38"/>
    </row>
    <row r="876" spans="2:2" ht="12.75" x14ac:dyDescent="0.2">
      <c r="B876" s="38"/>
    </row>
    <row r="877" spans="2:2" ht="12.75" x14ac:dyDescent="0.2">
      <c r="B877" s="38"/>
    </row>
    <row r="878" spans="2:2" ht="12.75" x14ac:dyDescent="0.2">
      <c r="B878" s="38"/>
    </row>
    <row r="879" spans="2:2" ht="12.75" x14ac:dyDescent="0.2">
      <c r="B879" s="38"/>
    </row>
    <row r="880" spans="2:2" ht="12.75" x14ac:dyDescent="0.2">
      <c r="B880" s="38"/>
    </row>
    <row r="881" spans="2:2" ht="12.75" x14ac:dyDescent="0.2">
      <c r="B881" s="38"/>
    </row>
    <row r="882" spans="2:2" ht="12.75" x14ac:dyDescent="0.2">
      <c r="B882" s="38"/>
    </row>
    <row r="883" spans="2:2" ht="12.75" x14ac:dyDescent="0.2">
      <c r="B883" s="38"/>
    </row>
    <row r="884" spans="2:2" ht="12.75" x14ac:dyDescent="0.2">
      <c r="B884" s="38"/>
    </row>
    <row r="885" spans="2:2" ht="12.75" x14ac:dyDescent="0.2">
      <c r="B885" s="38"/>
    </row>
    <row r="886" spans="2:2" ht="12.75" x14ac:dyDescent="0.2">
      <c r="B886" s="38"/>
    </row>
    <row r="887" spans="2:2" ht="12.75" x14ac:dyDescent="0.2">
      <c r="B887" s="38"/>
    </row>
    <row r="888" spans="2:2" ht="12.75" x14ac:dyDescent="0.2">
      <c r="B888" s="38"/>
    </row>
    <row r="889" spans="2:2" ht="12.75" x14ac:dyDescent="0.2">
      <c r="B889" s="38"/>
    </row>
    <row r="890" spans="2:2" ht="12.75" x14ac:dyDescent="0.2">
      <c r="B890" s="38"/>
    </row>
    <row r="891" spans="2:2" ht="12.75" x14ac:dyDescent="0.2">
      <c r="B891" s="38"/>
    </row>
    <row r="892" spans="2:2" ht="12.75" x14ac:dyDescent="0.2">
      <c r="B892" s="38"/>
    </row>
    <row r="893" spans="2:2" ht="12.75" x14ac:dyDescent="0.2">
      <c r="B893" s="38"/>
    </row>
    <row r="894" spans="2:2" ht="12.75" x14ac:dyDescent="0.2">
      <c r="B894" s="38"/>
    </row>
    <row r="895" spans="2:2" ht="12.75" x14ac:dyDescent="0.2">
      <c r="B895" s="38"/>
    </row>
    <row r="896" spans="2:2" ht="12.75" x14ac:dyDescent="0.2">
      <c r="B896" s="38"/>
    </row>
    <row r="897" spans="2:2" ht="12.75" x14ac:dyDescent="0.2">
      <c r="B897" s="38"/>
    </row>
    <row r="898" spans="2:2" ht="12.75" x14ac:dyDescent="0.2">
      <c r="B898" s="38"/>
    </row>
    <row r="899" spans="2:2" ht="12.75" x14ac:dyDescent="0.2">
      <c r="B899" s="38"/>
    </row>
    <row r="900" spans="2:2" ht="12.75" x14ac:dyDescent="0.2">
      <c r="B900" s="38"/>
    </row>
    <row r="901" spans="2:2" ht="12.75" x14ac:dyDescent="0.2">
      <c r="B901" s="38"/>
    </row>
    <row r="902" spans="2:2" ht="12.75" x14ac:dyDescent="0.2">
      <c r="B902" s="38"/>
    </row>
    <row r="903" spans="2:2" ht="12.75" x14ac:dyDescent="0.2">
      <c r="B903" s="38"/>
    </row>
    <row r="904" spans="2:2" ht="12.75" x14ac:dyDescent="0.2">
      <c r="B904" s="38"/>
    </row>
    <row r="905" spans="2:2" ht="12.75" x14ac:dyDescent="0.2">
      <c r="B905" s="38"/>
    </row>
    <row r="906" spans="2:2" ht="12.75" x14ac:dyDescent="0.2">
      <c r="B906" s="38"/>
    </row>
    <row r="907" spans="2:2" ht="12.75" x14ac:dyDescent="0.2">
      <c r="B907" s="38"/>
    </row>
    <row r="908" spans="2:2" ht="12.75" x14ac:dyDescent="0.2">
      <c r="B908" s="38"/>
    </row>
    <row r="909" spans="2:2" ht="12.75" x14ac:dyDescent="0.2">
      <c r="B909" s="38"/>
    </row>
    <row r="910" spans="2:2" ht="12.75" x14ac:dyDescent="0.2">
      <c r="B910" s="38"/>
    </row>
    <row r="911" spans="2:2" ht="12.75" x14ac:dyDescent="0.2">
      <c r="B911" s="38"/>
    </row>
    <row r="912" spans="2:2" ht="12.75" x14ac:dyDescent="0.2">
      <c r="B912" s="38"/>
    </row>
    <row r="913" spans="2:2" ht="12.75" x14ac:dyDescent="0.2">
      <c r="B913" s="38"/>
    </row>
    <row r="914" spans="2:2" ht="12.75" x14ac:dyDescent="0.2">
      <c r="B914" s="38"/>
    </row>
    <row r="915" spans="2:2" ht="12.75" x14ac:dyDescent="0.2">
      <c r="B915" s="38"/>
    </row>
    <row r="916" spans="2:2" ht="12.75" x14ac:dyDescent="0.2">
      <c r="B916" s="38"/>
    </row>
    <row r="917" spans="2:2" ht="12.75" x14ac:dyDescent="0.2">
      <c r="B917" s="38"/>
    </row>
    <row r="918" spans="2:2" ht="12.75" x14ac:dyDescent="0.2">
      <c r="B918" s="38"/>
    </row>
    <row r="919" spans="2:2" ht="12.75" x14ac:dyDescent="0.2">
      <c r="B919" s="38"/>
    </row>
    <row r="920" spans="2:2" ht="12.75" x14ac:dyDescent="0.2">
      <c r="B920" s="38"/>
    </row>
    <row r="921" spans="2:2" ht="12.75" x14ac:dyDescent="0.2">
      <c r="B921" s="38"/>
    </row>
    <row r="922" spans="2:2" ht="12.75" x14ac:dyDescent="0.2">
      <c r="B922" s="38"/>
    </row>
    <row r="923" spans="2:2" ht="12.75" x14ac:dyDescent="0.2">
      <c r="B923" s="38"/>
    </row>
    <row r="924" spans="2:2" ht="12.75" x14ac:dyDescent="0.2">
      <c r="B924" s="38"/>
    </row>
    <row r="925" spans="2:2" ht="12.75" x14ac:dyDescent="0.2">
      <c r="B925" s="38"/>
    </row>
    <row r="926" spans="2:2" ht="12.75" x14ac:dyDescent="0.2">
      <c r="B926" s="38"/>
    </row>
    <row r="927" spans="2:2" ht="12.75" x14ac:dyDescent="0.2">
      <c r="B927" s="38"/>
    </row>
    <row r="928" spans="2:2" ht="12.75" x14ac:dyDescent="0.2">
      <c r="B928" s="38"/>
    </row>
    <row r="929" spans="2:2" ht="12.75" x14ac:dyDescent="0.2">
      <c r="B929" s="38"/>
    </row>
    <row r="930" spans="2:2" ht="12.75" x14ac:dyDescent="0.2">
      <c r="B930" s="38"/>
    </row>
    <row r="931" spans="2:2" ht="12.75" x14ac:dyDescent="0.2">
      <c r="B931" s="38"/>
    </row>
    <row r="932" spans="2:2" ht="12.75" x14ac:dyDescent="0.2">
      <c r="B932" s="38"/>
    </row>
    <row r="933" spans="2:2" ht="12.75" x14ac:dyDescent="0.2">
      <c r="B933" s="38"/>
    </row>
    <row r="934" spans="2:2" ht="12.75" x14ac:dyDescent="0.2">
      <c r="B934" s="38"/>
    </row>
    <row r="935" spans="2:2" ht="12.75" x14ac:dyDescent="0.2">
      <c r="B935" s="38"/>
    </row>
    <row r="936" spans="2:2" ht="12.75" x14ac:dyDescent="0.2">
      <c r="B936" s="38"/>
    </row>
    <row r="937" spans="2:2" ht="12.75" x14ac:dyDescent="0.2">
      <c r="B937" s="38"/>
    </row>
    <row r="938" spans="2:2" ht="12.75" x14ac:dyDescent="0.2">
      <c r="B938" s="38"/>
    </row>
    <row r="939" spans="2:2" ht="12.75" x14ac:dyDescent="0.2">
      <c r="B939" s="38"/>
    </row>
    <row r="940" spans="2:2" ht="12.75" x14ac:dyDescent="0.2">
      <c r="B940" s="38"/>
    </row>
    <row r="941" spans="2:2" ht="12.75" x14ac:dyDescent="0.2">
      <c r="B941" s="38"/>
    </row>
    <row r="942" spans="2:2" ht="12.75" x14ac:dyDescent="0.2">
      <c r="B942" s="38"/>
    </row>
    <row r="943" spans="2:2" ht="12.75" x14ac:dyDescent="0.2">
      <c r="B943" s="38"/>
    </row>
    <row r="944" spans="2:2" ht="12.75" x14ac:dyDescent="0.2">
      <c r="B944" s="38"/>
    </row>
    <row r="945" spans="2:2" ht="12.75" x14ac:dyDescent="0.2">
      <c r="B945" s="38"/>
    </row>
    <row r="946" spans="2:2" ht="12.75" x14ac:dyDescent="0.2">
      <c r="B946" s="38"/>
    </row>
    <row r="947" spans="2:2" ht="12.75" x14ac:dyDescent="0.2">
      <c r="B947" s="38"/>
    </row>
    <row r="948" spans="2:2" ht="12.75" x14ac:dyDescent="0.2">
      <c r="B948" s="38"/>
    </row>
    <row r="949" spans="2:2" ht="12.75" x14ac:dyDescent="0.2">
      <c r="B949" s="38"/>
    </row>
    <row r="950" spans="2:2" ht="12.75" x14ac:dyDescent="0.2">
      <c r="B950" s="38"/>
    </row>
    <row r="951" spans="2:2" ht="12.75" x14ac:dyDescent="0.2">
      <c r="B951" s="38"/>
    </row>
    <row r="952" spans="2:2" ht="12.75" x14ac:dyDescent="0.2">
      <c r="B952" s="38"/>
    </row>
    <row r="953" spans="2:2" ht="12.75" x14ac:dyDescent="0.2">
      <c r="B953" s="38"/>
    </row>
    <row r="954" spans="2:2" ht="12.75" x14ac:dyDescent="0.2">
      <c r="B954" s="38"/>
    </row>
    <row r="955" spans="2:2" ht="12.75" x14ac:dyDescent="0.2">
      <c r="B955" s="38"/>
    </row>
    <row r="956" spans="2:2" ht="12.75" x14ac:dyDescent="0.2">
      <c r="B956" s="38"/>
    </row>
    <row r="957" spans="2:2" ht="12.75" x14ac:dyDescent="0.2">
      <c r="B957" s="38"/>
    </row>
    <row r="958" spans="2:2" ht="12.75" x14ac:dyDescent="0.2">
      <c r="B958" s="38"/>
    </row>
    <row r="959" spans="2:2" ht="12.75" x14ac:dyDescent="0.2">
      <c r="B959" s="38"/>
    </row>
    <row r="960" spans="2:2" ht="12.75" x14ac:dyDescent="0.2">
      <c r="B960" s="38"/>
    </row>
    <row r="961" spans="2:2" ht="12.75" x14ac:dyDescent="0.2">
      <c r="B961" s="38"/>
    </row>
    <row r="962" spans="2:2" ht="12.75" x14ac:dyDescent="0.2">
      <c r="B962" s="38"/>
    </row>
    <row r="963" spans="2:2" ht="12.75" x14ac:dyDescent="0.2">
      <c r="B963" s="38"/>
    </row>
    <row r="964" spans="2:2" ht="12.75" x14ac:dyDescent="0.2">
      <c r="B964" s="38"/>
    </row>
    <row r="965" spans="2:2" ht="12.75" x14ac:dyDescent="0.2">
      <c r="B965" s="38"/>
    </row>
    <row r="966" spans="2:2" ht="12.75" x14ac:dyDescent="0.2">
      <c r="B966" s="38"/>
    </row>
    <row r="967" spans="2:2" ht="12.75" x14ac:dyDescent="0.2">
      <c r="B967" s="38"/>
    </row>
    <row r="968" spans="2:2" ht="12.75" x14ac:dyDescent="0.2">
      <c r="B968" s="38"/>
    </row>
    <row r="969" spans="2:2" ht="12.75" x14ac:dyDescent="0.2">
      <c r="B969" s="38"/>
    </row>
    <row r="970" spans="2:2" ht="12.75" x14ac:dyDescent="0.2">
      <c r="B970" s="38"/>
    </row>
    <row r="971" spans="2:2" ht="12.75" x14ac:dyDescent="0.2">
      <c r="B971" s="38"/>
    </row>
    <row r="972" spans="2:2" ht="12.75" x14ac:dyDescent="0.2">
      <c r="B972" s="38"/>
    </row>
    <row r="973" spans="2:2" ht="12.75" x14ac:dyDescent="0.2">
      <c r="B973" s="38"/>
    </row>
    <row r="974" spans="2:2" ht="12.75" x14ac:dyDescent="0.2">
      <c r="B974" s="38"/>
    </row>
    <row r="975" spans="2:2" ht="12.75" x14ac:dyDescent="0.2">
      <c r="B975" s="38"/>
    </row>
    <row r="976" spans="2:2" ht="12.75" x14ac:dyDescent="0.2">
      <c r="B976" s="38"/>
    </row>
    <row r="977" spans="2:2" ht="12.75" x14ac:dyDescent="0.2">
      <c r="B977" s="38"/>
    </row>
    <row r="978" spans="2:2" ht="12.75" x14ac:dyDescent="0.2">
      <c r="B978" s="38"/>
    </row>
    <row r="979" spans="2:2" ht="12.75" x14ac:dyDescent="0.2">
      <c r="B979" s="38"/>
    </row>
    <row r="980" spans="2:2" ht="12.75" x14ac:dyDescent="0.2">
      <c r="B980" s="38"/>
    </row>
    <row r="981" spans="2:2" ht="12.75" x14ac:dyDescent="0.2">
      <c r="B981" s="38"/>
    </row>
    <row r="982" spans="2:2" ht="12.75" x14ac:dyDescent="0.2">
      <c r="B982" s="38"/>
    </row>
    <row r="983" spans="2:2" ht="12.75" x14ac:dyDescent="0.2">
      <c r="B983" s="38"/>
    </row>
    <row r="984" spans="2:2" ht="12.75" x14ac:dyDescent="0.2">
      <c r="B984" s="38"/>
    </row>
    <row r="985" spans="2:2" ht="12.75" x14ac:dyDescent="0.2">
      <c r="B985" s="38"/>
    </row>
    <row r="986" spans="2:2" ht="12.75" x14ac:dyDescent="0.2">
      <c r="B986" s="38"/>
    </row>
    <row r="987" spans="2:2" ht="12.75" x14ac:dyDescent="0.2">
      <c r="B987" s="38"/>
    </row>
    <row r="988" spans="2:2" ht="12.75" x14ac:dyDescent="0.2">
      <c r="B988" s="38"/>
    </row>
    <row r="989" spans="2:2" ht="12.75" x14ac:dyDescent="0.2">
      <c r="B989" s="38"/>
    </row>
    <row r="990" spans="2:2" ht="12.75" x14ac:dyDescent="0.2">
      <c r="B990" s="38"/>
    </row>
    <row r="991" spans="2:2" ht="12.75" x14ac:dyDescent="0.2">
      <c r="B991" s="38"/>
    </row>
    <row r="992" spans="2:2" ht="12.75" x14ac:dyDescent="0.2">
      <c r="B992" s="38"/>
    </row>
    <row r="993" spans="2:2" ht="12.75" x14ac:dyDescent="0.2">
      <c r="B993" s="38"/>
    </row>
    <row r="994" spans="2:2" ht="12.75" x14ac:dyDescent="0.2">
      <c r="B994" s="38"/>
    </row>
    <row r="995" spans="2:2" ht="12.75" x14ac:dyDescent="0.2">
      <c r="B995" s="38"/>
    </row>
    <row r="996" spans="2:2" ht="12.75" x14ac:dyDescent="0.2">
      <c r="B996" s="38"/>
    </row>
    <row r="997" spans="2:2" ht="12.75" x14ac:dyDescent="0.2">
      <c r="B997" s="38"/>
    </row>
    <row r="998" spans="2:2" ht="12.75" x14ac:dyDescent="0.2">
      <c r="B998" s="38"/>
    </row>
    <row r="999" spans="2:2" ht="12.75" x14ac:dyDescent="0.2">
      <c r="B999" s="38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2:K27"/>
  <sheetViews>
    <sheetView workbookViewId="0"/>
  </sheetViews>
  <sheetFormatPr defaultColWidth="12.5703125" defaultRowHeight="15.75" customHeight="1" x14ac:dyDescent="0.2"/>
  <sheetData>
    <row r="2" spans="1:11" x14ac:dyDescent="0.2">
      <c r="A2" s="6" t="s">
        <v>1003</v>
      </c>
      <c r="B2" s="6" t="s">
        <v>1004</v>
      </c>
      <c r="C2" s="15">
        <v>7.3</v>
      </c>
      <c r="D2" s="15">
        <v>0.6</v>
      </c>
      <c r="E2" s="15">
        <f t="shared" ref="E2:E27" si="0">SUM(C2)+D2</f>
        <v>7.8999999999999995</v>
      </c>
      <c r="F2" s="15">
        <v>1.24</v>
      </c>
      <c r="G2" s="15">
        <f t="shared" ref="G2:G27" si="1">SUM(E2)*F2</f>
        <v>9.7959999999999994</v>
      </c>
      <c r="H2" s="15">
        <v>1.1214999999999999</v>
      </c>
      <c r="I2" s="15">
        <f t="shared" ref="I2:I27" si="2">SUM(G2)*H2</f>
        <v>10.986213999999999</v>
      </c>
      <c r="J2" s="15">
        <v>0.73999999999999899</v>
      </c>
      <c r="K2" s="15">
        <f t="shared" ref="K2:K27" si="3">SUM(I2)+J2</f>
        <v>11.726213999999997</v>
      </c>
    </row>
    <row r="3" spans="1:11" x14ac:dyDescent="0.2">
      <c r="A3" s="26" t="s">
        <v>1005</v>
      </c>
      <c r="B3" s="26" t="s">
        <v>1006</v>
      </c>
      <c r="C3" s="15">
        <v>8.86</v>
      </c>
      <c r="D3" s="15">
        <v>0.9</v>
      </c>
      <c r="E3" s="15">
        <f t="shared" si="0"/>
        <v>9.76</v>
      </c>
      <c r="F3" s="15">
        <v>1.24</v>
      </c>
      <c r="G3" s="15">
        <f t="shared" si="1"/>
        <v>12.102399999999999</v>
      </c>
      <c r="H3" s="15">
        <v>1.1214999999999999</v>
      </c>
      <c r="I3" s="15">
        <f t="shared" si="2"/>
        <v>13.572841599999999</v>
      </c>
      <c r="J3" s="15">
        <v>0.73999999999999899</v>
      </c>
      <c r="K3" s="15">
        <f t="shared" si="3"/>
        <v>14.312841599999997</v>
      </c>
    </row>
    <row r="4" spans="1:11" x14ac:dyDescent="0.2">
      <c r="A4" s="26" t="s">
        <v>1007</v>
      </c>
      <c r="B4" s="26" t="s">
        <v>1008</v>
      </c>
      <c r="C4" s="15">
        <v>10.32</v>
      </c>
      <c r="D4" s="15">
        <v>0.9</v>
      </c>
      <c r="E4" s="15">
        <f t="shared" si="0"/>
        <v>11.22</v>
      </c>
      <c r="F4" s="15">
        <v>1.24</v>
      </c>
      <c r="G4" s="15">
        <f t="shared" si="1"/>
        <v>13.912800000000001</v>
      </c>
      <c r="H4" s="15">
        <v>1.1214999999999999</v>
      </c>
      <c r="I4" s="15">
        <f t="shared" si="2"/>
        <v>15.6032052</v>
      </c>
      <c r="J4" s="15">
        <v>0.73999999999999899</v>
      </c>
      <c r="K4" s="15">
        <f t="shared" si="3"/>
        <v>16.3432052</v>
      </c>
    </row>
    <row r="5" spans="1:11" x14ac:dyDescent="0.2">
      <c r="A5" s="12" t="s">
        <v>1009</v>
      </c>
      <c r="B5" s="12">
        <v>5204799030216</v>
      </c>
      <c r="C5" s="15">
        <v>12.75</v>
      </c>
      <c r="D5" s="15">
        <v>0.9</v>
      </c>
      <c r="E5" s="15">
        <f t="shared" si="0"/>
        <v>13.65</v>
      </c>
      <c r="F5" s="15">
        <v>1.24</v>
      </c>
      <c r="G5" s="15">
        <f t="shared" si="1"/>
        <v>16.926000000000002</v>
      </c>
      <c r="H5" s="15">
        <v>1.1214999999999999</v>
      </c>
      <c r="I5" s="15">
        <f t="shared" si="2"/>
        <v>18.982509</v>
      </c>
      <c r="J5" s="15">
        <v>0.73999999999999899</v>
      </c>
      <c r="K5" s="15">
        <f t="shared" si="3"/>
        <v>19.722508999999999</v>
      </c>
    </row>
    <row r="6" spans="1:11" x14ac:dyDescent="0.2">
      <c r="A6" s="12" t="s">
        <v>1010</v>
      </c>
      <c r="B6" s="12">
        <v>5204799050030</v>
      </c>
      <c r="C6" s="15">
        <v>7.48</v>
      </c>
      <c r="D6" s="15">
        <v>0.9</v>
      </c>
      <c r="E6" s="15">
        <f t="shared" si="0"/>
        <v>8.3800000000000008</v>
      </c>
      <c r="F6" s="15">
        <v>1.06</v>
      </c>
      <c r="G6" s="15">
        <f t="shared" si="1"/>
        <v>8.8828000000000014</v>
      </c>
      <c r="H6" s="15">
        <v>1.1214999999999999</v>
      </c>
      <c r="I6" s="15">
        <f t="shared" si="2"/>
        <v>9.9620602000000016</v>
      </c>
      <c r="J6" s="15">
        <v>1.49</v>
      </c>
      <c r="K6" s="15">
        <f t="shared" si="3"/>
        <v>11.452060200000002</v>
      </c>
    </row>
    <row r="7" spans="1:11" x14ac:dyDescent="0.2">
      <c r="A7" s="12" t="s">
        <v>1011</v>
      </c>
      <c r="B7" s="12">
        <v>5204799020415</v>
      </c>
      <c r="C7" s="15">
        <v>11.25</v>
      </c>
      <c r="D7" s="15">
        <v>0.9</v>
      </c>
      <c r="E7" s="15">
        <f t="shared" si="0"/>
        <v>12.15</v>
      </c>
      <c r="F7" s="15">
        <v>1.24</v>
      </c>
      <c r="G7" s="15">
        <f t="shared" si="1"/>
        <v>15.066000000000001</v>
      </c>
      <c r="H7" s="15">
        <v>1.1214999999999999</v>
      </c>
      <c r="I7" s="15">
        <f t="shared" si="2"/>
        <v>16.896519000000001</v>
      </c>
      <c r="J7" s="15">
        <v>1.49</v>
      </c>
      <c r="K7" s="15">
        <f t="shared" si="3"/>
        <v>18.386519</v>
      </c>
    </row>
    <row r="8" spans="1:11" x14ac:dyDescent="0.2">
      <c r="A8" s="12" t="s">
        <v>1012</v>
      </c>
      <c r="B8" s="12">
        <v>5204799011277</v>
      </c>
      <c r="C8" s="15">
        <v>15.68</v>
      </c>
      <c r="D8" s="15">
        <v>0.9</v>
      </c>
      <c r="E8" s="15">
        <f t="shared" si="0"/>
        <v>16.579999999999998</v>
      </c>
      <c r="F8" s="15">
        <v>1.24</v>
      </c>
      <c r="G8" s="15">
        <f t="shared" si="1"/>
        <v>20.559199999999997</v>
      </c>
      <c r="H8" s="15">
        <v>1.1214999999999999</v>
      </c>
      <c r="I8" s="15">
        <f t="shared" si="2"/>
        <v>23.057142799999994</v>
      </c>
      <c r="J8" s="15">
        <v>0.73999999999999899</v>
      </c>
      <c r="K8" s="15">
        <f t="shared" si="3"/>
        <v>23.797142799999992</v>
      </c>
    </row>
    <row r="9" spans="1:11" x14ac:dyDescent="0.2">
      <c r="A9" s="12" t="s">
        <v>1013</v>
      </c>
      <c r="B9" s="12">
        <v>5204799010027</v>
      </c>
      <c r="C9" s="15">
        <v>11.12</v>
      </c>
      <c r="D9" s="15">
        <v>0.9</v>
      </c>
      <c r="E9" s="15">
        <f t="shared" si="0"/>
        <v>12.02</v>
      </c>
      <c r="F9" s="15">
        <v>1.24</v>
      </c>
      <c r="G9" s="15">
        <f t="shared" si="1"/>
        <v>14.9048</v>
      </c>
      <c r="H9" s="15">
        <v>1.1214999999999999</v>
      </c>
      <c r="I9" s="15">
        <f t="shared" si="2"/>
        <v>16.715733199999999</v>
      </c>
      <c r="J9" s="15">
        <v>0.73999999999999899</v>
      </c>
      <c r="K9" s="15">
        <f t="shared" si="3"/>
        <v>17.455733199999997</v>
      </c>
    </row>
    <row r="10" spans="1:11" x14ac:dyDescent="0.2">
      <c r="A10" s="12" t="s">
        <v>1014</v>
      </c>
      <c r="B10" s="12">
        <v>5204799070281</v>
      </c>
      <c r="C10" s="15">
        <v>9.0399999999999991</v>
      </c>
      <c r="D10" s="15">
        <v>0.9</v>
      </c>
      <c r="E10" s="15">
        <f t="shared" si="0"/>
        <v>9.94</v>
      </c>
      <c r="F10" s="15">
        <v>1.24</v>
      </c>
      <c r="G10" s="15">
        <f t="shared" si="1"/>
        <v>12.3256</v>
      </c>
      <c r="H10" s="15">
        <v>1.1214999999999999</v>
      </c>
      <c r="I10" s="15">
        <f t="shared" si="2"/>
        <v>13.823160399999999</v>
      </c>
      <c r="J10" s="15">
        <v>0.73999999999999899</v>
      </c>
      <c r="K10" s="15">
        <f t="shared" si="3"/>
        <v>14.563160399999997</v>
      </c>
    </row>
    <row r="11" spans="1:11" x14ac:dyDescent="0.2">
      <c r="A11" s="12" t="s">
        <v>1015</v>
      </c>
      <c r="B11" s="12">
        <v>5204799020316</v>
      </c>
      <c r="C11" s="15">
        <v>9.24</v>
      </c>
      <c r="D11" s="15">
        <v>0.9</v>
      </c>
      <c r="E11" s="15">
        <f t="shared" si="0"/>
        <v>10.14</v>
      </c>
      <c r="F11" s="15">
        <v>1.24</v>
      </c>
      <c r="G11" s="15">
        <f t="shared" si="1"/>
        <v>12.573600000000001</v>
      </c>
      <c r="H11" s="15">
        <v>1.1214999999999999</v>
      </c>
      <c r="I11" s="15">
        <f t="shared" si="2"/>
        <v>14.1012924</v>
      </c>
      <c r="J11" s="15">
        <v>1.2</v>
      </c>
      <c r="K11" s="15">
        <f t="shared" si="3"/>
        <v>15.301292399999999</v>
      </c>
    </row>
    <row r="12" spans="1:11" x14ac:dyDescent="0.2">
      <c r="A12" s="12" t="s">
        <v>1016</v>
      </c>
      <c r="B12" s="12">
        <v>5204799010904</v>
      </c>
      <c r="C12" s="15">
        <v>14.36</v>
      </c>
      <c r="D12" s="15">
        <v>0.9</v>
      </c>
      <c r="E12" s="15">
        <f t="shared" si="0"/>
        <v>15.26</v>
      </c>
      <c r="F12" s="15">
        <v>1.24</v>
      </c>
      <c r="G12" s="15">
        <f t="shared" si="1"/>
        <v>18.9224</v>
      </c>
      <c r="H12" s="15">
        <v>1.1214999999999999</v>
      </c>
      <c r="I12" s="15">
        <f t="shared" si="2"/>
        <v>21.221471599999997</v>
      </c>
      <c r="J12" s="15">
        <v>0.73999999999999899</v>
      </c>
      <c r="K12" s="15">
        <f t="shared" si="3"/>
        <v>21.961471599999996</v>
      </c>
    </row>
    <row r="13" spans="1:11" x14ac:dyDescent="0.2">
      <c r="A13" s="12" t="s">
        <v>1017</v>
      </c>
      <c r="B13" s="12">
        <v>5204799011079</v>
      </c>
      <c r="C13" s="15">
        <v>8.6199999999999992</v>
      </c>
      <c r="D13" s="15">
        <v>0.9</v>
      </c>
      <c r="E13" s="15">
        <f t="shared" si="0"/>
        <v>9.52</v>
      </c>
      <c r="F13" s="15">
        <v>1.24</v>
      </c>
      <c r="G13" s="15">
        <f t="shared" si="1"/>
        <v>11.8048</v>
      </c>
      <c r="H13" s="15">
        <v>1.1214999999999999</v>
      </c>
      <c r="I13" s="15">
        <f t="shared" si="2"/>
        <v>13.2390832</v>
      </c>
      <c r="J13" s="15">
        <v>0.73999999999999899</v>
      </c>
      <c r="K13" s="15">
        <f t="shared" si="3"/>
        <v>13.979083199999998</v>
      </c>
    </row>
    <row r="14" spans="1:11" x14ac:dyDescent="0.2">
      <c r="C14" s="15">
        <v>0</v>
      </c>
      <c r="D14" s="15">
        <v>0.9</v>
      </c>
      <c r="E14" s="15">
        <f t="shared" si="0"/>
        <v>0.9</v>
      </c>
      <c r="F14" s="15">
        <v>1.24</v>
      </c>
      <c r="G14" s="15">
        <f t="shared" si="1"/>
        <v>1.1160000000000001</v>
      </c>
      <c r="H14" s="15">
        <v>1.1214999999999999</v>
      </c>
      <c r="I14" s="15">
        <f t="shared" si="2"/>
        <v>1.2515940000000001</v>
      </c>
      <c r="J14" s="15">
        <v>0.73999999999999899</v>
      </c>
      <c r="K14" s="15">
        <f t="shared" si="3"/>
        <v>1.9915939999999992</v>
      </c>
    </row>
    <row r="15" spans="1:11" x14ac:dyDescent="0.2">
      <c r="C15" s="15">
        <v>0</v>
      </c>
      <c r="D15" s="15">
        <v>0.9</v>
      </c>
      <c r="E15" s="15">
        <f t="shared" si="0"/>
        <v>0.9</v>
      </c>
      <c r="F15" s="15">
        <v>1.24</v>
      </c>
      <c r="G15" s="15">
        <f t="shared" si="1"/>
        <v>1.1160000000000001</v>
      </c>
      <c r="H15" s="15">
        <v>1.1214999999999999</v>
      </c>
      <c r="I15" s="15">
        <f t="shared" si="2"/>
        <v>1.2515940000000001</v>
      </c>
      <c r="J15" s="15">
        <v>0.73999999999999899</v>
      </c>
      <c r="K15" s="15">
        <f t="shared" si="3"/>
        <v>1.9915939999999992</v>
      </c>
    </row>
    <row r="16" spans="1:11" x14ac:dyDescent="0.2">
      <c r="C16" s="15">
        <v>0</v>
      </c>
      <c r="D16" s="15">
        <v>0.9</v>
      </c>
      <c r="E16" s="15">
        <f t="shared" si="0"/>
        <v>0.9</v>
      </c>
      <c r="F16" s="15">
        <v>1.24</v>
      </c>
      <c r="G16" s="15">
        <f t="shared" si="1"/>
        <v>1.1160000000000001</v>
      </c>
      <c r="H16" s="15">
        <v>1.1214999999999999</v>
      </c>
      <c r="I16" s="15">
        <f t="shared" si="2"/>
        <v>1.2515940000000001</v>
      </c>
      <c r="J16" s="15">
        <v>0.73999999999999899</v>
      </c>
      <c r="K16" s="15">
        <f t="shared" si="3"/>
        <v>1.9915939999999992</v>
      </c>
    </row>
    <row r="17" spans="3:11" x14ac:dyDescent="0.2">
      <c r="C17" s="15">
        <v>0</v>
      </c>
      <c r="D17" s="15">
        <v>0.9</v>
      </c>
      <c r="E17" s="15">
        <f t="shared" si="0"/>
        <v>0.9</v>
      </c>
      <c r="F17" s="15">
        <v>1.24</v>
      </c>
      <c r="G17" s="15">
        <f t="shared" si="1"/>
        <v>1.1160000000000001</v>
      </c>
      <c r="H17" s="15">
        <v>1.1214999999999999</v>
      </c>
      <c r="I17" s="15">
        <f t="shared" si="2"/>
        <v>1.2515940000000001</v>
      </c>
      <c r="J17" s="15">
        <v>0.73999999999999899</v>
      </c>
      <c r="K17" s="15">
        <f t="shared" si="3"/>
        <v>1.9915939999999992</v>
      </c>
    </row>
    <row r="18" spans="3:11" x14ac:dyDescent="0.2">
      <c r="C18" s="15">
        <v>0</v>
      </c>
      <c r="D18" s="15">
        <v>0.9</v>
      </c>
      <c r="E18" s="15">
        <f t="shared" si="0"/>
        <v>0.9</v>
      </c>
      <c r="F18" s="15">
        <v>1.24</v>
      </c>
      <c r="G18" s="15">
        <f t="shared" si="1"/>
        <v>1.1160000000000001</v>
      </c>
      <c r="H18" s="15">
        <v>1.1214999999999999</v>
      </c>
      <c r="I18" s="15">
        <f t="shared" si="2"/>
        <v>1.2515940000000001</v>
      </c>
      <c r="J18" s="15">
        <v>0.73999999999999899</v>
      </c>
      <c r="K18" s="15">
        <f t="shared" si="3"/>
        <v>1.9915939999999992</v>
      </c>
    </row>
    <row r="19" spans="3:11" x14ac:dyDescent="0.2">
      <c r="C19" s="15">
        <v>0</v>
      </c>
      <c r="D19" s="15">
        <v>0.9</v>
      </c>
      <c r="E19" s="15">
        <f t="shared" si="0"/>
        <v>0.9</v>
      </c>
      <c r="F19" s="15">
        <v>1.24</v>
      </c>
      <c r="G19" s="15">
        <f t="shared" si="1"/>
        <v>1.1160000000000001</v>
      </c>
      <c r="H19" s="15">
        <v>1.1214999999999999</v>
      </c>
      <c r="I19" s="15">
        <f t="shared" si="2"/>
        <v>1.2515940000000001</v>
      </c>
      <c r="J19" s="15">
        <v>0.73999999999999899</v>
      </c>
      <c r="K19" s="15">
        <f t="shared" si="3"/>
        <v>1.9915939999999992</v>
      </c>
    </row>
    <row r="20" spans="3:11" x14ac:dyDescent="0.2">
      <c r="C20" s="15">
        <v>0</v>
      </c>
      <c r="D20" s="15">
        <v>0.9</v>
      </c>
      <c r="E20" s="15">
        <f t="shared" si="0"/>
        <v>0.9</v>
      </c>
      <c r="F20" s="15">
        <v>1.24</v>
      </c>
      <c r="G20" s="15">
        <f t="shared" si="1"/>
        <v>1.1160000000000001</v>
      </c>
      <c r="H20" s="15">
        <v>1.1214999999999999</v>
      </c>
      <c r="I20" s="15">
        <f t="shared" si="2"/>
        <v>1.2515940000000001</v>
      </c>
      <c r="J20" s="15">
        <v>0.73999999999999899</v>
      </c>
      <c r="K20" s="15">
        <f t="shared" si="3"/>
        <v>1.9915939999999992</v>
      </c>
    </row>
    <row r="21" spans="3:11" x14ac:dyDescent="0.2">
      <c r="C21" s="15">
        <v>0</v>
      </c>
      <c r="D21" s="15">
        <v>0.9</v>
      </c>
      <c r="E21" s="15">
        <f t="shared" si="0"/>
        <v>0.9</v>
      </c>
      <c r="F21" s="15">
        <v>1.24</v>
      </c>
      <c r="G21" s="15">
        <f t="shared" si="1"/>
        <v>1.1160000000000001</v>
      </c>
      <c r="H21" s="15">
        <v>1.1214999999999999</v>
      </c>
      <c r="I21" s="15">
        <f t="shared" si="2"/>
        <v>1.2515940000000001</v>
      </c>
      <c r="J21" s="15">
        <v>0.73999999999999899</v>
      </c>
      <c r="K21" s="15">
        <f t="shared" si="3"/>
        <v>1.9915939999999992</v>
      </c>
    </row>
    <row r="22" spans="3:11" x14ac:dyDescent="0.2">
      <c r="C22" s="15">
        <v>0</v>
      </c>
      <c r="D22" s="15">
        <v>0.9</v>
      </c>
      <c r="E22" s="15">
        <f t="shared" si="0"/>
        <v>0.9</v>
      </c>
      <c r="F22" s="15">
        <v>1.24</v>
      </c>
      <c r="G22" s="15">
        <f t="shared" si="1"/>
        <v>1.1160000000000001</v>
      </c>
      <c r="H22" s="15">
        <v>1.1214999999999999</v>
      </c>
      <c r="I22" s="15">
        <f t="shared" si="2"/>
        <v>1.2515940000000001</v>
      </c>
      <c r="J22" s="15">
        <v>0.73999999999999899</v>
      </c>
      <c r="K22" s="15">
        <f t="shared" si="3"/>
        <v>1.9915939999999992</v>
      </c>
    </row>
    <row r="23" spans="3:11" x14ac:dyDescent="0.2">
      <c r="C23" s="15">
        <v>0</v>
      </c>
      <c r="D23" s="15">
        <v>0.9</v>
      </c>
      <c r="E23" s="15">
        <f t="shared" si="0"/>
        <v>0.9</v>
      </c>
      <c r="F23" s="15">
        <v>1.24</v>
      </c>
      <c r="G23" s="15">
        <f t="shared" si="1"/>
        <v>1.1160000000000001</v>
      </c>
      <c r="H23" s="15">
        <v>1.1214999999999999</v>
      </c>
      <c r="I23" s="15">
        <f t="shared" si="2"/>
        <v>1.2515940000000001</v>
      </c>
      <c r="J23" s="15">
        <v>0.73999999999999899</v>
      </c>
      <c r="K23" s="15">
        <f t="shared" si="3"/>
        <v>1.9915939999999992</v>
      </c>
    </row>
    <row r="24" spans="3:11" x14ac:dyDescent="0.2">
      <c r="C24" s="15">
        <v>0</v>
      </c>
      <c r="D24" s="15">
        <v>0.9</v>
      </c>
      <c r="E24" s="15">
        <f t="shared" si="0"/>
        <v>0.9</v>
      </c>
      <c r="F24" s="15">
        <v>1.24</v>
      </c>
      <c r="G24" s="15">
        <f t="shared" si="1"/>
        <v>1.1160000000000001</v>
      </c>
      <c r="H24" s="15">
        <v>1.1214999999999999</v>
      </c>
      <c r="I24" s="15">
        <f t="shared" si="2"/>
        <v>1.2515940000000001</v>
      </c>
      <c r="J24" s="15">
        <v>0.73999999999999899</v>
      </c>
      <c r="K24" s="15">
        <f t="shared" si="3"/>
        <v>1.9915939999999992</v>
      </c>
    </row>
    <row r="25" spans="3:11" x14ac:dyDescent="0.2">
      <c r="C25" s="15">
        <v>0</v>
      </c>
      <c r="D25" s="15">
        <v>0.9</v>
      </c>
      <c r="E25" s="15">
        <f t="shared" si="0"/>
        <v>0.9</v>
      </c>
      <c r="F25" s="15">
        <v>1.24</v>
      </c>
      <c r="G25" s="15">
        <f t="shared" si="1"/>
        <v>1.1160000000000001</v>
      </c>
      <c r="H25" s="15">
        <v>1.1214999999999999</v>
      </c>
      <c r="I25" s="15">
        <f t="shared" si="2"/>
        <v>1.2515940000000001</v>
      </c>
      <c r="J25" s="15">
        <v>0.73999999999999899</v>
      </c>
      <c r="K25" s="15">
        <f t="shared" si="3"/>
        <v>1.9915939999999992</v>
      </c>
    </row>
    <row r="26" spans="3:11" x14ac:dyDescent="0.2">
      <c r="C26" s="15">
        <v>0</v>
      </c>
      <c r="D26" s="15">
        <v>0.9</v>
      </c>
      <c r="E26" s="15">
        <f t="shared" si="0"/>
        <v>0.9</v>
      </c>
      <c r="F26" s="15">
        <v>1.24</v>
      </c>
      <c r="G26" s="15">
        <f t="shared" si="1"/>
        <v>1.1160000000000001</v>
      </c>
      <c r="H26" s="15">
        <v>1.1214999999999999</v>
      </c>
      <c r="I26" s="15">
        <f t="shared" si="2"/>
        <v>1.2515940000000001</v>
      </c>
      <c r="J26" s="15">
        <v>0.73999999999999899</v>
      </c>
      <c r="K26" s="15">
        <f t="shared" si="3"/>
        <v>1.9915939999999992</v>
      </c>
    </row>
    <row r="27" spans="3:11" x14ac:dyDescent="0.2">
      <c r="C27" s="15">
        <v>0</v>
      </c>
      <c r="D27" s="15">
        <v>0.9</v>
      </c>
      <c r="E27" s="15">
        <f t="shared" si="0"/>
        <v>0.9</v>
      </c>
      <c r="F27" s="15">
        <v>1.24</v>
      </c>
      <c r="G27" s="15">
        <f t="shared" si="1"/>
        <v>1.1160000000000001</v>
      </c>
      <c r="H27" s="15">
        <v>1.1214999999999999</v>
      </c>
      <c r="I27" s="15">
        <f t="shared" si="2"/>
        <v>1.2515940000000001</v>
      </c>
      <c r="J27" s="15">
        <v>0.73999999999999899</v>
      </c>
      <c r="K27" s="15">
        <f t="shared" si="3"/>
        <v>1.9915939999999992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2:AC8"/>
  <sheetViews>
    <sheetView workbookViewId="0"/>
  </sheetViews>
  <sheetFormatPr defaultColWidth="12.5703125" defaultRowHeight="15.75" customHeight="1" x14ac:dyDescent="0.2"/>
  <sheetData>
    <row r="2" spans="1:29" x14ac:dyDescent="0.2">
      <c r="A2" s="13" t="s">
        <v>1018</v>
      </c>
      <c r="B2" s="14">
        <v>5214001346059</v>
      </c>
      <c r="C2" s="15">
        <v>4.42</v>
      </c>
      <c r="D2" s="15">
        <v>0.9</v>
      </c>
      <c r="E2" s="15">
        <f t="shared" ref="E2:E8" si="0">SUM(C2)+D2</f>
        <v>5.32</v>
      </c>
      <c r="F2" s="15">
        <v>1.24</v>
      </c>
      <c r="G2" s="15">
        <f t="shared" ref="G2:G8" si="1">SUM(E2)*F2</f>
        <v>6.5968</v>
      </c>
      <c r="H2" s="15">
        <v>1.1214999999999999</v>
      </c>
      <c r="I2" s="15">
        <f t="shared" ref="I2:I8" si="2">SUM(G2)*H2</f>
        <v>7.3983111999999993</v>
      </c>
      <c r="J2" s="15">
        <v>0.73999999999999899</v>
      </c>
      <c r="K2" s="15">
        <f t="shared" ref="K2:K8" si="3">SUM(I2)+J2</f>
        <v>8.1383111999999986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1:29" x14ac:dyDescent="0.2">
      <c r="A3" s="13" t="s">
        <v>1019</v>
      </c>
      <c r="B3" s="14">
        <v>5214001346066</v>
      </c>
      <c r="C3" s="15">
        <v>4.95</v>
      </c>
      <c r="D3" s="15">
        <v>0.9</v>
      </c>
      <c r="E3" s="15">
        <f t="shared" si="0"/>
        <v>5.8500000000000005</v>
      </c>
      <c r="F3" s="15">
        <v>1.24</v>
      </c>
      <c r="G3" s="15">
        <f t="shared" si="1"/>
        <v>7.2540000000000004</v>
      </c>
      <c r="H3" s="15">
        <v>1.1214999999999999</v>
      </c>
      <c r="I3" s="15">
        <f t="shared" si="2"/>
        <v>8.1353609999999996</v>
      </c>
      <c r="J3" s="15">
        <v>0.73999999999999899</v>
      </c>
      <c r="K3" s="15">
        <f t="shared" si="3"/>
        <v>8.8753609999999981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29" x14ac:dyDescent="0.2">
      <c r="A4" s="6" t="s">
        <v>1020</v>
      </c>
      <c r="B4" s="6" t="s">
        <v>1021</v>
      </c>
      <c r="C4" s="15">
        <v>10.28</v>
      </c>
      <c r="D4" s="15">
        <v>0.9</v>
      </c>
      <c r="E4" s="15">
        <f t="shared" si="0"/>
        <v>11.18</v>
      </c>
      <c r="F4" s="15">
        <v>1.24</v>
      </c>
      <c r="G4" s="15">
        <f t="shared" si="1"/>
        <v>13.863199999999999</v>
      </c>
      <c r="H4" s="15">
        <v>1.1214999999999999</v>
      </c>
      <c r="I4" s="15">
        <f t="shared" si="2"/>
        <v>15.547578799999998</v>
      </c>
      <c r="J4" s="15">
        <v>0.73999999999999899</v>
      </c>
      <c r="K4" s="15">
        <f t="shared" si="3"/>
        <v>16.287578799999999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29" x14ac:dyDescent="0.2">
      <c r="A5" s="6" t="s">
        <v>1022</v>
      </c>
      <c r="B5" s="6" t="s">
        <v>1023</v>
      </c>
      <c r="C5" s="15">
        <v>12.33</v>
      </c>
      <c r="D5" s="15">
        <v>0.9</v>
      </c>
      <c r="E5" s="15">
        <f t="shared" si="0"/>
        <v>13.23</v>
      </c>
      <c r="F5" s="15">
        <v>1.24</v>
      </c>
      <c r="G5" s="15">
        <f t="shared" si="1"/>
        <v>16.405200000000001</v>
      </c>
      <c r="H5" s="15">
        <v>1.1214999999999999</v>
      </c>
      <c r="I5" s="15">
        <f t="shared" si="2"/>
        <v>18.398431800000001</v>
      </c>
      <c r="J5" s="15">
        <v>0.73999999999999899</v>
      </c>
      <c r="K5" s="15">
        <f t="shared" si="3"/>
        <v>19.138431799999999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1:29" x14ac:dyDescent="0.2">
      <c r="A6" s="6" t="s">
        <v>1024</v>
      </c>
      <c r="B6" s="6" t="s">
        <v>1025</v>
      </c>
      <c r="C6" s="15">
        <v>5.5</v>
      </c>
      <c r="D6" s="15">
        <v>0.7</v>
      </c>
      <c r="E6" s="15">
        <f t="shared" si="0"/>
        <v>6.2</v>
      </c>
      <c r="F6" s="15">
        <v>1.24</v>
      </c>
      <c r="G6" s="15">
        <f t="shared" si="1"/>
        <v>7.6879999999999997</v>
      </c>
      <c r="H6" s="15">
        <v>1.1214999999999999</v>
      </c>
      <c r="I6" s="15">
        <f t="shared" si="2"/>
        <v>8.6220919999999985</v>
      </c>
      <c r="J6" s="15">
        <v>0.44</v>
      </c>
      <c r="K6" s="15">
        <f t="shared" si="3"/>
        <v>9.062091999999998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spans="1:29" x14ac:dyDescent="0.2">
      <c r="A7" s="6" t="s">
        <v>1026</v>
      </c>
      <c r="B7" s="6" t="s">
        <v>1027</v>
      </c>
      <c r="C7" s="15">
        <v>9.02</v>
      </c>
      <c r="D7" s="15">
        <v>0.9</v>
      </c>
      <c r="E7" s="15">
        <f t="shared" si="0"/>
        <v>9.92</v>
      </c>
      <c r="F7" s="15">
        <v>1.1299999999999999</v>
      </c>
      <c r="G7" s="15">
        <f t="shared" si="1"/>
        <v>11.209599999999998</v>
      </c>
      <c r="H7" s="15">
        <v>1.1214999999999999</v>
      </c>
      <c r="I7" s="15">
        <f t="shared" si="2"/>
        <v>12.571566399999996</v>
      </c>
      <c r="J7" s="15">
        <v>0.73999999999999899</v>
      </c>
      <c r="K7" s="15">
        <f t="shared" si="3"/>
        <v>13.311566399999995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29" x14ac:dyDescent="0.2">
      <c r="A8" s="13" t="s">
        <v>1028</v>
      </c>
      <c r="B8" s="14">
        <v>5060204520846</v>
      </c>
      <c r="C8" s="15">
        <v>9.02</v>
      </c>
      <c r="D8" s="15">
        <v>0.9</v>
      </c>
      <c r="E8" s="15">
        <f t="shared" si="0"/>
        <v>9.92</v>
      </c>
      <c r="F8" s="15">
        <v>1.1299999999999999</v>
      </c>
      <c r="G8" s="15">
        <f t="shared" si="1"/>
        <v>11.209599999999998</v>
      </c>
      <c r="H8" s="15">
        <v>1.1214999999999999</v>
      </c>
      <c r="I8" s="15">
        <f t="shared" si="2"/>
        <v>12.571566399999996</v>
      </c>
      <c r="J8" s="15">
        <v>0.73999999999999899</v>
      </c>
      <c r="K8" s="15">
        <f t="shared" si="3"/>
        <v>13.311566399999995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2:AC34"/>
  <sheetViews>
    <sheetView workbookViewId="0"/>
  </sheetViews>
  <sheetFormatPr defaultColWidth="12.5703125" defaultRowHeight="15.75" customHeight="1" x14ac:dyDescent="0.2"/>
  <cols>
    <col min="1" max="1" width="28.140625" customWidth="1"/>
    <col min="2" max="2" width="15.5703125" customWidth="1"/>
    <col min="3" max="3" width="8.140625" customWidth="1"/>
    <col min="4" max="5" width="7" customWidth="1"/>
  </cols>
  <sheetData>
    <row r="2" spans="1:11" x14ac:dyDescent="0.2">
      <c r="A2" s="6" t="s">
        <v>1029</v>
      </c>
      <c r="B2" s="6" t="s">
        <v>1030</v>
      </c>
      <c r="C2" s="15">
        <v>5.23</v>
      </c>
      <c r="D2" s="15">
        <v>0.3</v>
      </c>
      <c r="E2" s="15">
        <f t="shared" ref="E2:E34" si="0">SUM(C2)+D2</f>
        <v>5.53</v>
      </c>
      <c r="F2" s="15">
        <v>1.24</v>
      </c>
      <c r="G2" s="15">
        <f t="shared" ref="G2:G34" si="1">SUM(E2)*F2</f>
        <v>6.8572000000000006</v>
      </c>
      <c r="H2" s="15">
        <v>1.1214999999999999</v>
      </c>
      <c r="I2" s="15">
        <f t="shared" ref="I2:I34" si="2">SUM(G2)*H2</f>
        <v>7.6903497999999999</v>
      </c>
      <c r="J2" s="15">
        <v>0.74</v>
      </c>
      <c r="K2" s="15">
        <f t="shared" ref="K2:K34" si="3">SUM(I2)+J2</f>
        <v>8.4303498000000001</v>
      </c>
    </row>
    <row r="3" spans="1:11" x14ac:dyDescent="0.2">
      <c r="A3" s="6" t="s">
        <v>1031</v>
      </c>
      <c r="B3" s="6" t="s">
        <v>1032</v>
      </c>
      <c r="C3" s="15">
        <v>7.41</v>
      </c>
      <c r="D3" s="15">
        <v>0.9</v>
      </c>
      <c r="E3" s="15">
        <f t="shared" si="0"/>
        <v>8.31</v>
      </c>
      <c r="F3" s="15">
        <v>1.24</v>
      </c>
      <c r="G3" s="15">
        <f t="shared" si="1"/>
        <v>10.304400000000001</v>
      </c>
      <c r="H3" s="15">
        <v>1.1214999999999999</v>
      </c>
      <c r="I3" s="15">
        <f t="shared" si="2"/>
        <v>11.556384600000001</v>
      </c>
      <c r="J3" s="15">
        <v>0.73999999999999899</v>
      </c>
      <c r="K3" s="15">
        <f t="shared" si="3"/>
        <v>12.2963846</v>
      </c>
    </row>
    <row r="4" spans="1:11" x14ac:dyDescent="0.2">
      <c r="A4" s="6" t="s">
        <v>1033</v>
      </c>
      <c r="B4" s="6" t="s">
        <v>1034</v>
      </c>
      <c r="C4" s="15">
        <v>6.13</v>
      </c>
      <c r="D4" s="15">
        <v>0.9</v>
      </c>
      <c r="E4" s="15">
        <f t="shared" si="0"/>
        <v>7.03</v>
      </c>
      <c r="F4" s="15">
        <v>1.24</v>
      </c>
      <c r="G4" s="15">
        <f t="shared" si="1"/>
        <v>8.7172000000000001</v>
      </c>
      <c r="H4" s="15">
        <v>1.1214999999999999</v>
      </c>
      <c r="I4" s="15">
        <f t="shared" si="2"/>
        <v>9.7763397999999988</v>
      </c>
      <c r="J4" s="15">
        <v>0.73999999999999899</v>
      </c>
      <c r="K4" s="15">
        <f t="shared" si="3"/>
        <v>10.516339799999997</v>
      </c>
    </row>
    <row r="5" spans="1:11" x14ac:dyDescent="0.2">
      <c r="A5" s="6" t="s">
        <v>1035</v>
      </c>
      <c r="B5" s="6" t="s">
        <v>1036</v>
      </c>
      <c r="C5" s="15">
        <v>5.39</v>
      </c>
      <c r="D5" s="15">
        <v>0.6</v>
      </c>
      <c r="E5" s="15">
        <f t="shared" si="0"/>
        <v>5.9899999999999993</v>
      </c>
      <c r="F5" s="15">
        <v>1.24</v>
      </c>
      <c r="G5" s="15">
        <f t="shared" si="1"/>
        <v>7.4275999999999991</v>
      </c>
      <c r="H5" s="15">
        <v>1.1214999999999999</v>
      </c>
      <c r="I5" s="15">
        <f t="shared" si="2"/>
        <v>8.3300533999999988</v>
      </c>
      <c r="J5" s="15">
        <v>0.43</v>
      </c>
      <c r="K5" s="15">
        <f t="shared" si="3"/>
        <v>8.7600533999999985</v>
      </c>
    </row>
    <row r="6" spans="1:11" x14ac:dyDescent="0.2">
      <c r="A6" s="6" t="s">
        <v>1037</v>
      </c>
      <c r="B6" s="6" t="s">
        <v>1038</v>
      </c>
      <c r="C6" s="15">
        <v>6.02</v>
      </c>
      <c r="D6" s="15">
        <v>0.9</v>
      </c>
      <c r="E6" s="15">
        <f t="shared" si="0"/>
        <v>6.92</v>
      </c>
      <c r="F6" s="15">
        <v>1.24</v>
      </c>
      <c r="G6" s="15">
        <f t="shared" si="1"/>
        <v>8.5808</v>
      </c>
      <c r="H6" s="15">
        <v>1.1214999999999999</v>
      </c>
      <c r="I6" s="15">
        <f t="shared" si="2"/>
        <v>9.6233671999999988</v>
      </c>
      <c r="J6" s="15">
        <v>0.73999999999999899</v>
      </c>
      <c r="K6" s="15">
        <f t="shared" si="3"/>
        <v>10.363367199999997</v>
      </c>
    </row>
    <row r="7" spans="1:11" x14ac:dyDescent="0.2">
      <c r="A7" s="6" t="s">
        <v>1039</v>
      </c>
      <c r="B7" s="6" t="s">
        <v>1040</v>
      </c>
      <c r="C7" s="15">
        <v>6.35</v>
      </c>
      <c r="D7" s="15">
        <v>0.52</v>
      </c>
      <c r="E7" s="15">
        <f t="shared" si="0"/>
        <v>6.8699999999999992</v>
      </c>
      <c r="F7" s="15">
        <v>1.24</v>
      </c>
      <c r="G7" s="15">
        <f t="shared" si="1"/>
        <v>8.5187999999999988</v>
      </c>
      <c r="H7" s="15">
        <v>1.1214999999999999</v>
      </c>
      <c r="I7" s="15">
        <f t="shared" si="2"/>
        <v>9.5538341999999989</v>
      </c>
      <c r="J7" s="15">
        <v>0.43</v>
      </c>
      <c r="K7" s="15">
        <f t="shared" si="3"/>
        <v>9.9838341999999987</v>
      </c>
    </row>
    <row r="8" spans="1:11" x14ac:dyDescent="0.2">
      <c r="A8" s="6" t="s">
        <v>1041</v>
      </c>
      <c r="B8" s="6" t="s">
        <v>1042</v>
      </c>
      <c r="C8" s="15">
        <v>7.59</v>
      </c>
      <c r="D8" s="15">
        <v>0.6</v>
      </c>
      <c r="E8" s="15">
        <f t="shared" si="0"/>
        <v>8.19</v>
      </c>
      <c r="F8" s="15">
        <v>1.24</v>
      </c>
      <c r="G8" s="15">
        <f t="shared" si="1"/>
        <v>10.1556</v>
      </c>
      <c r="H8" s="15">
        <v>1.1214999999999999</v>
      </c>
      <c r="I8" s="15">
        <f t="shared" si="2"/>
        <v>11.389505399999999</v>
      </c>
      <c r="J8" s="15">
        <v>0.73999999999999899</v>
      </c>
      <c r="K8" s="15">
        <f t="shared" si="3"/>
        <v>12.129505399999998</v>
      </c>
    </row>
    <row r="9" spans="1:11" x14ac:dyDescent="0.2">
      <c r="A9" s="6" t="s">
        <v>1043</v>
      </c>
      <c r="B9" s="6" t="s">
        <v>1044</v>
      </c>
      <c r="C9" s="15">
        <v>5.41</v>
      </c>
      <c r="D9" s="15">
        <v>0.9</v>
      </c>
      <c r="E9" s="15">
        <f t="shared" si="0"/>
        <v>6.3100000000000005</v>
      </c>
      <c r="F9" s="15">
        <v>1.24</v>
      </c>
      <c r="G9" s="15">
        <f t="shared" si="1"/>
        <v>7.8244000000000007</v>
      </c>
      <c r="H9" s="15">
        <v>1.1214999999999999</v>
      </c>
      <c r="I9" s="15">
        <f t="shared" si="2"/>
        <v>8.7750646000000003</v>
      </c>
      <c r="J9" s="15">
        <v>0.73999999999999899</v>
      </c>
      <c r="K9" s="15">
        <f t="shared" si="3"/>
        <v>9.5150645999999988</v>
      </c>
    </row>
    <row r="10" spans="1:11" x14ac:dyDescent="0.2">
      <c r="A10" s="6" t="s">
        <v>1045</v>
      </c>
      <c r="B10" s="6" t="s">
        <v>1046</v>
      </c>
      <c r="C10" s="15">
        <v>4.76</v>
      </c>
      <c r="D10" s="15">
        <v>0.5</v>
      </c>
      <c r="E10" s="15">
        <f t="shared" si="0"/>
        <v>5.26</v>
      </c>
      <c r="F10" s="15">
        <v>1.24</v>
      </c>
      <c r="G10" s="15">
        <f t="shared" si="1"/>
        <v>6.5223999999999993</v>
      </c>
      <c r="H10" s="15">
        <v>1.1214999999999999</v>
      </c>
      <c r="I10" s="15">
        <f t="shared" si="2"/>
        <v>7.3148715999999991</v>
      </c>
      <c r="J10" s="15">
        <v>0.46</v>
      </c>
      <c r="K10" s="15">
        <f t="shared" si="3"/>
        <v>7.7748715999999991</v>
      </c>
    </row>
    <row r="11" spans="1:11" x14ac:dyDescent="0.2">
      <c r="A11" s="6" t="s">
        <v>1047</v>
      </c>
      <c r="B11" s="6" t="s">
        <v>1048</v>
      </c>
      <c r="C11" s="15">
        <v>8.56</v>
      </c>
      <c r="D11" s="15">
        <v>0.9</v>
      </c>
      <c r="E11" s="15">
        <f t="shared" si="0"/>
        <v>9.4600000000000009</v>
      </c>
      <c r="F11" s="15">
        <v>1.24</v>
      </c>
      <c r="G11" s="15">
        <f t="shared" si="1"/>
        <v>11.730400000000001</v>
      </c>
      <c r="H11" s="15">
        <v>1.1214999999999999</v>
      </c>
      <c r="I11" s="15">
        <f t="shared" si="2"/>
        <v>13.155643600000001</v>
      </c>
      <c r="J11" s="15">
        <v>0.73999999999999899</v>
      </c>
      <c r="K11" s="15">
        <f t="shared" si="3"/>
        <v>13.8956436</v>
      </c>
    </row>
    <row r="12" spans="1:11" x14ac:dyDescent="0.2">
      <c r="A12" s="6" t="s">
        <v>1049</v>
      </c>
      <c r="B12" s="6" t="s">
        <v>1050</v>
      </c>
      <c r="C12" s="15">
        <v>5.88</v>
      </c>
      <c r="D12" s="15">
        <v>0.7</v>
      </c>
      <c r="E12" s="15">
        <f t="shared" si="0"/>
        <v>6.58</v>
      </c>
      <c r="F12" s="15">
        <v>1.24</v>
      </c>
      <c r="G12" s="15">
        <f t="shared" si="1"/>
        <v>8.1592000000000002</v>
      </c>
      <c r="H12" s="15">
        <v>1.1214999999999999</v>
      </c>
      <c r="I12" s="15">
        <f t="shared" si="2"/>
        <v>9.1505428000000002</v>
      </c>
      <c r="J12" s="15">
        <v>0.43</v>
      </c>
      <c r="K12" s="15">
        <f t="shared" si="3"/>
        <v>9.5805427999999999</v>
      </c>
    </row>
    <row r="13" spans="1:11" x14ac:dyDescent="0.2">
      <c r="A13" s="6" t="s">
        <v>1051</v>
      </c>
      <c r="B13" s="6" t="s">
        <v>1052</v>
      </c>
      <c r="C13" s="15">
        <v>8.0299999999999994</v>
      </c>
      <c r="D13" s="15">
        <v>0.9</v>
      </c>
      <c r="E13" s="15">
        <f t="shared" si="0"/>
        <v>8.93</v>
      </c>
      <c r="F13" s="15">
        <v>1.24</v>
      </c>
      <c r="G13" s="15">
        <f t="shared" si="1"/>
        <v>11.0732</v>
      </c>
      <c r="H13" s="15">
        <v>1.1214999999999999</v>
      </c>
      <c r="I13" s="15">
        <f t="shared" si="2"/>
        <v>12.4185938</v>
      </c>
      <c r="J13" s="15">
        <v>0.73999999999999899</v>
      </c>
      <c r="K13" s="15">
        <f t="shared" si="3"/>
        <v>13.158593799999998</v>
      </c>
    </row>
    <row r="14" spans="1:11" x14ac:dyDescent="0.2">
      <c r="A14" s="6" t="s">
        <v>1053</v>
      </c>
      <c r="B14" s="6" t="s">
        <v>1054</v>
      </c>
      <c r="C14" s="15">
        <v>7.11</v>
      </c>
      <c r="D14" s="15">
        <v>0.9</v>
      </c>
      <c r="E14" s="15">
        <f t="shared" si="0"/>
        <v>8.01</v>
      </c>
      <c r="F14" s="15">
        <v>1.24</v>
      </c>
      <c r="G14" s="15">
        <f t="shared" si="1"/>
        <v>9.9323999999999995</v>
      </c>
      <c r="H14" s="15">
        <v>1.1214999999999999</v>
      </c>
      <c r="I14" s="15">
        <f t="shared" si="2"/>
        <v>11.139186599999999</v>
      </c>
      <c r="J14" s="15">
        <v>0.73999999999999899</v>
      </c>
      <c r="K14" s="15">
        <f t="shared" si="3"/>
        <v>11.879186599999997</v>
      </c>
    </row>
    <row r="15" spans="1:11" x14ac:dyDescent="0.2">
      <c r="A15" s="6" t="s">
        <v>1055</v>
      </c>
      <c r="B15" s="6" t="s">
        <v>1056</v>
      </c>
      <c r="C15" s="15">
        <v>4.8600000000000003</v>
      </c>
      <c r="D15" s="15">
        <v>0.9</v>
      </c>
      <c r="E15" s="15">
        <f t="shared" si="0"/>
        <v>5.7600000000000007</v>
      </c>
      <c r="F15" s="15">
        <v>1.24</v>
      </c>
      <c r="G15" s="15">
        <f t="shared" si="1"/>
        <v>7.1424000000000012</v>
      </c>
      <c r="H15" s="15">
        <v>1.1214999999999999</v>
      </c>
      <c r="I15" s="15">
        <f t="shared" si="2"/>
        <v>8.0102016000000003</v>
      </c>
      <c r="J15" s="15">
        <v>0.73999999999999899</v>
      </c>
      <c r="K15" s="15">
        <f t="shared" si="3"/>
        <v>8.7502015999999987</v>
      </c>
    </row>
    <row r="16" spans="1:11" x14ac:dyDescent="0.2">
      <c r="A16" s="6" t="s">
        <v>1057</v>
      </c>
      <c r="B16" s="6" t="s">
        <v>1058</v>
      </c>
      <c r="C16" s="15">
        <v>6.17</v>
      </c>
      <c r="D16" s="15">
        <v>0.9</v>
      </c>
      <c r="E16" s="15">
        <f t="shared" si="0"/>
        <v>7.07</v>
      </c>
      <c r="F16" s="15">
        <v>1.24</v>
      </c>
      <c r="G16" s="15">
        <f t="shared" si="1"/>
        <v>8.7667999999999999</v>
      </c>
      <c r="H16" s="15">
        <v>1.1214999999999999</v>
      </c>
      <c r="I16" s="15">
        <f t="shared" si="2"/>
        <v>9.8319662000000001</v>
      </c>
      <c r="J16" s="15">
        <v>0.73999999999999899</v>
      </c>
      <c r="K16" s="15">
        <f t="shared" si="3"/>
        <v>10.571966199999999</v>
      </c>
    </row>
    <row r="17" spans="1:29" x14ac:dyDescent="0.2">
      <c r="A17" s="6" t="s">
        <v>1059</v>
      </c>
      <c r="B17" s="6" t="s">
        <v>1060</v>
      </c>
      <c r="C17" s="15">
        <v>6.29</v>
      </c>
      <c r="D17" s="15">
        <v>0.7</v>
      </c>
      <c r="E17" s="15">
        <f t="shared" si="0"/>
        <v>6.99</v>
      </c>
      <c r="F17" s="15">
        <v>1.24</v>
      </c>
      <c r="G17" s="15">
        <f t="shared" si="1"/>
        <v>8.6676000000000002</v>
      </c>
      <c r="H17" s="15">
        <v>1.1214999999999999</v>
      </c>
      <c r="I17" s="15">
        <f t="shared" si="2"/>
        <v>9.7207133999999993</v>
      </c>
      <c r="J17" s="15">
        <v>0.73999999999999899</v>
      </c>
      <c r="K17" s="15">
        <f t="shared" si="3"/>
        <v>10.460713399999998</v>
      </c>
    </row>
    <row r="18" spans="1:29" x14ac:dyDescent="0.2">
      <c r="A18" s="6" t="s">
        <v>1061</v>
      </c>
      <c r="B18" s="6" t="s">
        <v>1062</v>
      </c>
      <c r="C18" s="15">
        <v>6.8</v>
      </c>
      <c r="D18" s="15">
        <v>0.9</v>
      </c>
      <c r="E18" s="15">
        <f t="shared" si="0"/>
        <v>7.7</v>
      </c>
      <c r="F18" s="15">
        <v>1.24</v>
      </c>
      <c r="G18" s="15">
        <f t="shared" si="1"/>
        <v>9.548</v>
      </c>
      <c r="H18" s="15">
        <v>1.1214999999999999</v>
      </c>
      <c r="I18" s="15">
        <f t="shared" si="2"/>
        <v>10.708081999999999</v>
      </c>
      <c r="J18" s="15">
        <v>0.73999999999999899</v>
      </c>
      <c r="K18" s="15">
        <f t="shared" si="3"/>
        <v>11.448081999999998</v>
      </c>
    </row>
    <row r="19" spans="1:29" x14ac:dyDescent="0.2">
      <c r="A19" s="6" t="s">
        <v>1063</v>
      </c>
      <c r="B19" s="6" t="s">
        <v>1064</v>
      </c>
      <c r="C19" s="15">
        <v>6.76</v>
      </c>
      <c r="D19" s="15">
        <v>0.9</v>
      </c>
      <c r="E19" s="15">
        <f t="shared" si="0"/>
        <v>7.66</v>
      </c>
      <c r="F19" s="15">
        <v>1.24</v>
      </c>
      <c r="G19" s="15">
        <f t="shared" si="1"/>
        <v>9.4984000000000002</v>
      </c>
      <c r="H19" s="15">
        <v>1.1214999999999999</v>
      </c>
      <c r="I19" s="15">
        <f t="shared" si="2"/>
        <v>10.6524556</v>
      </c>
      <c r="J19" s="15">
        <v>0.73999999999999899</v>
      </c>
      <c r="K19" s="15">
        <f t="shared" si="3"/>
        <v>11.392455599999998</v>
      </c>
    </row>
    <row r="20" spans="1:29" x14ac:dyDescent="0.2">
      <c r="A20" s="13" t="s">
        <v>1065</v>
      </c>
      <c r="B20" s="14">
        <v>4013474117019</v>
      </c>
      <c r="C20" s="15">
        <v>6.1</v>
      </c>
      <c r="D20" s="15">
        <v>0.9</v>
      </c>
      <c r="E20" s="15">
        <f t="shared" si="0"/>
        <v>7</v>
      </c>
      <c r="F20" s="15">
        <v>1.24</v>
      </c>
      <c r="G20" s="15">
        <f t="shared" si="1"/>
        <v>8.68</v>
      </c>
      <c r="H20" s="15">
        <v>1.1214999999999999</v>
      </c>
      <c r="I20" s="15">
        <f t="shared" si="2"/>
        <v>9.7346199999999996</v>
      </c>
      <c r="J20" s="15">
        <v>0.73999999999999899</v>
      </c>
      <c r="K20" s="15">
        <f t="shared" si="3"/>
        <v>10.474619999999998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spans="1:29" x14ac:dyDescent="0.2">
      <c r="A21" s="13" t="s">
        <v>215</v>
      </c>
      <c r="B21" s="14">
        <v>4013474117248</v>
      </c>
      <c r="C21" s="15">
        <v>6.79</v>
      </c>
      <c r="D21" s="15">
        <v>0.9</v>
      </c>
      <c r="E21" s="15">
        <f t="shared" si="0"/>
        <v>7.69</v>
      </c>
      <c r="F21" s="15">
        <v>1.24</v>
      </c>
      <c r="G21" s="15">
        <f t="shared" si="1"/>
        <v>9.5356000000000005</v>
      </c>
      <c r="H21" s="15">
        <v>1.1214999999999999</v>
      </c>
      <c r="I21" s="15">
        <f t="shared" si="2"/>
        <v>10.694175400000001</v>
      </c>
      <c r="J21" s="15">
        <v>0.73999999999999899</v>
      </c>
      <c r="K21" s="15">
        <f t="shared" si="3"/>
        <v>11.434175399999999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 x14ac:dyDescent="0.2">
      <c r="A22" s="13" t="s">
        <v>1066</v>
      </c>
      <c r="B22" s="14">
        <v>4013474113424</v>
      </c>
      <c r="C22" s="15">
        <v>7.35</v>
      </c>
      <c r="D22" s="15">
        <v>0.9</v>
      </c>
      <c r="E22" s="15">
        <f t="shared" si="0"/>
        <v>8.25</v>
      </c>
      <c r="F22" s="15">
        <v>1.24</v>
      </c>
      <c r="G22" s="15">
        <f t="shared" si="1"/>
        <v>10.23</v>
      </c>
      <c r="H22" s="15">
        <v>1.1214999999999999</v>
      </c>
      <c r="I22" s="15">
        <f t="shared" si="2"/>
        <v>11.472944999999999</v>
      </c>
      <c r="J22" s="15">
        <v>0.73999999999999899</v>
      </c>
      <c r="K22" s="15">
        <f t="shared" si="3"/>
        <v>12.212944999999998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1:29" x14ac:dyDescent="0.2">
      <c r="A23" s="12" t="s">
        <v>1067</v>
      </c>
      <c r="B23" s="12">
        <v>4013474116500</v>
      </c>
      <c r="C23" s="15">
        <v>11.68</v>
      </c>
      <c r="D23" s="15">
        <v>0.9</v>
      </c>
      <c r="E23" s="15">
        <f t="shared" si="0"/>
        <v>12.58</v>
      </c>
      <c r="F23" s="15">
        <v>1.24</v>
      </c>
      <c r="G23" s="15">
        <f t="shared" si="1"/>
        <v>15.5992</v>
      </c>
      <c r="H23" s="15">
        <v>1.1214999999999999</v>
      </c>
      <c r="I23" s="15">
        <f t="shared" si="2"/>
        <v>17.494502799999999</v>
      </c>
      <c r="J23" s="15">
        <v>0.73999999999999899</v>
      </c>
      <c r="K23" s="15">
        <f t="shared" si="3"/>
        <v>18.234502799999998</v>
      </c>
    </row>
    <row r="24" spans="1:29" x14ac:dyDescent="0.2">
      <c r="A24" s="12" t="s">
        <v>1068</v>
      </c>
      <c r="B24" s="12">
        <v>4013474116425</v>
      </c>
      <c r="C24" s="15">
        <v>6.7</v>
      </c>
      <c r="D24" s="15">
        <v>0.9</v>
      </c>
      <c r="E24" s="15">
        <f t="shared" si="0"/>
        <v>7.6000000000000005</v>
      </c>
      <c r="F24" s="15">
        <v>1.24</v>
      </c>
      <c r="G24" s="15">
        <f t="shared" si="1"/>
        <v>9.4240000000000013</v>
      </c>
      <c r="H24" s="15">
        <v>1.1214999999999999</v>
      </c>
      <c r="I24" s="15">
        <f t="shared" si="2"/>
        <v>10.569016000000001</v>
      </c>
      <c r="J24" s="15">
        <v>0.73999999999999899</v>
      </c>
      <c r="K24" s="15">
        <f t="shared" si="3"/>
        <v>11.309016</v>
      </c>
    </row>
    <row r="25" spans="1:29" x14ac:dyDescent="0.2">
      <c r="A25" s="12" t="s">
        <v>1069</v>
      </c>
      <c r="B25" s="12">
        <v>4013474116517</v>
      </c>
      <c r="C25" s="15">
        <v>6.03</v>
      </c>
      <c r="D25" s="15">
        <v>0.9</v>
      </c>
      <c r="E25" s="15">
        <f t="shared" si="0"/>
        <v>6.9300000000000006</v>
      </c>
      <c r="F25" s="15">
        <v>1.24</v>
      </c>
      <c r="G25" s="15">
        <f t="shared" si="1"/>
        <v>8.5932000000000013</v>
      </c>
      <c r="H25" s="15">
        <v>1.1214999999999999</v>
      </c>
      <c r="I25" s="15">
        <f t="shared" si="2"/>
        <v>9.6372738000000009</v>
      </c>
      <c r="J25" s="15">
        <v>0.73999999999999899</v>
      </c>
      <c r="K25" s="15">
        <f t="shared" si="3"/>
        <v>10.377273799999999</v>
      </c>
    </row>
    <row r="26" spans="1:29" x14ac:dyDescent="0.2">
      <c r="A26" s="26" t="s">
        <v>1070</v>
      </c>
      <c r="B26" s="26" t="s">
        <v>1071</v>
      </c>
      <c r="C26" s="15">
        <v>6.32</v>
      </c>
      <c r="D26" s="15">
        <v>0.9</v>
      </c>
      <c r="E26" s="15">
        <f t="shared" si="0"/>
        <v>7.2200000000000006</v>
      </c>
      <c r="F26" s="15">
        <v>1.24</v>
      </c>
      <c r="G26" s="15">
        <f t="shared" si="1"/>
        <v>8.9527999999999999</v>
      </c>
      <c r="H26" s="15">
        <v>1.1214999999999999</v>
      </c>
      <c r="I26" s="15">
        <f t="shared" si="2"/>
        <v>10.0405652</v>
      </c>
      <c r="J26" s="15">
        <v>0.73999999999999899</v>
      </c>
      <c r="K26" s="15">
        <f t="shared" si="3"/>
        <v>10.780565199999998</v>
      </c>
    </row>
    <row r="27" spans="1:29" x14ac:dyDescent="0.2">
      <c r="C27" s="15">
        <v>0</v>
      </c>
      <c r="D27" s="15">
        <v>0.9</v>
      </c>
      <c r="E27" s="15">
        <f t="shared" si="0"/>
        <v>0.9</v>
      </c>
      <c r="F27" s="15">
        <v>1.24</v>
      </c>
      <c r="G27" s="15">
        <f t="shared" si="1"/>
        <v>1.1160000000000001</v>
      </c>
      <c r="H27" s="15">
        <v>1.1214999999999999</v>
      </c>
      <c r="I27" s="15">
        <f t="shared" si="2"/>
        <v>1.2515940000000001</v>
      </c>
      <c r="J27" s="15">
        <v>0.73999999999999899</v>
      </c>
      <c r="K27" s="15">
        <f t="shared" si="3"/>
        <v>1.9915939999999992</v>
      </c>
    </row>
    <row r="28" spans="1:29" x14ac:dyDescent="0.2">
      <c r="C28" s="15">
        <v>0</v>
      </c>
      <c r="D28" s="15">
        <v>0.9</v>
      </c>
      <c r="E28" s="15">
        <f t="shared" si="0"/>
        <v>0.9</v>
      </c>
      <c r="F28" s="15">
        <v>1.24</v>
      </c>
      <c r="G28" s="15">
        <f t="shared" si="1"/>
        <v>1.1160000000000001</v>
      </c>
      <c r="H28" s="15">
        <v>1.1214999999999999</v>
      </c>
      <c r="I28" s="15">
        <f t="shared" si="2"/>
        <v>1.2515940000000001</v>
      </c>
      <c r="J28" s="15">
        <v>0.73999999999999899</v>
      </c>
      <c r="K28" s="15">
        <f t="shared" si="3"/>
        <v>1.9915939999999992</v>
      </c>
    </row>
    <row r="29" spans="1:29" x14ac:dyDescent="0.2">
      <c r="C29" s="15">
        <v>0</v>
      </c>
      <c r="D29" s="15">
        <v>0.9</v>
      </c>
      <c r="E29" s="15">
        <f t="shared" si="0"/>
        <v>0.9</v>
      </c>
      <c r="F29" s="15">
        <v>1.24</v>
      </c>
      <c r="G29" s="15">
        <f t="shared" si="1"/>
        <v>1.1160000000000001</v>
      </c>
      <c r="H29" s="15">
        <v>1.1214999999999999</v>
      </c>
      <c r="I29" s="15">
        <f t="shared" si="2"/>
        <v>1.2515940000000001</v>
      </c>
      <c r="J29" s="15">
        <v>0.73999999999999899</v>
      </c>
      <c r="K29" s="15">
        <f t="shared" si="3"/>
        <v>1.9915939999999992</v>
      </c>
    </row>
    <row r="30" spans="1:29" x14ac:dyDescent="0.2">
      <c r="C30" s="15">
        <v>0</v>
      </c>
      <c r="D30" s="15">
        <v>0.9</v>
      </c>
      <c r="E30" s="15">
        <f t="shared" si="0"/>
        <v>0.9</v>
      </c>
      <c r="F30" s="15">
        <v>1.24</v>
      </c>
      <c r="G30" s="15">
        <f t="shared" si="1"/>
        <v>1.1160000000000001</v>
      </c>
      <c r="H30" s="15">
        <v>1.1214999999999999</v>
      </c>
      <c r="I30" s="15">
        <f t="shared" si="2"/>
        <v>1.2515940000000001</v>
      </c>
      <c r="J30" s="15">
        <v>0.73999999999999899</v>
      </c>
      <c r="K30" s="15">
        <f t="shared" si="3"/>
        <v>1.9915939999999992</v>
      </c>
    </row>
    <row r="31" spans="1:29" x14ac:dyDescent="0.2">
      <c r="C31" s="15">
        <v>0</v>
      </c>
      <c r="D31" s="15">
        <v>0.9</v>
      </c>
      <c r="E31" s="15">
        <f t="shared" si="0"/>
        <v>0.9</v>
      </c>
      <c r="F31" s="15">
        <v>1.24</v>
      </c>
      <c r="G31" s="15">
        <f t="shared" si="1"/>
        <v>1.1160000000000001</v>
      </c>
      <c r="H31" s="15">
        <v>1.1214999999999999</v>
      </c>
      <c r="I31" s="15">
        <f t="shared" si="2"/>
        <v>1.2515940000000001</v>
      </c>
      <c r="J31" s="15">
        <v>0.73999999999999899</v>
      </c>
      <c r="K31" s="15">
        <f t="shared" si="3"/>
        <v>1.9915939999999992</v>
      </c>
    </row>
    <row r="32" spans="1:29" x14ac:dyDescent="0.2">
      <c r="C32" s="15">
        <v>0</v>
      </c>
      <c r="D32" s="15">
        <v>0.9</v>
      </c>
      <c r="E32" s="15">
        <f t="shared" si="0"/>
        <v>0.9</v>
      </c>
      <c r="F32" s="15">
        <v>1.24</v>
      </c>
      <c r="G32" s="15">
        <f t="shared" si="1"/>
        <v>1.1160000000000001</v>
      </c>
      <c r="H32" s="15">
        <v>1.1214999999999999</v>
      </c>
      <c r="I32" s="15">
        <f t="shared" si="2"/>
        <v>1.2515940000000001</v>
      </c>
      <c r="J32" s="15">
        <v>0.73999999999999899</v>
      </c>
      <c r="K32" s="15">
        <f t="shared" si="3"/>
        <v>1.9915939999999992</v>
      </c>
    </row>
    <row r="33" spans="3:11" x14ac:dyDescent="0.2">
      <c r="C33" s="15">
        <v>0</v>
      </c>
      <c r="D33" s="15">
        <v>0.9</v>
      </c>
      <c r="E33" s="15">
        <f t="shared" si="0"/>
        <v>0.9</v>
      </c>
      <c r="F33" s="15">
        <v>1.24</v>
      </c>
      <c r="G33" s="15">
        <f t="shared" si="1"/>
        <v>1.1160000000000001</v>
      </c>
      <c r="H33" s="15">
        <v>1.1214999999999999</v>
      </c>
      <c r="I33" s="15">
        <f t="shared" si="2"/>
        <v>1.2515940000000001</v>
      </c>
      <c r="J33" s="15">
        <v>0.73999999999999899</v>
      </c>
      <c r="K33" s="15">
        <f t="shared" si="3"/>
        <v>1.9915939999999992</v>
      </c>
    </row>
    <row r="34" spans="3:11" x14ac:dyDescent="0.2">
      <c r="C34" s="15">
        <v>0</v>
      </c>
      <c r="D34" s="15">
        <v>0.9</v>
      </c>
      <c r="E34" s="15">
        <f t="shared" si="0"/>
        <v>0.9</v>
      </c>
      <c r="F34" s="15">
        <v>1.24</v>
      </c>
      <c r="G34" s="15">
        <f t="shared" si="1"/>
        <v>1.1160000000000001</v>
      </c>
      <c r="H34" s="15">
        <v>1.1214999999999999</v>
      </c>
      <c r="I34" s="15">
        <f t="shared" si="2"/>
        <v>1.2515940000000001</v>
      </c>
      <c r="J34" s="15">
        <v>0.73999999999999899</v>
      </c>
      <c r="K34" s="15">
        <f t="shared" si="3"/>
        <v>1.9915939999999992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M33"/>
  <sheetViews>
    <sheetView workbookViewId="0"/>
  </sheetViews>
  <sheetFormatPr defaultColWidth="12.5703125" defaultRowHeight="15.75" customHeight="1" x14ac:dyDescent="0.2"/>
  <cols>
    <col min="1" max="1" width="17.140625" customWidth="1"/>
    <col min="2" max="2" width="30.42578125" customWidth="1"/>
  </cols>
  <sheetData>
    <row r="1" spans="1:13" ht="15.75" customHeight="1" x14ac:dyDescent="0.25">
      <c r="C1" s="7" t="s">
        <v>314</v>
      </c>
      <c r="D1" s="7" t="s">
        <v>315</v>
      </c>
      <c r="E1" s="7" t="s">
        <v>316</v>
      </c>
      <c r="F1" s="7" t="s">
        <v>317</v>
      </c>
      <c r="G1" s="7" t="s">
        <v>318</v>
      </c>
      <c r="H1" s="7" t="s">
        <v>319</v>
      </c>
      <c r="I1" s="7" t="s">
        <v>320</v>
      </c>
      <c r="J1" s="7" t="s">
        <v>321</v>
      </c>
      <c r="K1" s="7" t="s">
        <v>322</v>
      </c>
      <c r="L1" s="7" t="s">
        <v>323</v>
      </c>
    </row>
    <row r="3" spans="1:13" ht="15.75" customHeight="1" x14ac:dyDescent="0.25">
      <c r="A3" s="6" t="s">
        <v>1072</v>
      </c>
      <c r="B3" s="6" t="s">
        <v>1073</v>
      </c>
      <c r="C3" s="9">
        <v>6.37</v>
      </c>
      <c r="D3" s="9">
        <v>0.9</v>
      </c>
      <c r="E3" s="9">
        <v>0.7</v>
      </c>
      <c r="F3" s="9">
        <v>8.1999999999999993</v>
      </c>
      <c r="G3" s="9">
        <v>24</v>
      </c>
      <c r="H3" s="9">
        <f t="shared" ref="H3:H33" si="0">C3+D3+E3</f>
        <v>7.9700000000000006</v>
      </c>
      <c r="I3" s="9">
        <f t="shared" ref="I3:I33" si="1">H3 / (1 - F3/100 - (1 - 1/(1 + G3/100)))</f>
        <v>11.001424882001958</v>
      </c>
      <c r="J3" s="9">
        <f t="shared" ref="J3:J33" si="2">I3 * F3 / 100</f>
        <v>0.9021168403241604</v>
      </c>
      <c r="K3" s="9">
        <f t="shared" ref="K3:K33" si="3">I3 - (I3 / (1 + G3/100))</f>
        <v>2.129308041677799</v>
      </c>
      <c r="L3" s="9">
        <f t="shared" ref="L3:L33" si="4">I3 - J3 - K3</f>
        <v>7.9699999999999989</v>
      </c>
    </row>
    <row r="4" spans="1:13" ht="15.75" customHeight="1" x14ac:dyDescent="0.25">
      <c r="A4" s="6" t="s">
        <v>1074</v>
      </c>
      <c r="B4" s="6" t="s">
        <v>1075</v>
      </c>
      <c r="C4" s="9">
        <v>5.88</v>
      </c>
      <c r="D4" s="9">
        <v>0.7</v>
      </c>
      <c r="E4" s="9">
        <v>0.53</v>
      </c>
      <c r="F4" s="9">
        <v>8.1999999999999993</v>
      </c>
      <c r="G4" s="9">
        <v>24</v>
      </c>
      <c r="H4" s="9">
        <f t="shared" si="0"/>
        <v>7.11</v>
      </c>
      <c r="I4" s="9">
        <f t="shared" si="1"/>
        <v>9.8143200641196895</v>
      </c>
      <c r="J4" s="9">
        <f t="shared" si="2"/>
        <v>0.80477424525781449</v>
      </c>
      <c r="K4" s="9">
        <f t="shared" si="3"/>
        <v>1.899545818861875</v>
      </c>
      <c r="L4" s="9">
        <f t="shared" si="4"/>
        <v>7.11</v>
      </c>
    </row>
    <row r="5" spans="1:13" ht="15.75" customHeight="1" x14ac:dyDescent="0.25">
      <c r="A5" s="6" t="s">
        <v>1076</v>
      </c>
      <c r="B5" s="6" t="s">
        <v>1077</v>
      </c>
      <c r="C5" s="9">
        <v>6.49</v>
      </c>
      <c r="D5" s="9">
        <v>0.9</v>
      </c>
      <c r="E5" s="9">
        <v>0.7</v>
      </c>
      <c r="F5" s="9">
        <v>8.1999999999999993</v>
      </c>
      <c r="G5" s="9">
        <v>24</v>
      </c>
      <c r="H5" s="9">
        <f t="shared" si="0"/>
        <v>8.09</v>
      </c>
      <c r="I5" s="9">
        <f t="shared" si="1"/>
        <v>11.167067414729717</v>
      </c>
      <c r="J5" s="9">
        <f t="shared" si="2"/>
        <v>0.91569952800783672</v>
      </c>
      <c r="K5" s="9">
        <f t="shared" si="3"/>
        <v>2.1613678867218802</v>
      </c>
      <c r="L5" s="9">
        <f t="shared" si="4"/>
        <v>8.09</v>
      </c>
    </row>
    <row r="6" spans="1:13" ht="15.75" customHeight="1" x14ac:dyDescent="0.25">
      <c r="A6" s="6" t="s">
        <v>1078</v>
      </c>
      <c r="B6" s="6" t="s">
        <v>1079</v>
      </c>
      <c r="C6" s="9">
        <v>8.4</v>
      </c>
      <c r="D6" s="9">
        <v>0.9</v>
      </c>
      <c r="E6" s="9">
        <v>0.7</v>
      </c>
      <c r="F6" s="9">
        <v>8.1999999999999993</v>
      </c>
      <c r="G6" s="9">
        <v>24</v>
      </c>
      <c r="H6" s="9">
        <f t="shared" si="0"/>
        <v>10</v>
      </c>
      <c r="I6" s="9">
        <f t="shared" si="1"/>
        <v>13.803544393979871</v>
      </c>
      <c r="J6" s="9">
        <f t="shared" si="2"/>
        <v>1.1318906403063493</v>
      </c>
      <c r="K6" s="9">
        <f t="shared" si="3"/>
        <v>2.6716537536735228</v>
      </c>
      <c r="L6" s="9">
        <f t="shared" si="4"/>
        <v>10</v>
      </c>
      <c r="M6" s="12">
        <v>14.69</v>
      </c>
    </row>
    <row r="7" spans="1:13" ht="15.75" customHeight="1" x14ac:dyDescent="0.25">
      <c r="A7" s="6" t="s">
        <v>1080</v>
      </c>
      <c r="B7" s="6" t="s">
        <v>1081</v>
      </c>
      <c r="C7" s="9">
        <v>5.0999999999999996</v>
      </c>
      <c r="D7" s="9">
        <v>0.6</v>
      </c>
      <c r="E7" s="9">
        <v>0.43</v>
      </c>
      <c r="F7" s="9">
        <v>8.1999999999999993</v>
      </c>
      <c r="G7" s="9">
        <v>24</v>
      </c>
      <c r="H7" s="9">
        <f t="shared" si="0"/>
        <v>6.129999999999999</v>
      </c>
      <c r="I7" s="9">
        <f t="shared" si="1"/>
        <v>8.4615727135096606</v>
      </c>
      <c r="J7" s="9">
        <f t="shared" si="2"/>
        <v>0.69384896250779204</v>
      </c>
      <c r="K7" s="9">
        <f t="shared" si="3"/>
        <v>1.6377237510018698</v>
      </c>
      <c r="L7" s="9">
        <f t="shared" si="4"/>
        <v>6.129999999999999</v>
      </c>
    </row>
    <row r="8" spans="1:13" ht="15.75" customHeight="1" x14ac:dyDescent="0.25">
      <c r="A8" s="6" t="s">
        <v>1082</v>
      </c>
      <c r="B8" s="6" t="s">
        <v>1083</v>
      </c>
      <c r="C8" s="9">
        <v>6.37</v>
      </c>
      <c r="D8" s="9">
        <v>0.9</v>
      </c>
      <c r="E8" s="9">
        <v>0.7</v>
      </c>
      <c r="F8" s="9">
        <v>8.1999999999999993</v>
      </c>
      <c r="G8" s="9">
        <v>24</v>
      </c>
      <c r="H8" s="9">
        <f t="shared" si="0"/>
        <v>7.9700000000000006</v>
      </c>
      <c r="I8" s="9">
        <f t="shared" si="1"/>
        <v>11.001424882001958</v>
      </c>
      <c r="J8" s="9">
        <f t="shared" si="2"/>
        <v>0.9021168403241604</v>
      </c>
      <c r="K8" s="9">
        <f t="shared" si="3"/>
        <v>2.129308041677799</v>
      </c>
      <c r="L8" s="9">
        <f t="shared" si="4"/>
        <v>7.9699999999999989</v>
      </c>
    </row>
    <row r="9" spans="1:13" ht="15.75" customHeight="1" x14ac:dyDescent="0.25">
      <c r="A9" s="6" t="s">
        <v>1084</v>
      </c>
      <c r="B9" s="6" t="s">
        <v>1085</v>
      </c>
      <c r="C9" s="9">
        <v>5.88</v>
      </c>
      <c r="D9" s="9">
        <v>0.7</v>
      </c>
      <c r="E9" s="9">
        <v>0.43</v>
      </c>
      <c r="F9" s="9">
        <v>8.1999999999999993</v>
      </c>
      <c r="G9" s="9">
        <v>24</v>
      </c>
      <c r="H9" s="9">
        <f t="shared" si="0"/>
        <v>7.01</v>
      </c>
      <c r="I9" s="9">
        <f t="shared" si="1"/>
        <v>9.6762846201798904</v>
      </c>
      <c r="J9" s="9">
        <f t="shared" si="2"/>
        <v>0.79345533885475095</v>
      </c>
      <c r="K9" s="9">
        <f t="shared" si="3"/>
        <v>1.8728292813251404</v>
      </c>
      <c r="L9" s="9">
        <f t="shared" si="4"/>
        <v>7.01</v>
      </c>
    </row>
    <row r="10" spans="1:13" ht="15.75" customHeight="1" x14ac:dyDescent="0.25">
      <c r="A10" s="6" t="s">
        <v>1086</v>
      </c>
      <c r="B10" s="6" t="s">
        <v>1087</v>
      </c>
      <c r="C10" s="9">
        <v>3.25</v>
      </c>
      <c r="D10" s="9">
        <v>0.4</v>
      </c>
      <c r="E10" s="9">
        <v>0.25</v>
      </c>
      <c r="F10" s="9">
        <v>8.1999999999999993</v>
      </c>
      <c r="G10" s="9">
        <v>24</v>
      </c>
      <c r="H10" s="9">
        <f t="shared" si="0"/>
        <v>3.9</v>
      </c>
      <c r="I10" s="9">
        <f t="shared" si="1"/>
        <v>5.3833823136521497</v>
      </c>
      <c r="J10" s="9">
        <f t="shared" si="2"/>
        <v>0.44143734971947624</v>
      </c>
      <c r="K10" s="9">
        <f t="shared" si="3"/>
        <v>1.0419449639326741</v>
      </c>
      <c r="L10" s="9">
        <f t="shared" si="4"/>
        <v>3.8999999999999995</v>
      </c>
    </row>
    <row r="11" spans="1:13" ht="15.75" customHeight="1" x14ac:dyDescent="0.25">
      <c r="A11" s="6" t="s">
        <v>1088</v>
      </c>
      <c r="B11" s="6" t="s">
        <v>1089</v>
      </c>
      <c r="C11" s="9">
        <v>6.37</v>
      </c>
      <c r="D11" s="9">
        <v>0.9</v>
      </c>
      <c r="E11" s="9">
        <v>0.63</v>
      </c>
      <c r="F11" s="9">
        <v>8.1999999999999993</v>
      </c>
      <c r="G11" s="9">
        <v>24</v>
      </c>
      <c r="H11" s="9">
        <f t="shared" si="0"/>
        <v>7.9</v>
      </c>
      <c r="I11" s="9">
        <f t="shared" si="1"/>
        <v>10.904800071244098</v>
      </c>
      <c r="J11" s="9">
        <f t="shared" si="2"/>
        <v>0.89419360584201601</v>
      </c>
      <c r="K11" s="9">
        <f t="shared" si="3"/>
        <v>2.1106064654020837</v>
      </c>
      <c r="L11" s="9">
        <f t="shared" si="4"/>
        <v>7.8999999999999986</v>
      </c>
    </row>
    <row r="12" spans="1:13" ht="15.75" customHeight="1" x14ac:dyDescent="0.25">
      <c r="A12" s="6" t="s">
        <v>1090</v>
      </c>
      <c r="B12" s="6" t="s">
        <v>1091</v>
      </c>
      <c r="C12" s="9">
        <v>6.37</v>
      </c>
      <c r="D12" s="9">
        <v>0.9</v>
      </c>
      <c r="E12" s="9">
        <v>0.63</v>
      </c>
      <c r="F12" s="9">
        <v>8.1999999999999993</v>
      </c>
      <c r="G12" s="9">
        <v>24</v>
      </c>
      <c r="H12" s="9">
        <f t="shared" si="0"/>
        <v>7.9</v>
      </c>
      <c r="I12" s="9">
        <f t="shared" si="1"/>
        <v>10.904800071244098</v>
      </c>
      <c r="J12" s="9">
        <f t="shared" si="2"/>
        <v>0.89419360584201601</v>
      </c>
      <c r="K12" s="9">
        <f t="shared" si="3"/>
        <v>2.1106064654020837</v>
      </c>
      <c r="L12" s="9">
        <f t="shared" si="4"/>
        <v>7.8999999999999986</v>
      </c>
    </row>
    <row r="13" spans="1:13" ht="15.75" customHeight="1" x14ac:dyDescent="0.25">
      <c r="A13" s="6" t="s">
        <v>1092</v>
      </c>
      <c r="B13" s="6" t="s">
        <v>1093</v>
      </c>
      <c r="C13" s="9">
        <v>3.54</v>
      </c>
      <c r="D13" s="9">
        <v>0.5</v>
      </c>
      <c r="E13" s="9">
        <v>0.43</v>
      </c>
      <c r="F13" s="9">
        <v>8.1999999999999993</v>
      </c>
      <c r="G13" s="9">
        <v>24</v>
      </c>
      <c r="H13" s="9">
        <f t="shared" si="0"/>
        <v>4.47</v>
      </c>
      <c r="I13" s="9">
        <f t="shared" si="1"/>
        <v>6.1701843441090025</v>
      </c>
      <c r="J13" s="9">
        <f t="shared" si="2"/>
        <v>0.50595511621693812</v>
      </c>
      <c r="K13" s="9">
        <f t="shared" si="3"/>
        <v>1.1942292278920652</v>
      </c>
      <c r="L13" s="9">
        <f t="shared" si="4"/>
        <v>4.4699999999999989</v>
      </c>
    </row>
    <row r="14" spans="1:13" ht="15.75" customHeight="1" x14ac:dyDescent="0.25">
      <c r="A14" s="6" t="s">
        <v>1094</v>
      </c>
      <c r="B14" s="6" t="s">
        <v>1095</v>
      </c>
      <c r="C14" s="9">
        <v>5.0999999999999996</v>
      </c>
      <c r="D14" s="9">
        <v>0.6</v>
      </c>
      <c r="E14" s="9">
        <v>0.43</v>
      </c>
      <c r="F14" s="9">
        <v>8.1999999999999993</v>
      </c>
      <c r="G14" s="9">
        <v>24</v>
      </c>
      <c r="H14" s="9">
        <f t="shared" si="0"/>
        <v>6.129999999999999</v>
      </c>
      <c r="I14" s="9">
        <f t="shared" si="1"/>
        <v>8.4615727135096606</v>
      </c>
      <c r="J14" s="9">
        <f t="shared" si="2"/>
        <v>0.69384896250779204</v>
      </c>
      <c r="K14" s="9">
        <f t="shared" si="3"/>
        <v>1.6377237510018698</v>
      </c>
      <c r="L14" s="9">
        <f t="shared" si="4"/>
        <v>6.129999999999999</v>
      </c>
    </row>
    <row r="15" spans="1:13" ht="15.75" customHeight="1" x14ac:dyDescent="0.25">
      <c r="A15" s="6" t="s">
        <v>1096</v>
      </c>
      <c r="B15" s="6" t="s">
        <v>1097</v>
      </c>
      <c r="C15" s="9">
        <v>3.3</v>
      </c>
      <c r="D15" s="9">
        <v>0.5</v>
      </c>
      <c r="E15" s="9">
        <v>0.25</v>
      </c>
      <c r="F15" s="9">
        <v>8.1999999999999993</v>
      </c>
      <c r="G15" s="9">
        <v>24</v>
      </c>
      <c r="H15" s="9">
        <f t="shared" si="0"/>
        <v>4.05</v>
      </c>
      <c r="I15" s="9">
        <f t="shared" si="1"/>
        <v>5.5904354795618474</v>
      </c>
      <c r="J15" s="9">
        <f t="shared" si="2"/>
        <v>0.45841570932407144</v>
      </c>
      <c r="K15" s="9">
        <f t="shared" si="3"/>
        <v>1.0820197702377765</v>
      </c>
      <c r="L15" s="9">
        <f t="shared" si="4"/>
        <v>4.05</v>
      </c>
    </row>
    <row r="16" spans="1:13" ht="15.75" customHeight="1" x14ac:dyDescent="0.25">
      <c r="A16" s="6" t="s">
        <v>1098</v>
      </c>
      <c r="B16" s="6" t="s">
        <v>1099</v>
      </c>
      <c r="C16" s="9">
        <v>8.4</v>
      </c>
      <c r="D16" s="9">
        <v>0.94</v>
      </c>
      <c r="E16" s="9">
        <v>0.7</v>
      </c>
      <c r="F16" s="9">
        <v>8.1999999999999993</v>
      </c>
      <c r="G16" s="9">
        <v>24</v>
      </c>
      <c r="H16" s="9">
        <f t="shared" si="0"/>
        <v>10.039999999999999</v>
      </c>
      <c r="I16" s="9">
        <f t="shared" si="1"/>
        <v>13.858758571555789</v>
      </c>
      <c r="J16" s="9">
        <f t="shared" si="2"/>
        <v>1.1364182028675747</v>
      </c>
      <c r="K16" s="9">
        <f t="shared" si="3"/>
        <v>2.6823403686882177</v>
      </c>
      <c r="L16" s="9">
        <f t="shared" si="4"/>
        <v>10.039999999999997</v>
      </c>
    </row>
    <row r="17" spans="1:12" ht="15.75" customHeight="1" x14ac:dyDescent="0.25">
      <c r="A17" s="6" t="s">
        <v>1100</v>
      </c>
      <c r="B17" s="6" t="s">
        <v>1101</v>
      </c>
      <c r="C17" s="9">
        <v>4.74</v>
      </c>
      <c r="D17" s="9">
        <v>0.9</v>
      </c>
      <c r="E17" s="21">
        <v>0.63</v>
      </c>
      <c r="F17" s="9">
        <v>8.1999999999999993</v>
      </c>
      <c r="G17" s="9">
        <v>24</v>
      </c>
      <c r="H17" s="9">
        <f t="shared" si="0"/>
        <v>6.2700000000000005</v>
      </c>
      <c r="I17" s="9">
        <f t="shared" si="1"/>
        <v>8.654822335025381</v>
      </c>
      <c r="J17" s="9">
        <f t="shared" si="2"/>
        <v>0.70969543147208114</v>
      </c>
      <c r="K17" s="9">
        <f t="shared" si="3"/>
        <v>1.6751269035532994</v>
      </c>
      <c r="L17" s="9">
        <f t="shared" si="4"/>
        <v>6.2700000000000005</v>
      </c>
    </row>
    <row r="18" spans="1:12" ht="15.75" customHeight="1" x14ac:dyDescent="0.25">
      <c r="A18" s="6" t="s">
        <v>1102</v>
      </c>
      <c r="B18" s="6" t="s">
        <v>1103</v>
      </c>
      <c r="C18" s="9">
        <v>7.2</v>
      </c>
      <c r="D18" s="9">
        <v>0.9</v>
      </c>
      <c r="E18" s="21">
        <v>0.63</v>
      </c>
      <c r="F18" s="9">
        <v>8.1999999999999993</v>
      </c>
      <c r="G18" s="9">
        <v>24</v>
      </c>
      <c r="H18" s="9">
        <f t="shared" si="0"/>
        <v>8.73</v>
      </c>
      <c r="I18" s="9">
        <f t="shared" si="1"/>
        <v>12.050494255944429</v>
      </c>
      <c r="J18" s="9">
        <f t="shared" si="2"/>
        <v>0.98814052898744309</v>
      </c>
      <c r="K18" s="9">
        <f t="shared" si="3"/>
        <v>2.3323537269569865</v>
      </c>
      <c r="L18" s="9">
        <f t="shared" si="4"/>
        <v>8.7299999999999986</v>
      </c>
    </row>
    <row r="19" spans="1:12" ht="15.75" customHeight="1" x14ac:dyDescent="0.25">
      <c r="A19" s="6" t="s">
        <v>1104</v>
      </c>
      <c r="B19" s="6" t="s">
        <v>1105</v>
      </c>
      <c r="C19" s="9">
        <v>3.36</v>
      </c>
      <c r="D19" s="9">
        <v>0.5</v>
      </c>
      <c r="E19" s="21">
        <v>0.25</v>
      </c>
      <c r="F19" s="9">
        <v>8.1999999999999993</v>
      </c>
      <c r="G19" s="9">
        <v>24</v>
      </c>
      <c r="H19" s="9">
        <f t="shared" si="0"/>
        <v>4.1099999999999994</v>
      </c>
      <c r="I19" s="9">
        <f t="shared" si="1"/>
        <v>5.6732567459257268</v>
      </c>
      <c r="J19" s="9">
        <f t="shared" si="2"/>
        <v>0.46520705316590955</v>
      </c>
      <c r="K19" s="9">
        <f t="shared" si="3"/>
        <v>1.098049692759818</v>
      </c>
      <c r="L19" s="9">
        <f t="shared" si="4"/>
        <v>4.1099999999999994</v>
      </c>
    </row>
    <row r="20" spans="1:12" ht="15.75" customHeight="1" x14ac:dyDescent="0.25">
      <c r="A20" s="6" t="s">
        <v>1106</v>
      </c>
      <c r="B20" s="6" t="s">
        <v>1107</v>
      </c>
      <c r="C20" s="9">
        <v>5.19</v>
      </c>
      <c r="D20" s="9">
        <v>0.9</v>
      </c>
      <c r="E20" s="21">
        <v>0.63</v>
      </c>
      <c r="F20" s="9">
        <v>8.1999999999999993</v>
      </c>
      <c r="G20" s="9">
        <v>24</v>
      </c>
      <c r="H20" s="9">
        <f t="shared" si="0"/>
        <v>6.7200000000000006</v>
      </c>
      <c r="I20" s="9">
        <f t="shared" si="1"/>
        <v>9.275981832754475</v>
      </c>
      <c r="J20" s="9">
        <f t="shared" si="2"/>
        <v>0.76063051028586681</v>
      </c>
      <c r="K20" s="9">
        <f t="shared" si="3"/>
        <v>1.7953513224686084</v>
      </c>
      <c r="L20" s="9">
        <f t="shared" si="4"/>
        <v>6.7199999999999989</v>
      </c>
    </row>
    <row r="21" spans="1:12" ht="15.75" customHeight="1" x14ac:dyDescent="0.25">
      <c r="A21" s="6" t="s">
        <v>1108</v>
      </c>
      <c r="B21" s="6" t="s">
        <v>1109</v>
      </c>
      <c r="C21" s="9">
        <v>5.19</v>
      </c>
      <c r="D21" s="9">
        <v>0.9</v>
      </c>
      <c r="E21" s="21">
        <v>0.63</v>
      </c>
      <c r="F21" s="9">
        <v>8.1999999999999993</v>
      </c>
      <c r="G21" s="9">
        <v>24</v>
      </c>
      <c r="H21" s="9">
        <f t="shared" si="0"/>
        <v>6.7200000000000006</v>
      </c>
      <c r="I21" s="9">
        <f t="shared" si="1"/>
        <v>9.275981832754475</v>
      </c>
      <c r="J21" s="9">
        <f t="shared" si="2"/>
        <v>0.76063051028586681</v>
      </c>
      <c r="K21" s="9">
        <f t="shared" si="3"/>
        <v>1.7953513224686084</v>
      </c>
      <c r="L21" s="9">
        <f t="shared" si="4"/>
        <v>6.7199999999999989</v>
      </c>
    </row>
    <row r="22" spans="1:12" ht="15.75" customHeight="1" x14ac:dyDescent="0.25">
      <c r="C22" s="9">
        <v>6.68</v>
      </c>
      <c r="D22" s="9">
        <v>0.9</v>
      </c>
      <c r="E22" s="9">
        <v>0.7</v>
      </c>
      <c r="F22" s="9">
        <v>8.1999999999999993</v>
      </c>
      <c r="G22" s="9">
        <v>24</v>
      </c>
      <c r="H22" s="9">
        <f t="shared" si="0"/>
        <v>8.2799999999999994</v>
      </c>
      <c r="I22" s="9">
        <f t="shared" si="1"/>
        <v>11.429334758215333</v>
      </c>
      <c r="J22" s="9">
        <f t="shared" si="2"/>
        <v>0.9372054501736572</v>
      </c>
      <c r="K22" s="9">
        <f t="shared" si="3"/>
        <v>2.2121293080416766</v>
      </c>
      <c r="L22" s="9">
        <f t="shared" si="4"/>
        <v>8.2799999999999994</v>
      </c>
    </row>
    <row r="23" spans="1:12" ht="15.75" customHeight="1" x14ac:dyDescent="0.25">
      <c r="C23" s="9">
        <v>6.68</v>
      </c>
      <c r="D23" s="9">
        <v>0.9</v>
      </c>
      <c r="E23" s="9">
        <v>0.7</v>
      </c>
      <c r="F23" s="9">
        <v>8.1999999999999993</v>
      </c>
      <c r="G23" s="9">
        <v>24</v>
      </c>
      <c r="H23" s="9">
        <f t="shared" si="0"/>
        <v>8.2799999999999994</v>
      </c>
      <c r="I23" s="9">
        <f t="shared" si="1"/>
        <v>11.429334758215333</v>
      </c>
      <c r="J23" s="9">
        <f t="shared" si="2"/>
        <v>0.9372054501736572</v>
      </c>
      <c r="K23" s="9">
        <f t="shared" si="3"/>
        <v>2.2121293080416766</v>
      </c>
      <c r="L23" s="9">
        <f t="shared" si="4"/>
        <v>8.2799999999999994</v>
      </c>
    </row>
    <row r="24" spans="1:12" ht="15.75" customHeight="1" x14ac:dyDescent="0.25">
      <c r="C24" s="9">
        <v>6.68</v>
      </c>
      <c r="D24" s="9">
        <v>0.9</v>
      </c>
      <c r="E24" s="9">
        <v>0.7</v>
      </c>
      <c r="F24" s="9">
        <v>8.1999999999999993</v>
      </c>
      <c r="G24" s="9">
        <v>24</v>
      </c>
      <c r="H24" s="9">
        <f t="shared" si="0"/>
        <v>8.2799999999999994</v>
      </c>
      <c r="I24" s="9">
        <f t="shared" si="1"/>
        <v>11.429334758215333</v>
      </c>
      <c r="J24" s="9">
        <f t="shared" si="2"/>
        <v>0.9372054501736572</v>
      </c>
      <c r="K24" s="9">
        <f t="shared" si="3"/>
        <v>2.2121293080416766</v>
      </c>
      <c r="L24" s="9">
        <f t="shared" si="4"/>
        <v>8.2799999999999994</v>
      </c>
    </row>
    <row r="25" spans="1:12" ht="15.75" customHeight="1" x14ac:dyDescent="0.25">
      <c r="C25" s="9">
        <v>6.68</v>
      </c>
      <c r="D25" s="9">
        <v>0.9</v>
      </c>
      <c r="E25" s="9">
        <v>0.7</v>
      </c>
      <c r="F25" s="9">
        <v>8.1999999999999993</v>
      </c>
      <c r="G25" s="9">
        <v>24</v>
      </c>
      <c r="H25" s="9">
        <f t="shared" si="0"/>
        <v>8.2799999999999994</v>
      </c>
      <c r="I25" s="9">
        <f t="shared" si="1"/>
        <v>11.429334758215333</v>
      </c>
      <c r="J25" s="9">
        <f t="shared" si="2"/>
        <v>0.9372054501736572</v>
      </c>
      <c r="K25" s="9">
        <f t="shared" si="3"/>
        <v>2.2121293080416766</v>
      </c>
      <c r="L25" s="9">
        <f t="shared" si="4"/>
        <v>8.2799999999999994</v>
      </c>
    </row>
    <row r="26" spans="1:12" ht="15.75" customHeight="1" x14ac:dyDescent="0.25">
      <c r="C26" s="9">
        <v>6.68</v>
      </c>
      <c r="D26" s="9">
        <v>0.9</v>
      </c>
      <c r="E26" s="9">
        <v>0.7</v>
      </c>
      <c r="F26" s="9">
        <v>8.1999999999999993</v>
      </c>
      <c r="G26" s="9">
        <v>24</v>
      </c>
      <c r="H26" s="9">
        <f t="shared" si="0"/>
        <v>8.2799999999999994</v>
      </c>
      <c r="I26" s="9">
        <f t="shared" si="1"/>
        <v>11.429334758215333</v>
      </c>
      <c r="J26" s="9">
        <f t="shared" si="2"/>
        <v>0.9372054501736572</v>
      </c>
      <c r="K26" s="9">
        <f t="shared" si="3"/>
        <v>2.2121293080416766</v>
      </c>
      <c r="L26" s="9">
        <f t="shared" si="4"/>
        <v>8.2799999999999994</v>
      </c>
    </row>
    <row r="27" spans="1:12" ht="15.75" customHeight="1" x14ac:dyDescent="0.25">
      <c r="C27" s="9">
        <v>6.68</v>
      </c>
      <c r="D27" s="9">
        <v>0.9</v>
      </c>
      <c r="E27" s="9">
        <v>0.7</v>
      </c>
      <c r="F27" s="9">
        <v>8.1999999999999993</v>
      </c>
      <c r="G27" s="9">
        <v>24</v>
      </c>
      <c r="H27" s="9">
        <f t="shared" si="0"/>
        <v>8.2799999999999994</v>
      </c>
      <c r="I27" s="9">
        <f t="shared" si="1"/>
        <v>11.429334758215333</v>
      </c>
      <c r="J27" s="9">
        <f t="shared" si="2"/>
        <v>0.9372054501736572</v>
      </c>
      <c r="K27" s="9">
        <f t="shared" si="3"/>
        <v>2.2121293080416766</v>
      </c>
      <c r="L27" s="9">
        <f t="shared" si="4"/>
        <v>8.2799999999999994</v>
      </c>
    </row>
    <row r="28" spans="1:12" ht="15.75" customHeight="1" x14ac:dyDescent="0.25">
      <c r="C28" s="9">
        <v>6.68</v>
      </c>
      <c r="D28" s="9">
        <v>0.9</v>
      </c>
      <c r="E28" s="9">
        <v>0.7</v>
      </c>
      <c r="F28" s="9">
        <v>8.1999999999999993</v>
      </c>
      <c r="G28" s="9">
        <v>24</v>
      </c>
      <c r="H28" s="9">
        <f t="shared" si="0"/>
        <v>8.2799999999999994</v>
      </c>
      <c r="I28" s="9">
        <f t="shared" si="1"/>
        <v>11.429334758215333</v>
      </c>
      <c r="J28" s="9">
        <f t="shared" si="2"/>
        <v>0.9372054501736572</v>
      </c>
      <c r="K28" s="9">
        <f t="shared" si="3"/>
        <v>2.2121293080416766</v>
      </c>
      <c r="L28" s="9">
        <f t="shared" si="4"/>
        <v>8.2799999999999994</v>
      </c>
    </row>
    <row r="29" spans="1:12" ht="15.75" customHeight="1" x14ac:dyDescent="0.25">
      <c r="C29" s="9">
        <v>6.68</v>
      </c>
      <c r="D29" s="9">
        <v>0.9</v>
      </c>
      <c r="E29" s="9">
        <v>0.7</v>
      </c>
      <c r="F29" s="9">
        <v>8.1999999999999993</v>
      </c>
      <c r="G29" s="9">
        <v>24</v>
      </c>
      <c r="H29" s="9">
        <f t="shared" si="0"/>
        <v>8.2799999999999994</v>
      </c>
      <c r="I29" s="9">
        <f t="shared" si="1"/>
        <v>11.429334758215333</v>
      </c>
      <c r="J29" s="9">
        <f t="shared" si="2"/>
        <v>0.9372054501736572</v>
      </c>
      <c r="K29" s="9">
        <f t="shared" si="3"/>
        <v>2.2121293080416766</v>
      </c>
      <c r="L29" s="9">
        <f t="shared" si="4"/>
        <v>8.2799999999999994</v>
      </c>
    </row>
    <row r="30" spans="1:12" ht="15.75" customHeight="1" x14ac:dyDescent="0.25">
      <c r="C30" s="9">
        <v>6.68</v>
      </c>
      <c r="D30" s="9">
        <v>0.9</v>
      </c>
      <c r="E30" s="9">
        <v>0.7</v>
      </c>
      <c r="F30" s="9">
        <v>8.1999999999999993</v>
      </c>
      <c r="G30" s="9">
        <v>24</v>
      </c>
      <c r="H30" s="9">
        <f t="shared" si="0"/>
        <v>8.2799999999999994</v>
      </c>
      <c r="I30" s="9">
        <f t="shared" si="1"/>
        <v>11.429334758215333</v>
      </c>
      <c r="J30" s="9">
        <f t="shared" si="2"/>
        <v>0.9372054501736572</v>
      </c>
      <c r="K30" s="9">
        <f t="shared" si="3"/>
        <v>2.2121293080416766</v>
      </c>
      <c r="L30" s="9">
        <f t="shared" si="4"/>
        <v>8.2799999999999994</v>
      </c>
    </row>
    <row r="31" spans="1:12" ht="15.75" customHeight="1" x14ac:dyDescent="0.25">
      <c r="C31" s="9">
        <v>6.68</v>
      </c>
      <c r="D31" s="9">
        <v>0.9</v>
      </c>
      <c r="E31" s="9">
        <v>0.7</v>
      </c>
      <c r="F31" s="9">
        <v>8.1999999999999993</v>
      </c>
      <c r="G31" s="9">
        <v>24</v>
      </c>
      <c r="H31" s="9">
        <f t="shared" si="0"/>
        <v>8.2799999999999994</v>
      </c>
      <c r="I31" s="9">
        <f t="shared" si="1"/>
        <v>11.429334758215333</v>
      </c>
      <c r="J31" s="9">
        <f t="shared" si="2"/>
        <v>0.9372054501736572</v>
      </c>
      <c r="K31" s="9">
        <f t="shared" si="3"/>
        <v>2.2121293080416766</v>
      </c>
      <c r="L31" s="9">
        <f t="shared" si="4"/>
        <v>8.2799999999999994</v>
      </c>
    </row>
    <row r="32" spans="1:12" ht="15.75" customHeight="1" x14ac:dyDescent="0.25">
      <c r="C32" s="9">
        <v>6.68</v>
      </c>
      <c r="D32" s="9">
        <v>0.9</v>
      </c>
      <c r="E32" s="9">
        <v>0.7</v>
      </c>
      <c r="F32" s="9">
        <v>8.1999999999999993</v>
      </c>
      <c r="G32" s="9">
        <v>24</v>
      </c>
      <c r="H32" s="9">
        <f t="shared" si="0"/>
        <v>8.2799999999999994</v>
      </c>
      <c r="I32" s="9">
        <f t="shared" si="1"/>
        <v>11.429334758215333</v>
      </c>
      <c r="J32" s="9">
        <f t="shared" si="2"/>
        <v>0.9372054501736572</v>
      </c>
      <c r="K32" s="9">
        <f t="shared" si="3"/>
        <v>2.2121293080416766</v>
      </c>
      <c r="L32" s="9">
        <f t="shared" si="4"/>
        <v>8.2799999999999994</v>
      </c>
    </row>
    <row r="33" spans="3:12" ht="15.75" customHeight="1" x14ac:dyDescent="0.25">
      <c r="C33" s="9">
        <v>6.68</v>
      </c>
      <c r="D33" s="9">
        <v>0.9</v>
      </c>
      <c r="E33" s="9">
        <v>0.7</v>
      </c>
      <c r="F33" s="9">
        <v>8.1999999999999993</v>
      </c>
      <c r="G33" s="9">
        <v>24</v>
      </c>
      <c r="H33" s="9">
        <f t="shared" si="0"/>
        <v>8.2799999999999994</v>
      </c>
      <c r="I33" s="9">
        <f t="shared" si="1"/>
        <v>11.429334758215333</v>
      </c>
      <c r="J33" s="9">
        <f t="shared" si="2"/>
        <v>0.9372054501736572</v>
      </c>
      <c r="K33" s="9">
        <f t="shared" si="3"/>
        <v>2.2121293080416766</v>
      </c>
      <c r="L33" s="9">
        <f t="shared" si="4"/>
        <v>8.2799999999999994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2:L21"/>
  <sheetViews>
    <sheetView workbookViewId="0"/>
  </sheetViews>
  <sheetFormatPr defaultColWidth="12.5703125" defaultRowHeight="15.75" customHeight="1" x14ac:dyDescent="0.2"/>
  <cols>
    <col min="1" max="1" width="23.140625" customWidth="1"/>
    <col min="2" max="2" width="14.140625" customWidth="1"/>
    <col min="5" max="5" width="7.42578125" customWidth="1"/>
  </cols>
  <sheetData>
    <row r="2" spans="1:12" x14ac:dyDescent="0.2">
      <c r="A2" s="6" t="s">
        <v>1110</v>
      </c>
      <c r="B2" s="6" t="s">
        <v>1111</v>
      </c>
      <c r="C2" s="12">
        <v>8.61</v>
      </c>
      <c r="D2" s="12">
        <v>0.9</v>
      </c>
      <c r="E2" s="12">
        <f t="shared" ref="E2:E21" si="0">SUM(C2)+D2</f>
        <v>9.51</v>
      </c>
      <c r="F2" s="12">
        <v>1.24</v>
      </c>
      <c r="G2" s="12">
        <f t="shared" ref="G2:G21" si="1">SUM(E2)*F2</f>
        <v>11.792399999999999</v>
      </c>
      <c r="H2" s="12">
        <v>1.1214999999999999</v>
      </c>
      <c r="I2" s="12">
        <f t="shared" ref="I2:I21" si="2">SUM(G2)*H2</f>
        <v>13.225176599999998</v>
      </c>
      <c r="J2" s="12">
        <v>0.74</v>
      </c>
      <c r="K2" s="12">
        <f t="shared" ref="K2:K21" si="3">SUM(I2)+J2</f>
        <v>13.965176599999998</v>
      </c>
      <c r="L2" s="12">
        <v>14.44</v>
      </c>
    </row>
    <row r="3" spans="1:12" x14ac:dyDescent="0.2">
      <c r="A3" s="6" t="s">
        <v>1112</v>
      </c>
      <c r="B3" s="6" t="s">
        <v>1113</v>
      </c>
      <c r="C3" s="12">
        <v>12.13</v>
      </c>
      <c r="D3" s="12">
        <v>0.9</v>
      </c>
      <c r="E3" s="12">
        <f t="shared" si="0"/>
        <v>13.030000000000001</v>
      </c>
      <c r="F3" s="12">
        <v>1.24</v>
      </c>
      <c r="G3" s="12">
        <f t="shared" si="1"/>
        <v>16.1572</v>
      </c>
      <c r="H3" s="12">
        <v>1.1214999999999999</v>
      </c>
      <c r="I3" s="12">
        <f t="shared" si="2"/>
        <v>18.120299799999998</v>
      </c>
      <c r="J3" s="12">
        <v>0.74</v>
      </c>
      <c r="K3" s="12">
        <f t="shared" si="3"/>
        <v>18.860299799999996</v>
      </c>
      <c r="L3" s="12">
        <v>19.350000000000001</v>
      </c>
    </row>
    <row r="4" spans="1:12" x14ac:dyDescent="0.2">
      <c r="A4" s="6" t="s">
        <v>1114</v>
      </c>
      <c r="B4" s="6" t="s">
        <v>1115</v>
      </c>
      <c r="C4" s="12">
        <v>9.1999999999999993</v>
      </c>
      <c r="D4" s="12">
        <v>0.9</v>
      </c>
      <c r="E4" s="12">
        <f t="shared" si="0"/>
        <v>10.1</v>
      </c>
      <c r="F4" s="12">
        <v>1.24</v>
      </c>
      <c r="G4" s="12">
        <f t="shared" si="1"/>
        <v>12.523999999999999</v>
      </c>
      <c r="H4" s="12">
        <v>1.1214999999999999</v>
      </c>
      <c r="I4" s="12">
        <f t="shared" si="2"/>
        <v>14.045665999999999</v>
      </c>
      <c r="J4" s="12">
        <v>0.73999999999999899</v>
      </c>
      <c r="K4" s="12">
        <f t="shared" si="3"/>
        <v>14.785665999999997</v>
      </c>
      <c r="L4" s="12">
        <v>15.03</v>
      </c>
    </row>
    <row r="5" spans="1:12" x14ac:dyDescent="0.2">
      <c r="A5" s="6" t="s">
        <v>1116</v>
      </c>
      <c r="B5" s="6" t="s">
        <v>1117</v>
      </c>
      <c r="C5" s="12">
        <v>7.77</v>
      </c>
      <c r="D5" s="12">
        <v>0.9</v>
      </c>
      <c r="E5" s="12">
        <f t="shared" si="0"/>
        <v>8.67</v>
      </c>
      <c r="F5" s="12">
        <v>1.24</v>
      </c>
      <c r="G5" s="12">
        <f t="shared" si="1"/>
        <v>10.7508</v>
      </c>
      <c r="H5" s="12">
        <v>1.1214999999999999</v>
      </c>
      <c r="I5" s="12">
        <f t="shared" si="2"/>
        <v>12.057022199999999</v>
      </c>
      <c r="J5" s="12">
        <v>0.73999999999999899</v>
      </c>
      <c r="K5" s="12">
        <f t="shared" si="3"/>
        <v>12.797022199999997</v>
      </c>
      <c r="L5" s="12">
        <v>13</v>
      </c>
    </row>
    <row r="6" spans="1:12" x14ac:dyDescent="0.2">
      <c r="A6" s="6" t="s">
        <v>1118</v>
      </c>
      <c r="B6" s="6" t="s">
        <v>1119</v>
      </c>
      <c r="C6" s="12">
        <v>8.9600000000000009</v>
      </c>
      <c r="D6" s="12">
        <v>0.9</v>
      </c>
      <c r="E6" s="12">
        <f t="shared" si="0"/>
        <v>9.8600000000000012</v>
      </c>
      <c r="F6" s="12">
        <v>1.24</v>
      </c>
      <c r="G6" s="12">
        <f t="shared" si="1"/>
        <v>12.226400000000002</v>
      </c>
      <c r="H6" s="12">
        <v>1.1214999999999999</v>
      </c>
      <c r="I6" s="12">
        <f t="shared" si="2"/>
        <v>13.711907600000002</v>
      </c>
      <c r="J6" s="12">
        <v>0.73999999999999899</v>
      </c>
      <c r="K6" s="12">
        <f t="shared" si="3"/>
        <v>14.4519076</v>
      </c>
      <c r="L6" s="12">
        <v>14.84</v>
      </c>
    </row>
    <row r="7" spans="1:12" x14ac:dyDescent="0.2">
      <c r="A7" s="6" t="s">
        <v>1120</v>
      </c>
      <c r="B7" s="6" t="s">
        <v>1121</v>
      </c>
      <c r="C7" s="12">
        <v>12.06</v>
      </c>
      <c r="D7" s="12">
        <v>0.9</v>
      </c>
      <c r="E7" s="12">
        <f t="shared" si="0"/>
        <v>12.96</v>
      </c>
      <c r="F7" s="12">
        <v>1.24</v>
      </c>
      <c r="G7" s="12">
        <f t="shared" si="1"/>
        <v>16.070399999999999</v>
      </c>
      <c r="H7" s="12">
        <v>1.1214999999999999</v>
      </c>
      <c r="I7" s="12">
        <f t="shared" si="2"/>
        <v>18.022953599999997</v>
      </c>
      <c r="J7" s="12">
        <v>0.73999999999999899</v>
      </c>
      <c r="K7" s="12">
        <f t="shared" si="3"/>
        <v>18.762953599999996</v>
      </c>
      <c r="L7" s="12">
        <v>19.09</v>
      </c>
    </row>
    <row r="8" spans="1:12" x14ac:dyDescent="0.2">
      <c r="A8" s="12" t="s">
        <v>1122</v>
      </c>
      <c r="B8" s="12">
        <v>5200414000008</v>
      </c>
      <c r="C8" s="12">
        <v>14.46</v>
      </c>
      <c r="D8" s="12">
        <v>0.9</v>
      </c>
      <c r="E8" s="12">
        <f t="shared" si="0"/>
        <v>15.360000000000001</v>
      </c>
      <c r="F8" s="12">
        <v>1.24</v>
      </c>
      <c r="G8" s="12">
        <f t="shared" si="1"/>
        <v>19.046400000000002</v>
      </c>
      <c r="H8" s="12">
        <v>1.1214999999999999</v>
      </c>
      <c r="I8" s="12">
        <f t="shared" si="2"/>
        <v>21.360537600000001</v>
      </c>
      <c r="J8" s="12">
        <v>0.74</v>
      </c>
      <c r="K8" s="12">
        <f t="shared" si="3"/>
        <v>22.100537599999999</v>
      </c>
      <c r="L8" s="12">
        <v>22.72</v>
      </c>
    </row>
    <row r="9" spans="1:12" x14ac:dyDescent="0.2">
      <c r="A9" s="12" t="s">
        <v>1123</v>
      </c>
      <c r="B9" s="12">
        <v>5200414000138</v>
      </c>
      <c r="C9" s="12">
        <v>16.02</v>
      </c>
      <c r="D9" s="12">
        <v>0.9</v>
      </c>
      <c r="E9" s="12">
        <f t="shared" si="0"/>
        <v>16.919999999999998</v>
      </c>
      <c r="F9" s="12">
        <v>1.24</v>
      </c>
      <c r="G9" s="12">
        <f t="shared" si="1"/>
        <v>20.980799999999999</v>
      </c>
      <c r="H9" s="12">
        <v>1.1214999999999999</v>
      </c>
      <c r="I9" s="12">
        <f t="shared" si="2"/>
        <v>23.529967199999998</v>
      </c>
      <c r="J9" s="12">
        <v>0.74</v>
      </c>
      <c r="K9" s="12">
        <f t="shared" si="3"/>
        <v>24.269967199999996</v>
      </c>
      <c r="L9" s="12">
        <v>25.3</v>
      </c>
    </row>
    <row r="10" spans="1:12" x14ac:dyDescent="0.2">
      <c r="A10" s="6" t="s">
        <v>1124</v>
      </c>
      <c r="B10" s="6" t="s">
        <v>1125</v>
      </c>
      <c r="C10" s="12">
        <v>16.2</v>
      </c>
      <c r="D10" s="12">
        <v>0.9</v>
      </c>
      <c r="E10" s="12">
        <f t="shared" si="0"/>
        <v>17.099999999999998</v>
      </c>
      <c r="F10" s="12">
        <v>1.24</v>
      </c>
      <c r="G10" s="12">
        <f t="shared" si="1"/>
        <v>21.203999999999997</v>
      </c>
      <c r="H10" s="12">
        <v>1.1214999999999999</v>
      </c>
      <c r="I10" s="12">
        <f t="shared" si="2"/>
        <v>23.780285999999997</v>
      </c>
      <c r="J10" s="12">
        <v>1.42</v>
      </c>
      <c r="K10" s="12">
        <f t="shared" si="3"/>
        <v>25.200285999999998</v>
      </c>
      <c r="L10" s="12">
        <v>25.5</v>
      </c>
    </row>
    <row r="11" spans="1:12" x14ac:dyDescent="0.2">
      <c r="A11" s="6" t="s">
        <v>1126</v>
      </c>
      <c r="B11" s="6" t="s">
        <v>1127</v>
      </c>
      <c r="C11" s="12">
        <v>7.63</v>
      </c>
      <c r="D11" s="12">
        <v>0.9</v>
      </c>
      <c r="E11" s="12">
        <f t="shared" si="0"/>
        <v>8.5299999999999994</v>
      </c>
      <c r="F11" s="12">
        <v>1.24</v>
      </c>
      <c r="G11" s="12">
        <f t="shared" si="1"/>
        <v>10.577199999999999</v>
      </c>
      <c r="H11" s="12">
        <v>1.1214999999999999</v>
      </c>
      <c r="I11" s="12">
        <f t="shared" si="2"/>
        <v>11.862329799999999</v>
      </c>
      <c r="J11" s="12">
        <v>0.73999999999999899</v>
      </c>
      <c r="K11" s="12">
        <f t="shared" si="3"/>
        <v>12.602329799999998</v>
      </c>
    </row>
    <row r="12" spans="1:12" x14ac:dyDescent="0.2">
      <c r="A12" s="12" t="s">
        <v>1128</v>
      </c>
      <c r="B12" s="12">
        <v>5200414000176</v>
      </c>
      <c r="C12" s="12">
        <v>4.82</v>
      </c>
      <c r="D12" s="12">
        <v>0.6</v>
      </c>
      <c r="E12" s="12">
        <f t="shared" si="0"/>
        <v>5.42</v>
      </c>
      <c r="F12" s="12">
        <v>1.24</v>
      </c>
      <c r="G12" s="12">
        <f t="shared" si="1"/>
        <v>6.7207999999999997</v>
      </c>
      <c r="H12" s="12">
        <v>1.1214999999999999</v>
      </c>
      <c r="I12" s="12">
        <f t="shared" si="2"/>
        <v>7.537377199999999</v>
      </c>
      <c r="J12" s="12">
        <v>0.45</v>
      </c>
      <c r="K12" s="12">
        <f t="shared" si="3"/>
        <v>7.9873771999999992</v>
      </c>
    </row>
    <row r="13" spans="1:12" x14ac:dyDescent="0.2">
      <c r="C13" s="12">
        <v>0</v>
      </c>
      <c r="D13" s="12">
        <v>0.9</v>
      </c>
      <c r="E13" s="12">
        <f t="shared" si="0"/>
        <v>0.9</v>
      </c>
      <c r="F13" s="12">
        <v>1.24</v>
      </c>
      <c r="G13" s="12">
        <f t="shared" si="1"/>
        <v>1.1160000000000001</v>
      </c>
      <c r="H13" s="12">
        <v>1.1214999999999999</v>
      </c>
      <c r="I13" s="12">
        <f t="shared" si="2"/>
        <v>1.2515940000000001</v>
      </c>
      <c r="J13" s="12">
        <v>0.73999999999999899</v>
      </c>
      <c r="K13" s="12">
        <f t="shared" si="3"/>
        <v>1.9915939999999992</v>
      </c>
    </row>
    <row r="14" spans="1:12" x14ac:dyDescent="0.2">
      <c r="C14" s="12">
        <v>0</v>
      </c>
      <c r="D14" s="12">
        <v>0.9</v>
      </c>
      <c r="E14" s="12">
        <f t="shared" si="0"/>
        <v>0.9</v>
      </c>
      <c r="F14" s="12">
        <v>1.24</v>
      </c>
      <c r="G14" s="12">
        <f t="shared" si="1"/>
        <v>1.1160000000000001</v>
      </c>
      <c r="H14" s="12">
        <v>1.1214999999999999</v>
      </c>
      <c r="I14" s="12">
        <f t="shared" si="2"/>
        <v>1.2515940000000001</v>
      </c>
      <c r="J14" s="12">
        <v>0.73999999999999899</v>
      </c>
      <c r="K14" s="12">
        <f t="shared" si="3"/>
        <v>1.9915939999999992</v>
      </c>
    </row>
    <row r="15" spans="1:12" x14ac:dyDescent="0.2">
      <c r="C15" s="12">
        <v>0</v>
      </c>
      <c r="D15" s="12">
        <v>0.9</v>
      </c>
      <c r="E15" s="12">
        <f t="shared" si="0"/>
        <v>0.9</v>
      </c>
      <c r="F15" s="12">
        <v>1.24</v>
      </c>
      <c r="G15" s="12">
        <f t="shared" si="1"/>
        <v>1.1160000000000001</v>
      </c>
      <c r="H15" s="12">
        <v>1.1214999999999999</v>
      </c>
      <c r="I15" s="12">
        <f t="shared" si="2"/>
        <v>1.2515940000000001</v>
      </c>
      <c r="J15" s="12">
        <v>0.73999999999999899</v>
      </c>
      <c r="K15" s="12">
        <f t="shared" si="3"/>
        <v>1.9915939999999992</v>
      </c>
    </row>
    <row r="16" spans="1:12" x14ac:dyDescent="0.2">
      <c r="C16" s="12">
        <v>0</v>
      </c>
      <c r="D16" s="12">
        <v>0.9</v>
      </c>
      <c r="E16" s="12">
        <f t="shared" si="0"/>
        <v>0.9</v>
      </c>
      <c r="F16" s="12">
        <v>1.24</v>
      </c>
      <c r="G16" s="12">
        <f t="shared" si="1"/>
        <v>1.1160000000000001</v>
      </c>
      <c r="H16" s="12">
        <v>1.1214999999999999</v>
      </c>
      <c r="I16" s="12">
        <f t="shared" si="2"/>
        <v>1.2515940000000001</v>
      </c>
      <c r="J16" s="12">
        <v>0.73999999999999899</v>
      </c>
      <c r="K16" s="12">
        <f t="shared" si="3"/>
        <v>1.9915939999999992</v>
      </c>
    </row>
    <row r="17" spans="3:11" x14ac:dyDescent="0.2">
      <c r="C17" s="12">
        <v>0</v>
      </c>
      <c r="D17" s="12">
        <v>0.9</v>
      </c>
      <c r="E17" s="12">
        <f t="shared" si="0"/>
        <v>0.9</v>
      </c>
      <c r="F17" s="12">
        <v>1.24</v>
      </c>
      <c r="G17" s="12">
        <f t="shared" si="1"/>
        <v>1.1160000000000001</v>
      </c>
      <c r="H17" s="12">
        <v>1.1214999999999999</v>
      </c>
      <c r="I17" s="12">
        <f t="shared" si="2"/>
        <v>1.2515940000000001</v>
      </c>
      <c r="J17" s="12">
        <v>0.73999999999999899</v>
      </c>
      <c r="K17" s="12">
        <f t="shared" si="3"/>
        <v>1.9915939999999992</v>
      </c>
    </row>
    <row r="18" spans="3:11" x14ac:dyDescent="0.2">
      <c r="C18" s="12">
        <v>0</v>
      </c>
      <c r="D18" s="12">
        <v>0.9</v>
      </c>
      <c r="E18" s="12">
        <f t="shared" si="0"/>
        <v>0.9</v>
      </c>
      <c r="F18" s="12">
        <v>1.24</v>
      </c>
      <c r="G18" s="12">
        <f t="shared" si="1"/>
        <v>1.1160000000000001</v>
      </c>
      <c r="H18" s="12">
        <v>1.1214999999999999</v>
      </c>
      <c r="I18" s="12">
        <f t="shared" si="2"/>
        <v>1.2515940000000001</v>
      </c>
      <c r="J18" s="12">
        <v>0.73999999999999899</v>
      </c>
      <c r="K18" s="12">
        <f t="shared" si="3"/>
        <v>1.9915939999999992</v>
      </c>
    </row>
    <row r="19" spans="3:11" x14ac:dyDescent="0.2">
      <c r="C19" s="12">
        <v>0</v>
      </c>
      <c r="D19" s="12">
        <v>0.9</v>
      </c>
      <c r="E19" s="12">
        <f t="shared" si="0"/>
        <v>0.9</v>
      </c>
      <c r="F19" s="12">
        <v>1.24</v>
      </c>
      <c r="G19" s="12">
        <f t="shared" si="1"/>
        <v>1.1160000000000001</v>
      </c>
      <c r="H19" s="12">
        <v>1.1214999999999999</v>
      </c>
      <c r="I19" s="12">
        <f t="shared" si="2"/>
        <v>1.2515940000000001</v>
      </c>
      <c r="J19" s="12">
        <v>0.73999999999999899</v>
      </c>
      <c r="K19" s="12">
        <f t="shared" si="3"/>
        <v>1.9915939999999992</v>
      </c>
    </row>
    <row r="20" spans="3:11" x14ac:dyDescent="0.2">
      <c r="C20" s="12">
        <v>0</v>
      </c>
      <c r="D20" s="12">
        <v>0.9</v>
      </c>
      <c r="E20" s="12">
        <f t="shared" si="0"/>
        <v>0.9</v>
      </c>
      <c r="F20" s="12">
        <v>1.24</v>
      </c>
      <c r="G20" s="12">
        <f t="shared" si="1"/>
        <v>1.1160000000000001</v>
      </c>
      <c r="H20" s="12">
        <v>1.1214999999999999</v>
      </c>
      <c r="I20" s="12">
        <f t="shared" si="2"/>
        <v>1.2515940000000001</v>
      </c>
      <c r="J20" s="12">
        <v>0.73999999999999899</v>
      </c>
      <c r="K20" s="12">
        <f t="shared" si="3"/>
        <v>1.9915939999999992</v>
      </c>
    </row>
    <row r="21" spans="3:11" x14ac:dyDescent="0.2">
      <c r="C21" s="12">
        <v>0</v>
      </c>
      <c r="D21" s="12">
        <v>0.9</v>
      </c>
      <c r="E21" s="12">
        <f t="shared" si="0"/>
        <v>0.9</v>
      </c>
      <c r="F21" s="12">
        <v>1.24</v>
      </c>
      <c r="G21" s="12">
        <f t="shared" si="1"/>
        <v>1.1160000000000001</v>
      </c>
      <c r="H21" s="12">
        <v>1.1214999999999999</v>
      </c>
      <c r="I21" s="12">
        <f t="shared" si="2"/>
        <v>1.2515940000000001</v>
      </c>
      <c r="J21" s="12">
        <v>0.73999999999999899</v>
      </c>
      <c r="K21" s="12">
        <f t="shared" si="3"/>
        <v>1.9915939999999992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AC112"/>
  <sheetViews>
    <sheetView workbookViewId="0"/>
  </sheetViews>
  <sheetFormatPr defaultColWidth="12.5703125" defaultRowHeight="15.75" customHeight="1" x14ac:dyDescent="0.2"/>
  <cols>
    <col min="1" max="1" width="20.42578125" customWidth="1"/>
    <col min="2" max="2" width="14" customWidth="1"/>
  </cols>
  <sheetData>
    <row r="1" spans="1:29" ht="17.25" customHeight="1" x14ac:dyDescent="0.2">
      <c r="A1" s="12" t="s">
        <v>1129</v>
      </c>
      <c r="B1" s="20"/>
      <c r="C1" s="12" t="s">
        <v>542</v>
      </c>
      <c r="D1" s="12"/>
      <c r="E1" s="12" t="s">
        <v>497</v>
      </c>
      <c r="F1" s="12" t="s">
        <v>498</v>
      </c>
      <c r="G1" s="12" t="s">
        <v>497</v>
      </c>
      <c r="H1" s="12" t="s">
        <v>499</v>
      </c>
      <c r="I1" s="12" t="s">
        <v>497</v>
      </c>
      <c r="J1" s="12" t="s">
        <v>500</v>
      </c>
      <c r="K1" s="12" t="s">
        <v>497</v>
      </c>
    </row>
    <row r="2" spans="1:29" ht="14.25" x14ac:dyDescent="0.2">
      <c r="A2" s="13" t="s">
        <v>1130</v>
      </c>
      <c r="B2" s="14">
        <v>5205152018155</v>
      </c>
      <c r="C2" s="15">
        <v>5.46</v>
      </c>
      <c r="D2" s="15">
        <v>0.1</v>
      </c>
      <c r="E2" s="15">
        <f t="shared" ref="E2:E107" si="0">SUM(C2)+D2</f>
        <v>5.56</v>
      </c>
      <c r="F2" s="15">
        <v>1.24</v>
      </c>
      <c r="G2" s="15">
        <f t="shared" ref="G2:G107" si="1">SUM(E2)*F2</f>
        <v>6.8943999999999992</v>
      </c>
      <c r="H2" s="15">
        <v>1.1214999999999999</v>
      </c>
      <c r="I2" s="15">
        <f t="shared" ref="I2:I107" si="2">SUM(G2)*H2</f>
        <v>7.7320695999999991</v>
      </c>
      <c r="J2" s="15">
        <v>0.42</v>
      </c>
      <c r="K2" s="15">
        <f t="shared" ref="K2:K107" si="3">SUM(I2)+J2</f>
        <v>8.152069599999999</v>
      </c>
      <c r="L2" s="15"/>
      <c r="M2" s="15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1:29" ht="14.25" x14ac:dyDescent="0.2">
      <c r="A3" s="13" t="s">
        <v>1131</v>
      </c>
      <c r="B3" s="14">
        <v>5205152018162</v>
      </c>
      <c r="C3" s="15">
        <v>6.23</v>
      </c>
      <c r="D3" s="15">
        <v>0.9</v>
      </c>
      <c r="E3" s="15">
        <f t="shared" si="0"/>
        <v>7.1300000000000008</v>
      </c>
      <c r="F3" s="15">
        <v>1.24</v>
      </c>
      <c r="G3" s="15">
        <f t="shared" si="1"/>
        <v>8.8412000000000006</v>
      </c>
      <c r="H3" s="15">
        <v>1.1214999999999999</v>
      </c>
      <c r="I3" s="15">
        <f t="shared" si="2"/>
        <v>9.9154058000000003</v>
      </c>
      <c r="J3" s="15">
        <v>0.74</v>
      </c>
      <c r="K3" s="15">
        <f t="shared" si="3"/>
        <v>10.6554058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29" ht="14.25" x14ac:dyDescent="0.2">
      <c r="A4" s="13" t="s">
        <v>1132</v>
      </c>
      <c r="B4" s="14">
        <v>5205152018179</v>
      </c>
      <c r="C4" s="15">
        <v>5.39</v>
      </c>
      <c r="D4" s="15">
        <v>0.9</v>
      </c>
      <c r="E4" s="15">
        <f t="shared" si="0"/>
        <v>6.29</v>
      </c>
      <c r="F4" s="15">
        <v>1.24</v>
      </c>
      <c r="G4" s="15">
        <f t="shared" si="1"/>
        <v>7.7995999999999999</v>
      </c>
      <c r="H4" s="15">
        <v>1.1214999999999999</v>
      </c>
      <c r="I4" s="15">
        <f t="shared" si="2"/>
        <v>8.7472513999999997</v>
      </c>
      <c r="J4" s="15">
        <v>0.74</v>
      </c>
      <c r="K4" s="15">
        <f t="shared" si="3"/>
        <v>9.4872513999999999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29" ht="14.25" x14ac:dyDescent="0.2">
      <c r="A5" s="13" t="s">
        <v>1133</v>
      </c>
      <c r="B5" s="14">
        <v>5205152005711</v>
      </c>
      <c r="C5" s="15">
        <v>6.5</v>
      </c>
      <c r="D5" s="15">
        <v>0.9</v>
      </c>
      <c r="E5" s="15">
        <f t="shared" si="0"/>
        <v>7.4</v>
      </c>
      <c r="F5" s="15">
        <v>1.24</v>
      </c>
      <c r="G5" s="15">
        <f t="shared" si="1"/>
        <v>9.1760000000000002</v>
      </c>
      <c r="H5" s="15">
        <v>1.1214999999999999</v>
      </c>
      <c r="I5" s="15">
        <f t="shared" si="2"/>
        <v>10.290884</v>
      </c>
      <c r="J5" s="15">
        <v>0.74</v>
      </c>
      <c r="K5" s="15">
        <f t="shared" si="3"/>
        <v>11.030884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1:29" ht="14.25" x14ac:dyDescent="0.2">
      <c r="A6" s="13" t="s">
        <v>1134</v>
      </c>
      <c r="B6" s="14">
        <v>5205152001089</v>
      </c>
      <c r="C6" s="15">
        <v>4.3899999999999997</v>
      </c>
      <c r="D6" s="15">
        <v>0.9</v>
      </c>
      <c r="E6" s="15">
        <f t="shared" si="0"/>
        <v>5.29</v>
      </c>
      <c r="F6" s="15">
        <v>1.24</v>
      </c>
      <c r="G6" s="15">
        <f t="shared" si="1"/>
        <v>6.5595999999999997</v>
      </c>
      <c r="H6" s="15">
        <v>1.1214999999999999</v>
      </c>
      <c r="I6" s="15">
        <f t="shared" si="2"/>
        <v>7.3565913999999992</v>
      </c>
      <c r="J6" s="15">
        <v>0.74</v>
      </c>
      <c r="K6" s="15">
        <f t="shared" si="3"/>
        <v>8.0965913999999994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spans="1:29" ht="14.25" x14ac:dyDescent="0.2">
      <c r="A7" s="13" t="s">
        <v>1135</v>
      </c>
      <c r="B7" s="14">
        <v>5205152017868</v>
      </c>
      <c r="C7" s="15">
        <v>5.2</v>
      </c>
      <c r="D7" s="15">
        <v>0.9</v>
      </c>
      <c r="E7" s="15">
        <f t="shared" si="0"/>
        <v>6.1000000000000005</v>
      </c>
      <c r="F7" s="15">
        <v>1.24</v>
      </c>
      <c r="G7" s="15">
        <f t="shared" si="1"/>
        <v>7.5640000000000009</v>
      </c>
      <c r="H7" s="15">
        <v>1.1214999999999999</v>
      </c>
      <c r="I7" s="15">
        <f t="shared" si="2"/>
        <v>8.4830260000000006</v>
      </c>
      <c r="J7" s="15">
        <v>1.49</v>
      </c>
      <c r="K7" s="15">
        <f t="shared" si="3"/>
        <v>9.9730260000000008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29" ht="14.25" x14ac:dyDescent="0.2">
      <c r="A8" s="13" t="s">
        <v>1136</v>
      </c>
      <c r="B8" s="14">
        <v>5205152015154</v>
      </c>
      <c r="C8" s="15">
        <v>3.84</v>
      </c>
      <c r="D8" s="15">
        <v>0.9</v>
      </c>
      <c r="E8" s="15">
        <f t="shared" si="0"/>
        <v>4.74</v>
      </c>
      <c r="F8" s="15">
        <v>1.24</v>
      </c>
      <c r="G8" s="15">
        <f t="shared" si="1"/>
        <v>5.8776000000000002</v>
      </c>
      <c r="H8" s="15">
        <v>1.1214999999999999</v>
      </c>
      <c r="I8" s="15">
        <f t="shared" si="2"/>
        <v>6.5917284</v>
      </c>
      <c r="J8" s="15">
        <v>0.25</v>
      </c>
      <c r="K8" s="15">
        <f t="shared" si="3"/>
        <v>6.8417284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29" ht="14.25" x14ac:dyDescent="0.2">
      <c r="A9" s="13" t="s">
        <v>1137</v>
      </c>
      <c r="B9" s="14">
        <v>5205152012535</v>
      </c>
      <c r="C9" s="15">
        <v>8.6199999999999992</v>
      </c>
      <c r="D9" s="15">
        <v>0.9</v>
      </c>
      <c r="E9" s="15">
        <f t="shared" si="0"/>
        <v>9.52</v>
      </c>
      <c r="F9" s="15">
        <v>1.24</v>
      </c>
      <c r="G9" s="15">
        <f t="shared" si="1"/>
        <v>11.8048</v>
      </c>
      <c r="H9" s="15">
        <v>1.1214999999999999</v>
      </c>
      <c r="I9" s="15">
        <f t="shared" si="2"/>
        <v>13.2390832</v>
      </c>
      <c r="J9" s="15">
        <v>0.74</v>
      </c>
      <c r="K9" s="15">
        <f t="shared" si="3"/>
        <v>13.9790832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29" ht="14.25" x14ac:dyDescent="0.2">
      <c r="A10" s="13" t="s">
        <v>1138</v>
      </c>
      <c r="B10" s="14">
        <v>5205152018070</v>
      </c>
      <c r="C10" s="15">
        <v>3.63</v>
      </c>
      <c r="D10" s="15">
        <v>0.9</v>
      </c>
      <c r="E10" s="15">
        <f t="shared" si="0"/>
        <v>4.53</v>
      </c>
      <c r="F10" s="15">
        <v>1.24</v>
      </c>
      <c r="G10" s="15">
        <f t="shared" si="1"/>
        <v>5.6172000000000004</v>
      </c>
      <c r="H10" s="15">
        <v>1.1214999999999999</v>
      </c>
      <c r="I10" s="15">
        <f t="shared" si="2"/>
        <v>6.2996898000000003</v>
      </c>
      <c r="J10" s="15">
        <v>0.25</v>
      </c>
      <c r="K10" s="15">
        <f t="shared" si="3"/>
        <v>6.5496898000000003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spans="1:29" ht="14.25" x14ac:dyDescent="0.2">
      <c r="A11" s="13" t="s">
        <v>1139</v>
      </c>
      <c r="B11" s="14">
        <v>5205152009573</v>
      </c>
      <c r="C11" s="15">
        <v>4.59</v>
      </c>
      <c r="D11" s="15">
        <v>0.9</v>
      </c>
      <c r="E11" s="15">
        <f t="shared" si="0"/>
        <v>5.49</v>
      </c>
      <c r="F11" s="15">
        <v>1.24</v>
      </c>
      <c r="G11" s="15">
        <f t="shared" si="1"/>
        <v>6.8075999999999999</v>
      </c>
      <c r="H11" s="15">
        <v>1.1214999999999999</v>
      </c>
      <c r="I11" s="15">
        <f t="shared" si="2"/>
        <v>7.6347233999999995</v>
      </c>
      <c r="J11" s="15">
        <v>0.74</v>
      </c>
      <c r="K11" s="15">
        <f t="shared" si="3"/>
        <v>8.3747233999999988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29" ht="14.25" x14ac:dyDescent="0.2">
      <c r="A12" s="13" t="s">
        <v>1140</v>
      </c>
      <c r="B12" s="14">
        <v>5205152012399</v>
      </c>
      <c r="C12" s="15">
        <v>4.7</v>
      </c>
      <c r="D12" s="15">
        <v>0.9</v>
      </c>
      <c r="E12" s="15">
        <f t="shared" si="0"/>
        <v>5.6000000000000005</v>
      </c>
      <c r="F12" s="15">
        <v>1.24</v>
      </c>
      <c r="G12" s="15">
        <f t="shared" si="1"/>
        <v>6.9440000000000008</v>
      </c>
      <c r="H12" s="15">
        <v>1.1214999999999999</v>
      </c>
      <c r="I12" s="15">
        <f t="shared" si="2"/>
        <v>7.7876960000000004</v>
      </c>
      <c r="J12" s="15">
        <v>1.49</v>
      </c>
      <c r="K12" s="15">
        <f t="shared" si="3"/>
        <v>9.2776960000000006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29" ht="14.25" x14ac:dyDescent="0.2">
      <c r="A13" s="13" t="s">
        <v>1141</v>
      </c>
      <c r="B13" s="14">
        <v>5205152014188</v>
      </c>
      <c r="C13" s="15">
        <v>2.83</v>
      </c>
      <c r="D13" s="15">
        <v>0.5</v>
      </c>
      <c r="E13" s="15">
        <f t="shared" si="0"/>
        <v>3.33</v>
      </c>
      <c r="F13" s="15">
        <v>1.24</v>
      </c>
      <c r="G13" s="15">
        <f t="shared" si="1"/>
        <v>4.1292</v>
      </c>
      <c r="H13" s="15">
        <v>1.1214999999999999</v>
      </c>
      <c r="I13" s="15">
        <f t="shared" si="2"/>
        <v>4.6308977999999996</v>
      </c>
      <c r="J13" s="15">
        <v>0.25</v>
      </c>
      <c r="K13" s="15">
        <f t="shared" si="3"/>
        <v>4.8808977999999996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spans="1:29" ht="14.25" x14ac:dyDescent="0.2">
      <c r="A14" s="13" t="s">
        <v>1142</v>
      </c>
      <c r="B14" s="14">
        <v>5205152016090</v>
      </c>
      <c r="C14" s="15">
        <v>6.8</v>
      </c>
      <c r="D14" s="15">
        <v>0.9</v>
      </c>
      <c r="E14" s="15">
        <f t="shared" si="0"/>
        <v>7.7</v>
      </c>
      <c r="F14" s="15">
        <v>1.24</v>
      </c>
      <c r="G14" s="15">
        <f t="shared" si="1"/>
        <v>9.548</v>
      </c>
      <c r="H14" s="15">
        <v>1.1214999999999999</v>
      </c>
      <c r="I14" s="15">
        <f t="shared" si="2"/>
        <v>10.708081999999999</v>
      </c>
      <c r="J14" s="15">
        <v>1.49</v>
      </c>
      <c r="K14" s="15">
        <f t="shared" si="3"/>
        <v>12.198081999999999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spans="1:29" ht="14.25" x14ac:dyDescent="0.2">
      <c r="A15" s="13" t="s">
        <v>1143</v>
      </c>
      <c r="B15" s="14">
        <v>5205152012443</v>
      </c>
      <c r="C15" s="15">
        <v>3.21</v>
      </c>
      <c r="D15" s="15">
        <v>0.9</v>
      </c>
      <c r="E15" s="15">
        <f t="shared" si="0"/>
        <v>4.1100000000000003</v>
      </c>
      <c r="F15" s="15">
        <v>1.24</v>
      </c>
      <c r="G15" s="15">
        <f t="shared" si="1"/>
        <v>5.0964</v>
      </c>
      <c r="H15" s="15">
        <v>1.1214999999999999</v>
      </c>
      <c r="I15" s="15">
        <f t="shared" si="2"/>
        <v>5.7156126</v>
      </c>
      <c r="J15" s="15">
        <v>0.75</v>
      </c>
      <c r="K15" s="15">
        <f t="shared" si="3"/>
        <v>6.4656126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spans="1:29" ht="14.25" x14ac:dyDescent="0.2">
      <c r="A16" s="13" t="s">
        <v>1144</v>
      </c>
      <c r="B16" s="14">
        <v>5205152000396</v>
      </c>
      <c r="C16" s="15">
        <v>3.65</v>
      </c>
      <c r="D16" s="15">
        <v>0.9</v>
      </c>
      <c r="E16" s="15">
        <f t="shared" si="0"/>
        <v>4.55</v>
      </c>
      <c r="F16" s="15">
        <v>1.24</v>
      </c>
      <c r="G16" s="15">
        <f t="shared" si="1"/>
        <v>5.6419999999999995</v>
      </c>
      <c r="H16" s="15">
        <v>1.1214999999999999</v>
      </c>
      <c r="I16" s="15">
        <f t="shared" si="2"/>
        <v>6.3275029999999992</v>
      </c>
      <c r="J16" s="15">
        <v>0.25</v>
      </c>
      <c r="K16" s="15">
        <f t="shared" si="3"/>
        <v>6.5775029999999992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spans="1:29" ht="14.25" x14ac:dyDescent="0.2">
      <c r="A17" s="13" t="s">
        <v>1145</v>
      </c>
      <c r="B17" s="14">
        <v>5205152015161</v>
      </c>
      <c r="C17" s="15">
        <v>3.84</v>
      </c>
      <c r="D17" s="15">
        <v>0.9</v>
      </c>
      <c r="E17" s="15">
        <f t="shared" si="0"/>
        <v>4.74</v>
      </c>
      <c r="F17" s="15">
        <v>1.24</v>
      </c>
      <c r="G17" s="15">
        <f t="shared" si="1"/>
        <v>5.8776000000000002</v>
      </c>
      <c r="H17" s="15">
        <v>1.1214999999999999</v>
      </c>
      <c r="I17" s="15">
        <f t="shared" si="2"/>
        <v>6.5917284</v>
      </c>
      <c r="J17" s="15">
        <v>0.25</v>
      </c>
      <c r="K17" s="15">
        <f t="shared" si="3"/>
        <v>6.8417284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spans="1:29" ht="14.25" x14ac:dyDescent="0.2">
      <c r="A18" s="13" t="s">
        <v>1146</v>
      </c>
      <c r="B18" s="14">
        <v>5205152008613</v>
      </c>
      <c r="C18" s="15">
        <v>5.38</v>
      </c>
      <c r="D18" s="15">
        <v>0.9</v>
      </c>
      <c r="E18" s="15">
        <f t="shared" si="0"/>
        <v>6.28</v>
      </c>
      <c r="F18" s="15">
        <v>1.24</v>
      </c>
      <c r="G18" s="15">
        <f t="shared" si="1"/>
        <v>7.7872000000000003</v>
      </c>
      <c r="H18" s="15">
        <v>1.1214999999999999</v>
      </c>
      <c r="I18" s="15">
        <f t="shared" si="2"/>
        <v>8.7333447999999994</v>
      </c>
      <c r="J18" s="15">
        <v>1.49</v>
      </c>
      <c r="K18" s="15">
        <f t="shared" si="3"/>
        <v>10.2233448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spans="1:29" ht="14.25" x14ac:dyDescent="0.2">
      <c r="A19" s="13" t="s">
        <v>1147</v>
      </c>
      <c r="B19" s="14">
        <v>5205152017837</v>
      </c>
      <c r="C19" s="15">
        <v>5.35</v>
      </c>
      <c r="D19" s="15">
        <v>0.9</v>
      </c>
      <c r="E19" s="15">
        <f t="shared" si="0"/>
        <v>6.25</v>
      </c>
      <c r="F19" s="15">
        <v>1.24</v>
      </c>
      <c r="G19" s="15">
        <f t="shared" si="1"/>
        <v>7.75</v>
      </c>
      <c r="H19" s="15">
        <v>1.1214999999999999</v>
      </c>
      <c r="I19" s="15">
        <f t="shared" si="2"/>
        <v>8.6916250000000002</v>
      </c>
      <c r="J19" s="15">
        <v>1.49</v>
      </c>
      <c r="K19" s="15">
        <f t="shared" si="3"/>
        <v>10.181625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spans="1:29" ht="14.25" x14ac:dyDescent="0.2">
      <c r="A20" s="13" t="s">
        <v>1148</v>
      </c>
      <c r="B20" s="14">
        <v>5205152004950</v>
      </c>
      <c r="C20" s="15">
        <v>4.9400000000000004</v>
      </c>
      <c r="D20" s="15">
        <v>0.6</v>
      </c>
      <c r="E20" s="15">
        <f t="shared" si="0"/>
        <v>5.54</v>
      </c>
      <c r="F20" s="15">
        <v>1.24</v>
      </c>
      <c r="G20" s="15">
        <f t="shared" si="1"/>
        <v>6.8696000000000002</v>
      </c>
      <c r="H20" s="15">
        <v>1.1214999999999999</v>
      </c>
      <c r="I20" s="15">
        <f t="shared" si="2"/>
        <v>7.7042563999999993</v>
      </c>
      <c r="J20" s="15">
        <v>0.43</v>
      </c>
      <c r="K20" s="15">
        <f t="shared" si="3"/>
        <v>8.1342563999999999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spans="1:29" ht="14.25" x14ac:dyDescent="0.2">
      <c r="A21" s="13" t="s">
        <v>1149</v>
      </c>
      <c r="B21" s="14">
        <v>5205152003328</v>
      </c>
      <c r="C21" s="15">
        <v>4.47</v>
      </c>
      <c r="D21" s="15">
        <v>0.6</v>
      </c>
      <c r="E21" s="15">
        <f t="shared" si="0"/>
        <v>5.0699999999999994</v>
      </c>
      <c r="F21" s="15">
        <v>1.24</v>
      </c>
      <c r="G21" s="15">
        <f t="shared" si="1"/>
        <v>6.2867999999999995</v>
      </c>
      <c r="H21" s="15">
        <v>1.1214999999999999</v>
      </c>
      <c r="I21" s="15">
        <f t="shared" si="2"/>
        <v>7.0506461999999992</v>
      </c>
      <c r="J21" s="15">
        <v>0.43</v>
      </c>
      <c r="K21" s="15">
        <f t="shared" si="3"/>
        <v>7.4806461999999989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 ht="14.25" x14ac:dyDescent="0.2">
      <c r="A22" s="13" t="s">
        <v>1150</v>
      </c>
      <c r="B22" s="14">
        <v>5205152017110</v>
      </c>
      <c r="C22" s="15">
        <v>3.09</v>
      </c>
      <c r="D22" s="15">
        <v>0.4</v>
      </c>
      <c r="E22" s="15">
        <f t="shared" si="0"/>
        <v>3.4899999999999998</v>
      </c>
      <c r="F22" s="15">
        <v>1.24</v>
      </c>
      <c r="G22" s="15">
        <f t="shared" si="1"/>
        <v>4.3275999999999994</v>
      </c>
      <c r="H22" s="15">
        <v>1.1214999999999999</v>
      </c>
      <c r="I22" s="15">
        <f t="shared" si="2"/>
        <v>4.8534033999999995</v>
      </c>
      <c r="J22" s="15">
        <v>0.25</v>
      </c>
      <c r="K22" s="15">
        <f t="shared" si="3"/>
        <v>5.1034033999999995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1:29" ht="14.25" x14ac:dyDescent="0.2">
      <c r="A23" s="13" t="s">
        <v>1151</v>
      </c>
      <c r="B23" s="14">
        <v>5205152014201</v>
      </c>
      <c r="C23" s="15">
        <v>2.83</v>
      </c>
      <c r="D23" s="15">
        <v>0.9</v>
      </c>
      <c r="E23" s="15">
        <f t="shared" si="0"/>
        <v>3.73</v>
      </c>
      <c r="F23" s="15">
        <v>1.24</v>
      </c>
      <c r="G23" s="15">
        <f t="shared" si="1"/>
        <v>4.6251999999999995</v>
      </c>
      <c r="H23" s="15">
        <v>1.1214999999999999</v>
      </c>
      <c r="I23" s="15">
        <f t="shared" si="2"/>
        <v>5.1871617999999993</v>
      </c>
      <c r="J23" s="15">
        <v>0.25</v>
      </c>
      <c r="K23" s="15">
        <f t="shared" si="3"/>
        <v>5.4371617999999993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:29" ht="14.25" x14ac:dyDescent="0.2">
      <c r="A24" s="13" t="s">
        <v>1152</v>
      </c>
      <c r="B24" s="14">
        <v>5205152012436</v>
      </c>
      <c r="C24" s="15">
        <v>3.48</v>
      </c>
      <c r="D24" s="15">
        <v>0.9</v>
      </c>
      <c r="E24" s="15">
        <f t="shared" si="0"/>
        <v>4.38</v>
      </c>
      <c r="F24" s="15">
        <v>1.24</v>
      </c>
      <c r="G24" s="15">
        <f t="shared" si="1"/>
        <v>5.4311999999999996</v>
      </c>
      <c r="H24" s="15">
        <v>1.1214999999999999</v>
      </c>
      <c r="I24" s="15">
        <f t="shared" si="2"/>
        <v>6.091090799999999</v>
      </c>
      <c r="J24" s="15">
        <v>0.25</v>
      </c>
      <c r="K24" s="15">
        <f t="shared" si="3"/>
        <v>6.341090799999999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spans="1:29" ht="14.25" x14ac:dyDescent="0.2">
      <c r="A25" s="13" t="s">
        <v>1153</v>
      </c>
      <c r="B25" s="14">
        <v>5205152012566</v>
      </c>
      <c r="C25" s="15">
        <v>8.7899999999999991</v>
      </c>
      <c r="D25" s="15">
        <v>0.9</v>
      </c>
      <c r="E25" s="15">
        <f t="shared" si="0"/>
        <v>9.69</v>
      </c>
      <c r="F25" s="15">
        <v>1.24</v>
      </c>
      <c r="G25" s="15">
        <f t="shared" si="1"/>
        <v>12.015599999999999</v>
      </c>
      <c r="H25" s="15">
        <v>1.1214999999999999</v>
      </c>
      <c r="I25" s="15">
        <f t="shared" si="2"/>
        <v>13.475495399999998</v>
      </c>
      <c r="J25" s="15">
        <v>0.73999999999999899</v>
      </c>
      <c r="K25" s="15">
        <f t="shared" si="3"/>
        <v>14.215495399999996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spans="1:29" ht="14.25" x14ac:dyDescent="0.2">
      <c r="A26" s="13" t="s">
        <v>1154</v>
      </c>
      <c r="B26" s="14">
        <v>5205152008903</v>
      </c>
      <c r="C26" s="15">
        <v>3.65</v>
      </c>
      <c r="D26" s="15">
        <v>0.9</v>
      </c>
      <c r="E26" s="15">
        <f t="shared" si="0"/>
        <v>4.55</v>
      </c>
      <c r="F26" s="15">
        <v>1.24</v>
      </c>
      <c r="G26" s="15">
        <f t="shared" si="1"/>
        <v>5.6419999999999995</v>
      </c>
      <c r="H26" s="15">
        <v>1.1214999999999999</v>
      </c>
      <c r="I26" s="15">
        <f t="shared" si="2"/>
        <v>6.3275029999999992</v>
      </c>
      <c r="J26" s="15">
        <v>0.25</v>
      </c>
      <c r="K26" s="15">
        <f t="shared" si="3"/>
        <v>6.5775029999999992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 spans="1:29" ht="14.25" x14ac:dyDescent="0.2">
      <c r="A27" s="13" t="s">
        <v>1155</v>
      </c>
      <c r="B27" s="14">
        <v>5205152012504</v>
      </c>
      <c r="C27" s="15">
        <v>4.51</v>
      </c>
      <c r="D27" s="15">
        <v>0.9</v>
      </c>
      <c r="E27" s="15">
        <f t="shared" si="0"/>
        <v>5.41</v>
      </c>
      <c r="F27" s="15">
        <v>1.24</v>
      </c>
      <c r="G27" s="15">
        <f t="shared" si="1"/>
        <v>6.7084000000000001</v>
      </c>
      <c r="H27" s="15">
        <v>1.1214999999999999</v>
      </c>
      <c r="I27" s="15">
        <f t="shared" si="2"/>
        <v>7.5234705999999996</v>
      </c>
      <c r="J27" s="15">
        <v>0.73999999999999899</v>
      </c>
      <c r="K27" s="15">
        <f t="shared" si="3"/>
        <v>8.263470599999998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spans="1:29" ht="14.25" x14ac:dyDescent="0.2">
      <c r="A28" s="13" t="s">
        <v>1156</v>
      </c>
      <c r="B28" s="14">
        <v>5205152012702</v>
      </c>
      <c r="C28" s="15">
        <v>1.25</v>
      </c>
      <c r="D28" s="15">
        <v>0.3</v>
      </c>
      <c r="E28" s="15">
        <f t="shared" si="0"/>
        <v>1.55</v>
      </c>
      <c r="F28" s="15">
        <v>1.24</v>
      </c>
      <c r="G28" s="15">
        <f t="shared" si="1"/>
        <v>1.9219999999999999</v>
      </c>
      <c r="H28" s="15">
        <v>1.1214999999999999</v>
      </c>
      <c r="I28" s="15">
        <f t="shared" si="2"/>
        <v>2.1555229999999996</v>
      </c>
      <c r="J28" s="15">
        <v>0.25</v>
      </c>
      <c r="K28" s="15">
        <f t="shared" si="3"/>
        <v>2.4055229999999996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spans="1:29" ht="14.25" x14ac:dyDescent="0.2">
      <c r="A29" s="13" t="s">
        <v>1157</v>
      </c>
      <c r="B29" s="14">
        <v>5205152018490</v>
      </c>
      <c r="C29" s="15">
        <v>7.87</v>
      </c>
      <c r="D29" s="15">
        <v>0.9</v>
      </c>
      <c r="E29" s="15">
        <f t="shared" si="0"/>
        <v>8.77</v>
      </c>
      <c r="F29" s="15">
        <v>1.24</v>
      </c>
      <c r="G29" s="15">
        <f t="shared" si="1"/>
        <v>10.874799999999999</v>
      </c>
      <c r="H29" s="15">
        <v>1.1214999999999999</v>
      </c>
      <c r="I29" s="15">
        <f t="shared" si="2"/>
        <v>12.196088199999998</v>
      </c>
      <c r="J29" s="15">
        <v>0.73999999999999899</v>
      </c>
      <c r="K29" s="15">
        <f t="shared" si="3"/>
        <v>12.936088199999997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spans="1:29" ht="14.25" x14ac:dyDescent="0.2">
      <c r="A30" s="13" t="s">
        <v>1158</v>
      </c>
      <c r="B30" s="14">
        <v>5205152017905</v>
      </c>
      <c r="C30" s="15">
        <v>8.35</v>
      </c>
      <c r="D30" s="15">
        <v>0.6</v>
      </c>
      <c r="E30" s="15">
        <f t="shared" si="0"/>
        <v>8.9499999999999993</v>
      </c>
      <c r="F30" s="15">
        <v>1.24</v>
      </c>
      <c r="G30" s="15">
        <f t="shared" si="1"/>
        <v>11.097999999999999</v>
      </c>
      <c r="H30" s="15">
        <v>1.1214999999999999</v>
      </c>
      <c r="I30" s="15">
        <f t="shared" si="2"/>
        <v>12.446406999999999</v>
      </c>
      <c r="J30" s="15">
        <v>1.18</v>
      </c>
      <c r="K30" s="15">
        <f t="shared" si="3"/>
        <v>13.626406999999999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spans="1:29" ht="14.25" x14ac:dyDescent="0.2">
      <c r="A31" s="13" t="s">
        <v>1159</v>
      </c>
      <c r="B31" s="14">
        <v>5205152020226</v>
      </c>
      <c r="C31" s="15">
        <v>6.21</v>
      </c>
      <c r="D31" s="15">
        <v>0.6</v>
      </c>
      <c r="E31" s="15">
        <f t="shared" si="0"/>
        <v>6.81</v>
      </c>
      <c r="F31" s="15">
        <v>1.24</v>
      </c>
      <c r="G31" s="15">
        <f t="shared" si="1"/>
        <v>8.4443999999999999</v>
      </c>
      <c r="H31" s="15">
        <v>1.1214999999999999</v>
      </c>
      <c r="I31" s="15">
        <f t="shared" si="2"/>
        <v>9.4703945999999988</v>
      </c>
      <c r="J31" s="15">
        <v>0.43</v>
      </c>
      <c r="K31" s="15">
        <f t="shared" si="3"/>
        <v>9.9003945999999985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 spans="1:29" ht="14.25" x14ac:dyDescent="0.2">
      <c r="A32" s="13" t="s">
        <v>1160</v>
      </c>
      <c r="B32" s="14">
        <v>5205152012542</v>
      </c>
      <c r="C32" s="15">
        <v>8.4</v>
      </c>
      <c r="D32" s="15">
        <v>0.9</v>
      </c>
      <c r="E32" s="15">
        <f t="shared" si="0"/>
        <v>9.3000000000000007</v>
      </c>
      <c r="F32" s="15">
        <v>1.24</v>
      </c>
      <c r="G32" s="15">
        <f t="shared" si="1"/>
        <v>11.532</v>
      </c>
      <c r="H32" s="15">
        <v>1.1214999999999999</v>
      </c>
      <c r="I32" s="15">
        <f t="shared" si="2"/>
        <v>12.933138</v>
      </c>
      <c r="J32" s="15">
        <v>0.73999999999999899</v>
      </c>
      <c r="K32" s="15">
        <f t="shared" si="3"/>
        <v>13.673137999999998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spans="1:29" ht="14.25" x14ac:dyDescent="0.2">
      <c r="A33" s="13" t="s">
        <v>1161</v>
      </c>
      <c r="B33" s="14">
        <v>5205152018896</v>
      </c>
      <c r="C33" s="15">
        <v>5.88</v>
      </c>
      <c r="D33" s="15">
        <v>0.9</v>
      </c>
      <c r="E33" s="15">
        <f t="shared" si="0"/>
        <v>6.78</v>
      </c>
      <c r="F33" s="15">
        <v>1.24</v>
      </c>
      <c r="G33" s="15">
        <f t="shared" si="1"/>
        <v>8.4071999999999996</v>
      </c>
      <c r="H33" s="15">
        <v>1.1214999999999999</v>
      </c>
      <c r="I33" s="15">
        <f t="shared" si="2"/>
        <v>9.4286747999999996</v>
      </c>
      <c r="J33" s="15">
        <v>0.73999999999999899</v>
      </c>
      <c r="K33" s="15">
        <f t="shared" si="3"/>
        <v>10.168674799999998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 spans="1:29" ht="14.25" x14ac:dyDescent="0.2">
      <c r="A34" s="13" t="s">
        <v>1162</v>
      </c>
      <c r="B34" s="14">
        <v>5205152012405</v>
      </c>
      <c r="C34" s="15">
        <v>5.66</v>
      </c>
      <c r="D34" s="15">
        <v>0.3</v>
      </c>
      <c r="E34" s="15">
        <f t="shared" si="0"/>
        <v>5.96</v>
      </c>
      <c r="F34" s="15">
        <v>1.06</v>
      </c>
      <c r="G34" s="15">
        <f t="shared" si="1"/>
        <v>6.3176000000000005</v>
      </c>
      <c r="H34" s="15">
        <v>1.1214999999999999</v>
      </c>
      <c r="I34" s="15">
        <f t="shared" si="2"/>
        <v>7.0851883999999998</v>
      </c>
      <c r="J34" s="15">
        <v>0.45</v>
      </c>
      <c r="K34" s="15">
        <f t="shared" si="3"/>
        <v>7.5351884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 spans="1:29" ht="14.25" x14ac:dyDescent="0.2">
      <c r="A35" s="13" t="s">
        <v>1163</v>
      </c>
      <c r="B35" s="14">
        <v>5205152010548</v>
      </c>
      <c r="C35" s="15">
        <v>2.76</v>
      </c>
      <c r="D35" s="15">
        <v>0.9</v>
      </c>
      <c r="E35" s="15">
        <f t="shared" si="0"/>
        <v>3.6599999999999997</v>
      </c>
      <c r="F35" s="15">
        <v>1.24</v>
      </c>
      <c r="G35" s="15">
        <f t="shared" si="1"/>
        <v>4.5383999999999993</v>
      </c>
      <c r="H35" s="15">
        <v>1.1214999999999999</v>
      </c>
      <c r="I35" s="15">
        <f t="shared" si="2"/>
        <v>5.0898155999999988</v>
      </c>
      <c r="J35" s="15">
        <v>0.25</v>
      </c>
      <c r="K35" s="15">
        <f t="shared" si="3"/>
        <v>5.3398155999999988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 spans="1:29" ht="14.25" x14ac:dyDescent="0.2">
      <c r="A36" s="13" t="s">
        <v>1164</v>
      </c>
      <c r="B36" s="14">
        <v>5205152016236</v>
      </c>
      <c r="C36" s="15">
        <v>1.19</v>
      </c>
      <c r="D36" s="15">
        <v>0.9</v>
      </c>
      <c r="E36" s="15">
        <f t="shared" si="0"/>
        <v>2.09</v>
      </c>
      <c r="F36" s="15">
        <v>1.24</v>
      </c>
      <c r="G36" s="15">
        <f t="shared" si="1"/>
        <v>2.5915999999999997</v>
      </c>
      <c r="H36" s="15">
        <v>1.1214999999999999</v>
      </c>
      <c r="I36" s="15">
        <f t="shared" si="2"/>
        <v>2.9064793999999994</v>
      </c>
      <c r="J36" s="15">
        <v>0.25</v>
      </c>
      <c r="K36" s="15">
        <f t="shared" si="3"/>
        <v>3.1564793999999994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 spans="1:29" ht="14.25" x14ac:dyDescent="0.2">
      <c r="A37" s="13" t="s">
        <v>1165</v>
      </c>
      <c r="B37" s="14">
        <v>5205152017219</v>
      </c>
      <c r="C37" s="15">
        <v>20</v>
      </c>
      <c r="D37" s="15">
        <v>0.9</v>
      </c>
      <c r="E37" s="15">
        <f t="shared" si="0"/>
        <v>20.9</v>
      </c>
      <c r="F37" s="15">
        <v>1.24</v>
      </c>
      <c r="G37" s="15">
        <f t="shared" si="1"/>
        <v>25.915999999999997</v>
      </c>
      <c r="H37" s="15">
        <v>1.1214999999999999</v>
      </c>
      <c r="I37" s="15">
        <f t="shared" si="2"/>
        <v>29.064793999999996</v>
      </c>
      <c r="J37" s="15">
        <v>0.73999999999999899</v>
      </c>
      <c r="K37" s="15">
        <f t="shared" si="3"/>
        <v>29.804793999999994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 spans="1:29" ht="14.25" x14ac:dyDescent="0.2">
      <c r="A38" s="13" t="s">
        <v>1166</v>
      </c>
      <c r="B38" s="14">
        <v>5205152018124</v>
      </c>
      <c r="C38" s="15">
        <v>6.11</v>
      </c>
      <c r="D38" s="15">
        <v>0.9</v>
      </c>
      <c r="E38" s="15">
        <f t="shared" si="0"/>
        <v>7.0100000000000007</v>
      </c>
      <c r="F38" s="15">
        <v>1.24</v>
      </c>
      <c r="G38" s="15">
        <f t="shared" si="1"/>
        <v>8.692400000000001</v>
      </c>
      <c r="H38" s="15">
        <v>1.1214999999999999</v>
      </c>
      <c r="I38" s="15">
        <f t="shared" si="2"/>
        <v>9.7485265999999999</v>
      </c>
      <c r="J38" s="15">
        <v>0.74</v>
      </c>
      <c r="K38" s="15">
        <f t="shared" si="3"/>
        <v>10.4885266</v>
      </c>
      <c r="L38" s="15">
        <v>10.5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 spans="1:29" ht="12.75" x14ac:dyDescent="0.2">
      <c r="A39" s="13" t="s">
        <v>1167</v>
      </c>
      <c r="B39" s="15">
        <v>5205152018117</v>
      </c>
      <c r="C39" s="15">
        <v>7.52</v>
      </c>
      <c r="D39" s="15">
        <v>0.9</v>
      </c>
      <c r="E39" s="15">
        <f t="shared" si="0"/>
        <v>8.42</v>
      </c>
      <c r="F39" s="15">
        <v>1.24</v>
      </c>
      <c r="G39" s="15">
        <f t="shared" si="1"/>
        <v>10.440799999999999</v>
      </c>
      <c r="H39" s="15">
        <v>1.1214999999999999</v>
      </c>
      <c r="I39" s="15">
        <f t="shared" si="2"/>
        <v>11.709357199999999</v>
      </c>
      <c r="J39" s="15">
        <v>0.74</v>
      </c>
      <c r="K39" s="15">
        <f t="shared" si="3"/>
        <v>12.4493572</v>
      </c>
      <c r="L39" s="15">
        <v>9.84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 spans="1:29" ht="14.25" x14ac:dyDescent="0.2">
      <c r="A40" s="13" t="s">
        <v>1168</v>
      </c>
      <c r="B40" s="14">
        <v>5205152018148</v>
      </c>
      <c r="C40" s="15">
        <v>4.5199999999999996</v>
      </c>
      <c r="D40" s="15">
        <v>0.3</v>
      </c>
      <c r="E40" s="15">
        <f t="shared" si="0"/>
        <v>4.8199999999999994</v>
      </c>
      <c r="F40" s="15">
        <v>1.24</v>
      </c>
      <c r="G40" s="15">
        <f t="shared" si="1"/>
        <v>5.976799999999999</v>
      </c>
      <c r="H40" s="15">
        <v>1.1214999999999999</v>
      </c>
      <c r="I40" s="15">
        <f t="shared" si="2"/>
        <v>6.7029811999999982</v>
      </c>
      <c r="J40" s="15">
        <v>0.25</v>
      </c>
      <c r="K40" s="15">
        <f t="shared" si="3"/>
        <v>6.9529811999999982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 spans="1:29" ht="14.25" x14ac:dyDescent="0.2">
      <c r="A41" s="13" t="s">
        <v>1169</v>
      </c>
      <c r="B41" s="14">
        <v>5205152018247</v>
      </c>
      <c r="C41" s="15">
        <v>6.51</v>
      </c>
      <c r="D41" s="15">
        <v>0.33</v>
      </c>
      <c r="E41" s="15">
        <f t="shared" si="0"/>
        <v>6.84</v>
      </c>
      <c r="F41" s="15">
        <v>1.24</v>
      </c>
      <c r="G41" s="15">
        <f t="shared" si="1"/>
        <v>8.4816000000000003</v>
      </c>
      <c r="H41" s="15">
        <v>1.1214999999999999</v>
      </c>
      <c r="I41" s="15">
        <f t="shared" si="2"/>
        <v>9.5121143999999997</v>
      </c>
      <c r="J41" s="15">
        <v>0.44</v>
      </c>
      <c r="K41" s="15">
        <f t="shared" si="3"/>
        <v>9.9521143999999993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 spans="1:29" ht="12.75" x14ac:dyDescent="0.2">
      <c r="A42" s="12" t="s">
        <v>1170</v>
      </c>
      <c r="B42" s="12">
        <v>5205152018230</v>
      </c>
      <c r="C42" s="12">
        <v>6.51</v>
      </c>
      <c r="D42" s="12">
        <v>0.3</v>
      </c>
      <c r="E42" s="12">
        <f t="shared" si="0"/>
        <v>6.81</v>
      </c>
      <c r="F42" s="12">
        <v>1.24</v>
      </c>
      <c r="G42" s="12">
        <f t="shared" si="1"/>
        <v>8.4443999999999999</v>
      </c>
      <c r="H42" s="12">
        <v>1.1214999999999999</v>
      </c>
      <c r="I42" s="12">
        <f t="shared" si="2"/>
        <v>9.4703945999999988</v>
      </c>
      <c r="J42" s="12">
        <v>0.43</v>
      </c>
      <c r="K42" s="12">
        <f t="shared" si="3"/>
        <v>9.9003945999999985</v>
      </c>
    </row>
    <row r="43" spans="1:29" ht="12.75" x14ac:dyDescent="0.2">
      <c r="A43" s="12" t="s">
        <v>1171</v>
      </c>
      <c r="B43" s="12">
        <v>5205152018186</v>
      </c>
      <c r="C43" s="12">
        <v>3.26</v>
      </c>
      <c r="D43" s="12">
        <v>0.23</v>
      </c>
      <c r="E43" s="12">
        <f t="shared" si="0"/>
        <v>3.4899999999999998</v>
      </c>
      <c r="F43" s="12">
        <v>1.24</v>
      </c>
      <c r="G43" s="12">
        <f t="shared" si="1"/>
        <v>4.3275999999999994</v>
      </c>
      <c r="H43" s="12">
        <v>1.1214999999999999</v>
      </c>
      <c r="I43" s="12">
        <f t="shared" si="2"/>
        <v>4.8534033999999995</v>
      </c>
      <c r="J43" s="12">
        <v>0.25</v>
      </c>
      <c r="K43" s="12">
        <f t="shared" si="3"/>
        <v>5.1034033999999995</v>
      </c>
    </row>
    <row r="44" spans="1:29" ht="12.75" x14ac:dyDescent="0.2">
      <c r="A44" s="12" t="s">
        <v>1172</v>
      </c>
      <c r="B44" s="12">
        <v>5205152002338</v>
      </c>
      <c r="C44" s="12">
        <v>5.18</v>
      </c>
      <c r="D44" s="12">
        <v>0.3</v>
      </c>
      <c r="E44" s="12">
        <f t="shared" si="0"/>
        <v>5.4799999999999995</v>
      </c>
      <c r="F44" s="12">
        <v>1.24</v>
      </c>
      <c r="G44" s="12">
        <f t="shared" si="1"/>
        <v>6.7951999999999995</v>
      </c>
      <c r="H44" s="12">
        <v>1.1214999999999999</v>
      </c>
      <c r="I44" s="12">
        <f t="shared" si="2"/>
        <v>7.6208167999999992</v>
      </c>
      <c r="J44" s="12">
        <v>0.43</v>
      </c>
      <c r="K44" s="12">
        <f t="shared" si="3"/>
        <v>8.0508167999999998</v>
      </c>
    </row>
    <row r="45" spans="1:29" ht="12.75" x14ac:dyDescent="0.2">
      <c r="A45" s="12" t="s">
        <v>1173</v>
      </c>
      <c r="B45" s="12">
        <v>5205152018094</v>
      </c>
      <c r="C45" s="12">
        <v>8.2799999999999994</v>
      </c>
      <c r="D45" s="12">
        <v>0.9</v>
      </c>
      <c r="E45" s="12">
        <f t="shared" si="0"/>
        <v>9.18</v>
      </c>
      <c r="F45" s="12">
        <v>1.24</v>
      </c>
      <c r="G45" s="12">
        <f t="shared" si="1"/>
        <v>11.3832</v>
      </c>
      <c r="H45" s="12">
        <v>1.1214999999999999</v>
      </c>
      <c r="I45" s="12">
        <f t="shared" si="2"/>
        <v>12.766258799999999</v>
      </c>
      <c r="J45" s="12">
        <v>0.74</v>
      </c>
      <c r="K45" s="12">
        <f t="shared" si="3"/>
        <v>13.506258799999999</v>
      </c>
    </row>
    <row r="46" spans="1:29" ht="12.75" x14ac:dyDescent="0.2">
      <c r="A46" s="12" t="s">
        <v>1174</v>
      </c>
      <c r="B46" s="12">
        <v>5205152011262</v>
      </c>
      <c r="C46" s="12">
        <v>3.67</v>
      </c>
      <c r="D46" s="12">
        <v>0.9</v>
      </c>
      <c r="E46" s="12">
        <f t="shared" si="0"/>
        <v>4.57</v>
      </c>
      <c r="F46" s="12">
        <v>1.24</v>
      </c>
      <c r="G46" s="12">
        <f t="shared" si="1"/>
        <v>5.6668000000000003</v>
      </c>
      <c r="H46" s="12">
        <v>1.1214999999999999</v>
      </c>
      <c r="I46" s="12">
        <f t="shared" si="2"/>
        <v>6.3553161999999999</v>
      </c>
      <c r="J46" s="12">
        <v>0.25</v>
      </c>
      <c r="K46" s="12">
        <f t="shared" si="3"/>
        <v>6.6053161999999999</v>
      </c>
    </row>
    <row r="47" spans="1:29" ht="12.75" x14ac:dyDescent="0.2">
      <c r="A47" s="12" t="s">
        <v>1175</v>
      </c>
      <c r="B47" s="12">
        <v>5205152004394</v>
      </c>
      <c r="C47" s="12">
        <v>5.92</v>
      </c>
      <c r="D47" s="12">
        <v>0.4</v>
      </c>
      <c r="E47" s="12">
        <f t="shared" si="0"/>
        <v>6.32</v>
      </c>
      <c r="F47" s="12">
        <v>1.24</v>
      </c>
      <c r="G47" s="12">
        <f t="shared" si="1"/>
        <v>7.8368000000000002</v>
      </c>
      <c r="H47" s="12">
        <v>1.1214999999999999</v>
      </c>
      <c r="I47" s="12">
        <f t="shared" si="2"/>
        <v>8.7889712000000006</v>
      </c>
      <c r="J47" s="12">
        <v>0.43</v>
      </c>
      <c r="K47" s="12">
        <f t="shared" si="3"/>
        <v>9.2189712000000004</v>
      </c>
    </row>
    <row r="48" spans="1:29" ht="12.75" x14ac:dyDescent="0.2">
      <c r="A48" s="12" t="s">
        <v>1176</v>
      </c>
      <c r="B48" s="12">
        <v>5205152003397</v>
      </c>
      <c r="C48" s="12">
        <v>3.16</v>
      </c>
      <c r="D48" s="12">
        <v>0.3</v>
      </c>
      <c r="E48" s="12">
        <f t="shared" si="0"/>
        <v>3.46</v>
      </c>
      <c r="F48" s="12">
        <v>1.24</v>
      </c>
      <c r="G48" s="12">
        <f t="shared" si="1"/>
        <v>4.2904</v>
      </c>
      <c r="H48" s="12">
        <v>1.1214999999999999</v>
      </c>
      <c r="I48" s="12">
        <f t="shared" si="2"/>
        <v>4.8116835999999994</v>
      </c>
      <c r="J48" s="12">
        <v>0.26</v>
      </c>
      <c r="K48" s="12">
        <f t="shared" si="3"/>
        <v>5.0716835999999992</v>
      </c>
    </row>
    <row r="49" spans="1:11" ht="12.75" x14ac:dyDescent="0.2">
      <c r="A49" s="12" t="s">
        <v>1177</v>
      </c>
      <c r="B49" s="12">
        <v>5205152014171</v>
      </c>
      <c r="C49" s="12">
        <v>2.85</v>
      </c>
      <c r="D49" s="12">
        <v>0.3</v>
      </c>
      <c r="E49" s="12">
        <f t="shared" si="0"/>
        <v>3.15</v>
      </c>
      <c r="F49" s="12">
        <v>1.24</v>
      </c>
      <c r="G49" s="12">
        <f t="shared" si="1"/>
        <v>3.9059999999999997</v>
      </c>
      <c r="H49" s="12">
        <v>1.1214999999999999</v>
      </c>
      <c r="I49" s="12">
        <f t="shared" si="2"/>
        <v>4.3805789999999991</v>
      </c>
      <c r="J49" s="12">
        <v>0.25</v>
      </c>
      <c r="K49" s="12">
        <f t="shared" si="3"/>
        <v>4.6305789999999991</v>
      </c>
    </row>
    <row r="50" spans="1:11" ht="12.75" x14ac:dyDescent="0.2">
      <c r="A50" s="12" t="s">
        <v>1178</v>
      </c>
      <c r="B50" s="12">
        <v>5205152016373</v>
      </c>
      <c r="C50" s="12">
        <v>2.29</v>
      </c>
      <c r="D50" s="12">
        <v>0.3</v>
      </c>
      <c r="E50" s="12">
        <f t="shared" si="0"/>
        <v>2.59</v>
      </c>
      <c r="F50" s="12">
        <v>1.24</v>
      </c>
      <c r="G50" s="12">
        <f t="shared" si="1"/>
        <v>3.2115999999999998</v>
      </c>
      <c r="H50" s="12">
        <v>1.1214999999999999</v>
      </c>
      <c r="I50" s="12">
        <f t="shared" si="2"/>
        <v>3.6018093999999996</v>
      </c>
      <c r="J50" s="12">
        <v>0.25</v>
      </c>
      <c r="K50" s="12">
        <f t="shared" si="3"/>
        <v>3.8518093999999996</v>
      </c>
    </row>
    <row r="51" spans="1:11" ht="12.75" x14ac:dyDescent="0.2">
      <c r="A51" s="12" t="s">
        <v>1179</v>
      </c>
      <c r="B51" s="12">
        <v>5205152016366</v>
      </c>
      <c r="C51" s="12">
        <v>2.29</v>
      </c>
      <c r="D51" s="12">
        <v>0.3</v>
      </c>
      <c r="E51" s="12">
        <f t="shared" si="0"/>
        <v>2.59</v>
      </c>
      <c r="F51" s="12">
        <v>1.24</v>
      </c>
      <c r="G51" s="12">
        <f t="shared" si="1"/>
        <v>3.2115999999999998</v>
      </c>
      <c r="H51" s="12">
        <v>1.1214999999999999</v>
      </c>
      <c r="I51" s="12">
        <f t="shared" si="2"/>
        <v>3.6018093999999996</v>
      </c>
      <c r="J51" s="12">
        <v>0.25</v>
      </c>
      <c r="K51" s="12">
        <f t="shared" si="3"/>
        <v>3.8518093999999996</v>
      </c>
    </row>
    <row r="52" spans="1:11" ht="12.75" x14ac:dyDescent="0.2">
      <c r="A52" s="26" t="s">
        <v>1180</v>
      </c>
      <c r="B52" s="26" t="s">
        <v>1181</v>
      </c>
      <c r="C52" s="12">
        <v>2.29</v>
      </c>
      <c r="D52" s="12">
        <v>0.9</v>
      </c>
      <c r="E52" s="12">
        <f t="shared" si="0"/>
        <v>3.19</v>
      </c>
      <c r="F52" s="12">
        <v>1.24</v>
      </c>
      <c r="G52" s="12">
        <f t="shared" si="1"/>
        <v>3.9556</v>
      </c>
      <c r="H52" s="12">
        <v>1.1214999999999999</v>
      </c>
      <c r="I52" s="12">
        <f t="shared" si="2"/>
        <v>4.4362053999999995</v>
      </c>
      <c r="J52" s="12">
        <v>0.25</v>
      </c>
      <c r="K52" s="12">
        <f t="shared" si="3"/>
        <v>4.6862053999999995</v>
      </c>
    </row>
    <row r="53" spans="1:11" ht="12.75" x14ac:dyDescent="0.2">
      <c r="A53" s="12" t="s">
        <v>1182</v>
      </c>
      <c r="B53" s="12">
        <v>5205152012962</v>
      </c>
      <c r="C53" s="12">
        <v>9.6199999999999992</v>
      </c>
      <c r="D53" s="12">
        <v>0.9</v>
      </c>
      <c r="E53" s="12">
        <f t="shared" si="0"/>
        <v>10.52</v>
      </c>
      <c r="F53" s="12">
        <v>1.24</v>
      </c>
      <c r="G53" s="12">
        <f t="shared" si="1"/>
        <v>13.044799999999999</v>
      </c>
      <c r="H53" s="12">
        <v>1.1214999999999999</v>
      </c>
      <c r="I53" s="12">
        <f t="shared" si="2"/>
        <v>14.629743199999998</v>
      </c>
      <c r="J53" s="12">
        <v>0.74</v>
      </c>
      <c r="K53" s="12">
        <f t="shared" si="3"/>
        <v>15.369743199999998</v>
      </c>
    </row>
    <row r="54" spans="1:11" ht="12.75" x14ac:dyDescent="0.2">
      <c r="A54" s="26" t="s">
        <v>1183</v>
      </c>
      <c r="B54" s="26" t="s">
        <v>1184</v>
      </c>
      <c r="C54" s="12">
        <v>9.6199999999999992</v>
      </c>
      <c r="D54" s="12">
        <v>0.9</v>
      </c>
      <c r="E54" s="12">
        <f t="shared" si="0"/>
        <v>10.52</v>
      </c>
      <c r="F54" s="12">
        <v>1.24</v>
      </c>
      <c r="G54" s="12">
        <f t="shared" si="1"/>
        <v>13.044799999999999</v>
      </c>
      <c r="H54" s="12">
        <v>1.1214999999999999</v>
      </c>
      <c r="I54" s="12">
        <f t="shared" si="2"/>
        <v>14.629743199999998</v>
      </c>
      <c r="J54" s="12">
        <v>0.74</v>
      </c>
      <c r="K54" s="12">
        <f t="shared" si="3"/>
        <v>15.369743199999998</v>
      </c>
    </row>
    <row r="55" spans="1:11" ht="12.75" x14ac:dyDescent="0.2">
      <c r="A55" s="26" t="s">
        <v>1185</v>
      </c>
      <c r="B55" s="26" t="s">
        <v>1186</v>
      </c>
      <c r="C55" s="12">
        <v>3.22</v>
      </c>
      <c r="D55" s="12">
        <v>0.5</v>
      </c>
      <c r="E55" s="12">
        <f t="shared" si="0"/>
        <v>3.72</v>
      </c>
      <c r="F55" s="12">
        <v>1.24</v>
      </c>
      <c r="G55" s="12">
        <f t="shared" si="1"/>
        <v>4.6128</v>
      </c>
      <c r="H55" s="12">
        <v>1.1214999999999999</v>
      </c>
      <c r="I55" s="12">
        <f t="shared" si="2"/>
        <v>5.1732551999999998</v>
      </c>
      <c r="J55" s="12">
        <v>0.25</v>
      </c>
      <c r="K55" s="12">
        <f t="shared" si="3"/>
        <v>5.4232551999999998</v>
      </c>
    </row>
    <row r="56" spans="1:11" ht="12.75" x14ac:dyDescent="0.2">
      <c r="A56" s="26" t="s">
        <v>1187</v>
      </c>
      <c r="B56" s="26" t="s">
        <v>1188</v>
      </c>
      <c r="C56" s="12">
        <v>9.43</v>
      </c>
      <c r="D56" s="12">
        <v>0.9</v>
      </c>
      <c r="E56" s="12">
        <f t="shared" si="0"/>
        <v>10.33</v>
      </c>
      <c r="F56" s="12">
        <v>1.24</v>
      </c>
      <c r="G56" s="12">
        <f t="shared" si="1"/>
        <v>12.809200000000001</v>
      </c>
      <c r="H56" s="12">
        <v>1.1214999999999999</v>
      </c>
      <c r="I56" s="12">
        <f t="shared" si="2"/>
        <v>14.365517799999999</v>
      </c>
      <c r="J56" s="12">
        <v>0.74</v>
      </c>
      <c r="K56" s="12">
        <f t="shared" si="3"/>
        <v>15.105517799999999</v>
      </c>
    </row>
    <row r="57" spans="1:11" ht="12.75" x14ac:dyDescent="0.2">
      <c r="A57" s="26" t="s">
        <v>1189</v>
      </c>
      <c r="B57" s="26" t="s">
        <v>1190</v>
      </c>
      <c r="C57" s="12">
        <v>12.55</v>
      </c>
      <c r="D57" s="12">
        <v>0.9</v>
      </c>
      <c r="E57" s="12">
        <f t="shared" si="0"/>
        <v>13.450000000000001</v>
      </c>
      <c r="F57" s="12">
        <v>1.24</v>
      </c>
      <c r="G57" s="12">
        <f t="shared" si="1"/>
        <v>16.678000000000001</v>
      </c>
      <c r="H57" s="12">
        <v>1.1214999999999999</v>
      </c>
      <c r="I57" s="12">
        <f t="shared" si="2"/>
        <v>18.704377000000001</v>
      </c>
      <c r="J57" s="12">
        <v>0.74</v>
      </c>
      <c r="K57" s="12">
        <f t="shared" si="3"/>
        <v>19.444376999999999</v>
      </c>
    </row>
    <row r="58" spans="1:11" ht="12.75" x14ac:dyDescent="0.2">
      <c r="A58" s="26" t="s">
        <v>1191</v>
      </c>
      <c r="B58" s="26" t="s">
        <v>1192</v>
      </c>
      <c r="C58" s="12">
        <v>10.66</v>
      </c>
      <c r="D58" s="12">
        <v>0.9</v>
      </c>
      <c r="E58" s="12">
        <f t="shared" si="0"/>
        <v>11.56</v>
      </c>
      <c r="F58" s="12">
        <v>1.24</v>
      </c>
      <c r="G58" s="12">
        <f t="shared" si="1"/>
        <v>14.3344</v>
      </c>
      <c r="H58" s="12">
        <v>1.1214999999999999</v>
      </c>
      <c r="I58" s="12">
        <f t="shared" si="2"/>
        <v>16.076029599999998</v>
      </c>
      <c r="J58" s="12">
        <v>0.74</v>
      </c>
      <c r="K58" s="12">
        <f t="shared" si="3"/>
        <v>16.816029599999997</v>
      </c>
    </row>
    <row r="59" spans="1:11" ht="12.75" x14ac:dyDescent="0.2">
      <c r="A59" s="26" t="s">
        <v>1193</v>
      </c>
      <c r="B59" s="26" t="s">
        <v>1194</v>
      </c>
      <c r="C59" s="12">
        <v>1.79</v>
      </c>
      <c r="D59" s="12">
        <v>0.4</v>
      </c>
      <c r="E59" s="12">
        <f t="shared" si="0"/>
        <v>2.19</v>
      </c>
      <c r="F59" s="12">
        <v>1.24</v>
      </c>
      <c r="G59" s="12">
        <f t="shared" si="1"/>
        <v>2.7155999999999998</v>
      </c>
      <c r="H59" s="12">
        <v>1.1214999999999999</v>
      </c>
      <c r="I59" s="12">
        <f t="shared" si="2"/>
        <v>3.0455453999999995</v>
      </c>
      <c r="J59" s="12">
        <v>0.25</v>
      </c>
      <c r="K59" s="12">
        <f t="shared" si="3"/>
        <v>3.2955453999999995</v>
      </c>
    </row>
    <row r="60" spans="1:11" ht="12.75" x14ac:dyDescent="0.2">
      <c r="A60" s="26" t="s">
        <v>1195</v>
      </c>
      <c r="B60" s="12">
        <v>5205152013020</v>
      </c>
      <c r="C60" s="12">
        <v>2.5099999999999998</v>
      </c>
      <c r="D60" s="12">
        <v>0.4</v>
      </c>
      <c r="E60" s="12">
        <f t="shared" si="0"/>
        <v>2.9099999999999997</v>
      </c>
      <c r="F60" s="12">
        <v>1.24</v>
      </c>
      <c r="G60" s="12">
        <f t="shared" si="1"/>
        <v>3.6083999999999996</v>
      </c>
      <c r="H60" s="12">
        <v>1.1214999999999999</v>
      </c>
      <c r="I60" s="12">
        <f t="shared" si="2"/>
        <v>4.0468205999999993</v>
      </c>
      <c r="J60" s="12">
        <v>0.25</v>
      </c>
      <c r="K60" s="12">
        <f t="shared" si="3"/>
        <v>4.2968205999999993</v>
      </c>
    </row>
    <row r="61" spans="1:11" ht="12.75" x14ac:dyDescent="0.2">
      <c r="A61" s="26" t="s">
        <v>1196</v>
      </c>
      <c r="B61" s="12">
        <v>5205152015116</v>
      </c>
      <c r="C61" s="12">
        <v>6.06</v>
      </c>
      <c r="D61" s="12">
        <v>0.9</v>
      </c>
      <c r="E61" s="12">
        <f t="shared" si="0"/>
        <v>6.96</v>
      </c>
      <c r="F61" s="12">
        <v>1.24</v>
      </c>
      <c r="G61" s="12">
        <f t="shared" si="1"/>
        <v>8.6303999999999998</v>
      </c>
      <c r="H61" s="12">
        <v>1.1214999999999999</v>
      </c>
      <c r="I61" s="12">
        <f t="shared" si="2"/>
        <v>9.6789936000000001</v>
      </c>
      <c r="J61" s="12">
        <v>0.74</v>
      </c>
      <c r="K61" s="12">
        <f t="shared" si="3"/>
        <v>10.4189936</v>
      </c>
    </row>
    <row r="62" spans="1:11" ht="12.75" x14ac:dyDescent="0.2">
      <c r="A62" s="12" t="s">
        <v>236</v>
      </c>
      <c r="B62" s="12">
        <v>5205152015505</v>
      </c>
      <c r="C62" s="12">
        <v>5.64</v>
      </c>
      <c r="D62" s="12">
        <v>0.9</v>
      </c>
      <c r="E62" s="12">
        <f t="shared" si="0"/>
        <v>6.54</v>
      </c>
      <c r="F62" s="12">
        <v>1.24</v>
      </c>
      <c r="G62" s="12">
        <f t="shared" si="1"/>
        <v>8.1096000000000004</v>
      </c>
      <c r="H62" s="12">
        <v>1.1214999999999999</v>
      </c>
      <c r="I62" s="12">
        <f t="shared" si="2"/>
        <v>9.0949164000000007</v>
      </c>
      <c r="J62" s="12">
        <v>0.43</v>
      </c>
      <c r="K62" s="12">
        <f t="shared" si="3"/>
        <v>9.5249164000000004</v>
      </c>
    </row>
    <row r="63" spans="1:11" ht="12.75" x14ac:dyDescent="0.2">
      <c r="A63" s="12" t="s">
        <v>1197</v>
      </c>
      <c r="B63" s="12">
        <v>5205152018100</v>
      </c>
      <c r="C63" s="12">
        <v>7.14</v>
      </c>
      <c r="D63" s="12">
        <v>0.9</v>
      </c>
      <c r="E63" s="12">
        <f t="shared" si="0"/>
        <v>8.0399999999999991</v>
      </c>
      <c r="F63" s="12">
        <v>1.24</v>
      </c>
      <c r="G63" s="12">
        <f t="shared" si="1"/>
        <v>9.969599999999998</v>
      </c>
      <c r="H63" s="12">
        <v>1.1214999999999999</v>
      </c>
      <c r="I63" s="12">
        <f t="shared" si="2"/>
        <v>11.180906399999998</v>
      </c>
      <c r="J63" s="12">
        <v>0.74</v>
      </c>
      <c r="K63" s="12">
        <f t="shared" si="3"/>
        <v>11.920906399999998</v>
      </c>
    </row>
    <row r="64" spans="1:11" ht="12.75" x14ac:dyDescent="0.2">
      <c r="A64" s="6" t="s">
        <v>1198</v>
      </c>
      <c r="B64" s="6" t="s">
        <v>1199</v>
      </c>
      <c r="C64" s="12">
        <v>5.31</v>
      </c>
      <c r="D64" s="12">
        <v>0.9</v>
      </c>
      <c r="E64" s="12">
        <f t="shared" si="0"/>
        <v>6.21</v>
      </c>
      <c r="F64" s="12">
        <v>1.24</v>
      </c>
      <c r="G64" s="12">
        <f t="shared" si="1"/>
        <v>7.7004000000000001</v>
      </c>
      <c r="H64" s="12">
        <v>1.1214999999999999</v>
      </c>
      <c r="I64" s="12">
        <f t="shared" si="2"/>
        <v>8.6359985999999989</v>
      </c>
      <c r="J64" s="12">
        <v>0.63</v>
      </c>
      <c r="K64" s="12">
        <f t="shared" si="3"/>
        <v>9.2659985999999996</v>
      </c>
    </row>
    <row r="65" spans="1:11" ht="12.75" x14ac:dyDescent="0.2">
      <c r="A65" s="6" t="s">
        <v>1200</v>
      </c>
      <c r="B65" s="6" t="s">
        <v>1201</v>
      </c>
      <c r="C65" s="12">
        <v>4.34</v>
      </c>
      <c r="D65" s="12">
        <v>0.4</v>
      </c>
      <c r="E65" s="12">
        <f t="shared" si="0"/>
        <v>4.74</v>
      </c>
      <c r="F65" s="12">
        <v>1.24</v>
      </c>
      <c r="G65" s="12">
        <f t="shared" si="1"/>
        <v>5.8776000000000002</v>
      </c>
      <c r="H65" s="12">
        <v>1.1214999999999999</v>
      </c>
      <c r="I65" s="12">
        <f t="shared" si="2"/>
        <v>6.5917284</v>
      </c>
      <c r="J65" s="12">
        <v>0.25</v>
      </c>
      <c r="K65" s="12">
        <f t="shared" si="3"/>
        <v>6.8417284</v>
      </c>
    </row>
    <row r="66" spans="1:11" ht="12.75" x14ac:dyDescent="0.2">
      <c r="A66" s="26" t="s">
        <v>1202</v>
      </c>
      <c r="B66" s="26" t="s">
        <v>1203</v>
      </c>
      <c r="C66" s="12">
        <v>1.67</v>
      </c>
      <c r="D66" s="12">
        <v>0.3</v>
      </c>
      <c r="E66" s="12">
        <f t="shared" si="0"/>
        <v>1.97</v>
      </c>
      <c r="F66" s="12">
        <v>1.24</v>
      </c>
      <c r="G66" s="12">
        <f t="shared" si="1"/>
        <v>2.4428000000000001</v>
      </c>
      <c r="H66" s="12">
        <v>1.1214999999999999</v>
      </c>
      <c r="I66" s="12">
        <f t="shared" si="2"/>
        <v>2.7396001999999999</v>
      </c>
      <c r="J66" s="12">
        <v>0.25</v>
      </c>
      <c r="K66" s="12">
        <f t="shared" si="3"/>
        <v>2.9896001999999999</v>
      </c>
    </row>
    <row r="67" spans="1:11" ht="12.75" x14ac:dyDescent="0.2">
      <c r="A67" s="26" t="s">
        <v>1204</v>
      </c>
      <c r="B67" s="26" t="s">
        <v>1205</v>
      </c>
      <c r="C67" s="12">
        <v>1.67</v>
      </c>
      <c r="D67" s="12">
        <v>0.3</v>
      </c>
      <c r="E67" s="12">
        <f t="shared" si="0"/>
        <v>1.97</v>
      </c>
      <c r="F67" s="12">
        <v>1.24</v>
      </c>
      <c r="G67" s="12">
        <f t="shared" si="1"/>
        <v>2.4428000000000001</v>
      </c>
      <c r="H67" s="12">
        <v>1.1214999999999999</v>
      </c>
      <c r="I67" s="12">
        <f t="shared" si="2"/>
        <v>2.7396001999999999</v>
      </c>
      <c r="J67" s="12">
        <v>0.25</v>
      </c>
      <c r="K67" s="12">
        <f t="shared" si="3"/>
        <v>2.9896001999999999</v>
      </c>
    </row>
    <row r="68" spans="1:11" ht="12.75" x14ac:dyDescent="0.2">
      <c r="A68" s="26" t="s">
        <v>1206</v>
      </c>
      <c r="B68" s="26" t="s">
        <v>1207</v>
      </c>
      <c r="C68" s="12">
        <v>1.67</v>
      </c>
      <c r="D68" s="12">
        <v>0.3</v>
      </c>
      <c r="E68" s="12">
        <f t="shared" si="0"/>
        <v>1.97</v>
      </c>
      <c r="F68" s="12">
        <v>1.24</v>
      </c>
      <c r="G68" s="12">
        <f t="shared" si="1"/>
        <v>2.4428000000000001</v>
      </c>
      <c r="H68" s="12">
        <v>1.1214999999999999</v>
      </c>
      <c r="I68" s="12">
        <f t="shared" si="2"/>
        <v>2.7396001999999999</v>
      </c>
      <c r="J68" s="12">
        <v>0.25</v>
      </c>
      <c r="K68" s="12">
        <f t="shared" si="3"/>
        <v>2.9896001999999999</v>
      </c>
    </row>
    <row r="69" spans="1:11" ht="12.75" x14ac:dyDescent="0.2">
      <c r="A69" s="26" t="s">
        <v>1208</v>
      </c>
      <c r="B69" s="26" t="s">
        <v>1209</v>
      </c>
      <c r="C69" s="12">
        <v>1.67</v>
      </c>
      <c r="D69" s="12">
        <v>0.3</v>
      </c>
      <c r="E69" s="12">
        <f t="shared" si="0"/>
        <v>1.97</v>
      </c>
      <c r="F69" s="12">
        <v>1.24</v>
      </c>
      <c r="G69" s="12">
        <f t="shared" si="1"/>
        <v>2.4428000000000001</v>
      </c>
      <c r="H69" s="12">
        <v>1.1214999999999999</v>
      </c>
      <c r="I69" s="12">
        <f t="shared" si="2"/>
        <v>2.7396001999999999</v>
      </c>
      <c r="J69" s="12">
        <v>0.25</v>
      </c>
      <c r="K69" s="12">
        <f t="shared" si="3"/>
        <v>2.9896001999999999</v>
      </c>
    </row>
    <row r="70" spans="1:11" ht="12.75" x14ac:dyDescent="0.2">
      <c r="A70" s="12" t="s">
        <v>1210</v>
      </c>
      <c r="B70" s="12">
        <v>5205152016946</v>
      </c>
      <c r="C70" s="12">
        <v>6.06</v>
      </c>
      <c r="D70" s="12">
        <v>0.6</v>
      </c>
      <c r="E70" s="12">
        <f t="shared" si="0"/>
        <v>6.6599999999999993</v>
      </c>
      <c r="F70" s="12">
        <v>1.24</v>
      </c>
      <c r="G70" s="12">
        <f t="shared" si="1"/>
        <v>8.2583999999999982</v>
      </c>
      <c r="H70" s="12">
        <v>1.1214999999999999</v>
      </c>
      <c r="I70" s="12">
        <f t="shared" si="2"/>
        <v>9.2617955999999975</v>
      </c>
      <c r="J70" s="12">
        <v>0.43</v>
      </c>
      <c r="K70" s="12">
        <f t="shared" si="3"/>
        <v>9.6917955999999972</v>
      </c>
    </row>
    <row r="71" spans="1:11" ht="12.75" x14ac:dyDescent="0.2">
      <c r="A71" s="12" t="s">
        <v>1211</v>
      </c>
      <c r="B71" s="12">
        <v>5205152015024</v>
      </c>
      <c r="C71" s="12">
        <v>2.06</v>
      </c>
      <c r="D71" s="12">
        <v>0.3</v>
      </c>
      <c r="E71" s="12">
        <f t="shared" si="0"/>
        <v>2.36</v>
      </c>
      <c r="F71" s="12">
        <v>1.24</v>
      </c>
      <c r="G71" s="12">
        <f t="shared" si="1"/>
        <v>2.9263999999999997</v>
      </c>
      <c r="H71" s="12">
        <v>1.1214999999999999</v>
      </c>
      <c r="I71" s="12">
        <f t="shared" si="2"/>
        <v>3.2819575999999993</v>
      </c>
      <c r="J71" s="12">
        <v>0.25</v>
      </c>
      <c r="K71" s="12">
        <f t="shared" si="3"/>
        <v>3.5319575999999993</v>
      </c>
    </row>
    <row r="72" spans="1:11" ht="12.75" x14ac:dyDescent="0.2">
      <c r="A72" s="12" t="s">
        <v>1212</v>
      </c>
      <c r="B72" s="12">
        <v>5205152005940</v>
      </c>
      <c r="C72" s="12">
        <v>1.76</v>
      </c>
      <c r="D72" s="12">
        <v>0.3</v>
      </c>
      <c r="E72" s="12">
        <f t="shared" si="0"/>
        <v>2.06</v>
      </c>
      <c r="F72" s="12">
        <v>1.24</v>
      </c>
      <c r="G72" s="12">
        <f t="shared" si="1"/>
        <v>2.5544000000000002</v>
      </c>
      <c r="H72" s="12">
        <v>1.1214999999999999</v>
      </c>
      <c r="I72" s="12">
        <f t="shared" si="2"/>
        <v>2.8647596000000002</v>
      </c>
      <c r="J72" s="12">
        <v>0.25</v>
      </c>
      <c r="K72" s="12">
        <f t="shared" si="3"/>
        <v>3.1147596000000002</v>
      </c>
    </row>
    <row r="73" spans="1:11" ht="12.75" x14ac:dyDescent="0.2">
      <c r="A73" s="12" t="s">
        <v>1213</v>
      </c>
      <c r="B73" s="12">
        <v>5205152005834</v>
      </c>
      <c r="C73" s="12">
        <v>1.76</v>
      </c>
      <c r="D73" s="12">
        <v>0.3</v>
      </c>
      <c r="E73" s="12">
        <f t="shared" si="0"/>
        <v>2.06</v>
      </c>
      <c r="F73" s="12">
        <v>1.24</v>
      </c>
      <c r="G73" s="12">
        <f t="shared" si="1"/>
        <v>2.5544000000000002</v>
      </c>
      <c r="H73" s="12">
        <v>1.1214999999999999</v>
      </c>
      <c r="I73" s="12">
        <f t="shared" si="2"/>
        <v>2.8647596000000002</v>
      </c>
      <c r="J73" s="12">
        <v>0.25</v>
      </c>
      <c r="K73" s="12">
        <f t="shared" si="3"/>
        <v>3.1147596000000002</v>
      </c>
    </row>
    <row r="74" spans="1:11" ht="12.75" x14ac:dyDescent="0.2">
      <c r="A74" s="12" t="s">
        <v>1214</v>
      </c>
      <c r="B74" s="12">
        <v>5205152001942</v>
      </c>
      <c r="C74" s="12">
        <v>5.14</v>
      </c>
      <c r="D74" s="12">
        <v>0.6</v>
      </c>
      <c r="E74" s="12">
        <f t="shared" si="0"/>
        <v>5.7399999999999993</v>
      </c>
      <c r="F74" s="12">
        <v>1.24</v>
      </c>
      <c r="G74" s="12">
        <f t="shared" si="1"/>
        <v>7.1175999999999995</v>
      </c>
      <c r="H74" s="12">
        <v>1.1214999999999999</v>
      </c>
      <c r="I74" s="12">
        <f t="shared" si="2"/>
        <v>7.9823883999999987</v>
      </c>
      <c r="J74" s="12">
        <v>0.43</v>
      </c>
      <c r="K74" s="12">
        <f t="shared" si="3"/>
        <v>8.4123883999999993</v>
      </c>
    </row>
    <row r="75" spans="1:11" ht="12.75" x14ac:dyDescent="0.2">
      <c r="A75" s="12" t="s">
        <v>1215</v>
      </c>
      <c r="B75" s="12">
        <v>5205152005841</v>
      </c>
      <c r="C75" s="12">
        <v>1.75</v>
      </c>
      <c r="D75" s="12">
        <v>0.2</v>
      </c>
      <c r="E75" s="12">
        <f t="shared" si="0"/>
        <v>1.95</v>
      </c>
      <c r="F75" s="12">
        <v>1.24</v>
      </c>
      <c r="G75" s="12">
        <f t="shared" si="1"/>
        <v>2.4180000000000001</v>
      </c>
      <c r="H75" s="12">
        <v>1.1214999999999999</v>
      </c>
      <c r="I75" s="12">
        <f t="shared" si="2"/>
        <v>2.7117870000000002</v>
      </c>
      <c r="J75" s="12">
        <v>0.25</v>
      </c>
      <c r="K75" s="12">
        <f t="shared" si="3"/>
        <v>2.9617870000000002</v>
      </c>
    </row>
    <row r="76" spans="1:11" ht="12.75" x14ac:dyDescent="0.2">
      <c r="A76" s="12" t="s">
        <v>1216</v>
      </c>
      <c r="B76" s="12">
        <v>5205152016380</v>
      </c>
      <c r="C76" s="12">
        <v>2.29</v>
      </c>
      <c r="D76" s="12">
        <v>0.4</v>
      </c>
      <c r="E76" s="12">
        <f t="shared" si="0"/>
        <v>2.69</v>
      </c>
      <c r="F76" s="12">
        <v>1.24</v>
      </c>
      <c r="G76" s="12">
        <f t="shared" si="1"/>
        <v>3.3355999999999999</v>
      </c>
      <c r="H76" s="12">
        <v>1.1214999999999999</v>
      </c>
      <c r="I76" s="12">
        <f t="shared" si="2"/>
        <v>3.7408753999999997</v>
      </c>
      <c r="J76" s="12">
        <v>0.25</v>
      </c>
      <c r="K76" s="12">
        <f t="shared" si="3"/>
        <v>3.9908753999999997</v>
      </c>
    </row>
    <row r="77" spans="1:11" ht="12.75" x14ac:dyDescent="0.2">
      <c r="A77" s="12" t="s">
        <v>1217</v>
      </c>
      <c r="B77" s="12">
        <v>5205152011477</v>
      </c>
      <c r="C77" s="12">
        <v>1.63</v>
      </c>
      <c r="D77" s="12">
        <v>0.3</v>
      </c>
      <c r="E77" s="12">
        <f t="shared" si="0"/>
        <v>1.93</v>
      </c>
      <c r="F77" s="12">
        <v>1.24</v>
      </c>
      <c r="G77" s="12">
        <f t="shared" si="1"/>
        <v>2.3931999999999998</v>
      </c>
      <c r="H77" s="12">
        <v>1.1214999999999999</v>
      </c>
      <c r="I77" s="12">
        <f t="shared" si="2"/>
        <v>2.6839737999999995</v>
      </c>
      <c r="J77" s="12">
        <v>0.25</v>
      </c>
      <c r="K77" s="12">
        <f t="shared" si="3"/>
        <v>2.9339737999999995</v>
      </c>
    </row>
    <row r="78" spans="1:11" ht="12.75" x14ac:dyDescent="0.2">
      <c r="A78" s="12" t="s">
        <v>1218</v>
      </c>
      <c r="B78" s="12">
        <v>5205152013891</v>
      </c>
      <c r="C78" s="12">
        <v>1.99</v>
      </c>
      <c r="D78" s="12">
        <v>0.3</v>
      </c>
      <c r="E78" s="12">
        <f t="shared" si="0"/>
        <v>2.29</v>
      </c>
      <c r="F78" s="12">
        <v>1.24</v>
      </c>
      <c r="G78" s="12">
        <f t="shared" si="1"/>
        <v>2.8395999999999999</v>
      </c>
      <c r="H78" s="12">
        <v>1.1214999999999999</v>
      </c>
      <c r="I78" s="12">
        <f t="shared" si="2"/>
        <v>3.1846113999999996</v>
      </c>
      <c r="J78" s="12">
        <v>0.25</v>
      </c>
      <c r="K78" s="12">
        <f t="shared" si="3"/>
        <v>3.4346113999999996</v>
      </c>
    </row>
    <row r="79" spans="1:11" ht="12.75" x14ac:dyDescent="0.2">
      <c r="A79" s="12" t="s">
        <v>1219</v>
      </c>
      <c r="B79" s="12">
        <v>5205152007401</v>
      </c>
      <c r="C79" s="12">
        <v>3.06</v>
      </c>
      <c r="D79" s="12">
        <v>0.4</v>
      </c>
      <c r="E79" s="12">
        <f t="shared" si="0"/>
        <v>3.46</v>
      </c>
      <c r="F79" s="12">
        <v>1.24</v>
      </c>
      <c r="G79" s="12">
        <f t="shared" si="1"/>
        <v>4.2904</v>
      </c>
      <c r="H79" s="12">
        <v>1.1214999999999999</v>
      </c>
      <c r="I79" s="12">
        <f t="shared" si="2"/>
        <v>4.8116835999999994</v>
      </c>
      <c r="J79" s="12">
        <v>0.43</v>
      </c>
      <c r="K79" s="12">
        <f t="shared" si="3"/>
        <v>5.2416835999999991</v>
      </c>
    </row>
    <row r="80" spans="1:11" ht="12.75" x14ac:dyDescent="0.2">
      <c r="A80" s="6" t="s">
        <v>1220</v>
      </c>
      <c r="B80" s="12">
        <v>5205152012467</v>
      </c>
      <c r="C80" s="12">
        <v>7.99</v>
      </c>
      <c r="D80" s="12">
        <v>0.9</v>
      </c>
      <c r="E80" s="12">
        <f t="shared" si="0"/>
        <v>8.89</v>
      </c>
      <c r="F80" s="12">
        <v>1.24</v>
      </c>
      <c r="G80" s="12">
        <f t="shared" si="1"/>
        <v>11.0236</v>
      </c>
      <c r="H80" s="12">
        <v>1.1214999999999999</v>
      </c>
      <c r="I80" s="12">
        <f t="shared" si="2"/>
        <v>12.362967399999999</v>
      </c>
      <c r="J80" s="12">
        <v>0.74</v>
      </c>
      <c r="K80" s="12">
        <f t="shared" si="3"/>
        <v>13.102967399999999</v>
      </c>
    </row>
    <row r="81" spans="1:11" ht="12.75" x14ac:dyDescent="0.2">
      <c r="A81" s="6" t="s">
        <v>1221</v>
      </c>
      <c r="B81" s="12">
        <v>5205152012450</v>
      </c>
      <c r="C81" s="12">
        <v>6.23</v>
      </c>
      <c r="D81" s="12">
        <v>0.5</v>
      </c>
      <c r="E81" s="12">
        <f t="shared" si="0"/>
        <v>6.73</v>
      </c>
      <c r="F81" s="12">
        <v>1.24</v>
      </c>
      <c r="G81" s="12">
        <f t="shared" si="1"/>
        <v>8.3452000000000002</v>
      </c>
      <c r="H81" s="12">
        <v>1.1214999999999999</v>
      </c>
      <c r="I81" s="12">
        <f t="shared" si="2"/>
        <v>9.3591417999999997</v>
      </c>
      <c r="J81" s="12">
        <v>0.45</v>
      </c>
      <c r="K81" s="12">
        <f t="shared" si="3"/>
        <v>9.809141799999999</v>
      </c>
    </row>
    <row r="82" spans="1:11" ht="12.75" x14ac:dyDescent="0.2">
      <c r="A82" s="12" t="s">
        <v>1222</v>
      </c>
      <c r="B82" s="12">
        <v>5205152012429</v>
      </c>
      <c r="C82" s="12">
        <v>3.73</v>
      </c>
      <c r="D82" s="12">
        <v>0.3</v>
      </c>
      <c r="E82" s="12">
        <f t="shared" si="0"/>
        <v>4.03</v>
      </c>
      <c r="F82" s="12">
        <v>1.06</v>
      </c>
      <c r="G82" s="12">
        <f t="shared" si="1"/>
        <v>4.2718000000000007</v>
      </c>
      <c r="H82" s="12">
        <v>1.1214999999999999</v>
      </c>
      <c r="I82" s="12">
        <f t="shared" si="2"/>
        <v>4.7908237000000007</v>
      </c>
      <c r="J82" s="12">
        <v>0.25</v>
      </c>
      <c r="K82" s="12">
        <f t="shared" si="3"/>
        <v>5.0408237000000007</v>
      </c>
    </row>
    <row r="83" spans="1:11" ht="12.75" x14ac:dyDescent="0.2">
      <c r="A83" s="12" t="s">
        <v>1223</v>
      </c>
      <c r="B83" s="12">
        <v>5205152009931</v>
      </c>
      <c r="C83" s="12">
        <v>5.14</v>
      </c>
      <c r="D83" s="12">
        <v>0.5</v>
      </c>
      <c r="E83" s="12">
        <f t="shared" si="0"/>
        <v>5.64</v>
      </c>
      <c r="F83" s="12">
        <v>1.24</v>
      </c>
      <c r="G83" s="12">
        <f t="shared" si="1"/>
        <v>6.9935999999999998</v>
      </c>
      <c r="H83" s="12">
        <v>1.1214999999999999</v>
      </c>
      <c r="I83" s="12">
        <f t="shared" si="2"/>
        <v>7.843322399999999</v>
      </c>
      <c r="J83" s="12">
        <v>0.45</v>
      </c>
      <c r="K83" s="12">
        <f t="shared" si="3"/>
        <v>8.2933223999999992</v>
      </c>
    </row>
    <row r="84" spans="1:11" ht="12.75" x14ac:dyDescent="0.2">
      <c r="A84" s="12" t="s">
        <v>1224</v>
      </c>
      <c r="B84" s="12">
        <v>5205152017851</v>
      </c>
      <c r="C84" s="12">
        <v>5.14</v>
      </c>
      <c r="D84" s="12">
        <v>0.5</v>
      </c>
      <c r="E84" s="12">
        <f t="shared" si="0"/>
        <v>5.64</v>
      </c>
      <c r="F84" s="12">
        <v>1.24</v>
      </c>
      <c r="G84" s="12">
        <f t="shared" si="1"/>
        <v>6.9935999999999998</v>
      </c>
      <c r="H84" s="12">
        <v>1.1214999999999999</v>
      </c>
      <c r="I84" s="12">
        <f t="shared" si="2"/>
        <v>7.843322399999999</v>
      </c>
      <c r="J84" s="12">
        <v>0.45</v>
      </c>
      <c r="K84" s="12">
        <f t="shared" si="3"/>
        <v>8.2933223999999992</v>
      </c>
    </row>
    <row r="85" spans="1:11" ht="12.75" x14ac:dyDescent="0.2">
      <c r="A85" s="6" t="s">
        <v>1225</v>
      </c>
      <c r="B85" s="6" t="s">
        <v>1226</v>
      </c>
      <c r="C85" s="12">
        <v>38.200000000000003</v>
      </c>
      <c r="D85" s="12">
        <v>0.6</v>
      </c>
      <c r="E85" s="12">
        <f t="shared" si="0"/>
        <v>38.800000000000004</v>
      </c>
      <c r="F85" s="12">
        <v>1.24</v>
      </c>
      <c r="G85" s="12">
        <f t="shared" si="1"/>
        <v>48.112000000000002</v>
      </c>
      <c r="H85" s="12">
        <v>1.1214999999999999</v>
      </c>
      <c r="I85" s="12">
        <f t="shared" si="2"/>
        <v>53.957608</v>
      </c>
      <c r="J85" s="12">
        <v>0.74</v>
      </c>
      <c r="K85" s="12">
        <f t="shared" si="3"/>
        <v>54.697608000000002</v>
      </c>
    </row>
    <row r="86" spans="1:11" ht="12.75" x14ac:dyDescent="0.2">
      <c r="C86" s="12">
        <v>0</v>
      </c>
      <c r="D86" s="12">
        <v>0.9</v>
      </c>
      <c r="E86" s="12">
        <f t="shared" si="0"/>
        <v>0.9</v>
      </c>
      <c r="F86" s="12">
        <v>1.24</v>
      </c>
      <c r="G86" s="12">
        <f t="shared" si="1"/>
        <v>1.1160000000000001</v>
      </c>
      <c r="H86" s="12">
        <v>1.1214999999999999</v>
      </c>
      <c r="I86" s="12">
        <f t="shared" si="2"/>
        <v>1.2515940000000001</v>
      </c>
      <c r="J86" s="12">
        <v>0.74</v>
      </c>
      <c r="K86" s="12">
        <f t="shared" si="3"/>
        <v>1.9915940000000001</v>
      </c>
    </row>
    <row r="87" spans="1:11" ht="12.75" x14ac:dyDescent="0.2">
      <c r="C87" s="12">
        <v>0</v>
      </c>
      <c r="D87" s="12">
        <v>0.9</v>
      </c>
      <c r="E87" s="12">
        <f t="shared" si="0"/>
        <v>0.9</v>
      </c>
      <c r="F87" s="12">
        <v>1.24</v>
      </c>
      <c r="G87" s="12">
        <f t="shared" si="1"/>
        <v>1.1160000000000001</v>
      </c>
      <c r="H87" s="12">
        <v>1.1214999999999999</v>
      </c>
      <c r="I87" s="12">
        <f t="shared" si="2"/>
        <v>1.2515940000000001</v>
      </c>
      <c r="J87" s="12">
        <v>0.74</v>
      </c>
      <c r="K87" s="12">
        <f t="shared" si="3"/>
        <v>1.9915940000000001</v>
      </c>
    </row>
    <row r="88" spans="1:11" ht="12.75" x14ac:dyDescent="0.2">
      <c r="C88" s="12">
        <v>0</v>
      </c>
      <c r="D88" s="12">
        <v>0.9</v>
      </c>
      <c r="E88" s="12">
        <f t="shared" si="0"/>
        <v>0.9</v>
      </c>
      <c r="F88" s="12">
        <v>1.24</v>
      </c>
      <c r="G88" s="12">
        <f t="shared" si="1"/>
        <v>1.1160000000000001</v>
      </c>
      <c r="H88" s="12">
        <v>1.1214999999999999</v>
      </c>
      <c r="I88" s="12">
        <f t="shared" si="2"/>
        <v>1.2515940000000001</v>
      </c>
      <c r="J88" s="12">
        <v>0.74</v>
      </c>
      <c r="K88" s="12">
        <f t="shared" si="3"/>
        <v>1.9915940000000001</v>
      </c>
    </row>
    <row r="89" spans="1:11" ht="12.75" x14ac:dyDescent="0.2">
      <c r="C89" s="12">
        <v>0</v>
      </c>
      <c r="D89" s="12">
        <v>0.9</v>
      </c>
      <c r="E89" s="12">
        <f t="shared" si="0"/>
        <v>0.9</v>
      </c>
      <c r="F89" s="12">
        <v>1.24</v>
      </c>
      <c r="G89" s="12">
        <f t="shared" si="1"/>
        <v>1.1160000000000001</v>
      </c>
      <c r="H89" s="12">
        <v>1.1214999999999999</v>
      </c>
      <c r="I89" s="12">
        <f t="shared" si="2"/>
        <v>1.2515940000000001</v>
      </c>
      <c r="J89" s="12">
        <v>0.74</v>
      </c>
      <c r="K89" s="12">
        <f t="shared" si="3"/>
        <v>1.9915940000000001</v>
      </c>
    </row>
    <row r="90" spans="1:11" ht="12.75" x14ac:dyDescent="0.2">
      <c r="C90" s="12">
        <v>0</v>
      </c>
      <c r="D90" s="12">
        <v>0.9</v>
      </c>
      <c r="E90" s="12">
        <f t="shared" si="0"/>
        <v>0.9</v>
      </c>
      <c r="F90" s="12">
        <v>1.24</v>
      </c>
      <c r="G90" s="12">
        <f t="shared" si="1"/>
        <v>1.1160000000000001</v>
      </c>
      <c r="H90" s="12">
        <v>1.1214999999999999</v>
      </c>
      <c r="I90" s="12">
        <f t="shared" si="2"/>
        <v>1.2515940000000001</v>
      </c>
      <c r="J90" s="12">
        <v>0.74</v>
      </c>
      <c r="K90" s="12">
        <f t="shared" si="3"/>
        <v>1.9915940000000001</v>
      </c>
    </row>
    <row r="91" spans="1:11" ht="12.75" x14ac:dyDescent="0.2">
      <c r="C91" s="12">
        <v>0</v>
      </c>
      <c r="D91" s="12">
        <v>0.9</v>
      </c>
      <c r="E91" s="12">
        <f t="shared" si="0"/>
        <v>0.9</v>
      </c>
      <c r="F91" s="12">
        <v>1.24</v>
      </c>
      <c r="G91" s="12">
        <f t="shared" si="1"/>
        <v>1.1160000000000001</v>
      </c>
      <c r="H91" s="12">
        <v>1.1214999999999999</v>
      </c>
      <c r="I91" s="12">
        <f t="shared" si="2"/>
        <v>1.2515940000000001</v>
      </c>
      <c r="J91" s="12">
        <v>0.74</v>
      </c>
      <c r="K91" s="12">
        <f t="shared" si="3"/>
        <v>1.9915940000000001</v>
      </c>
    </row>
    <row r="92" spans="1:11" ht="12.75" x14ac:dyDescent="0.2">
      <c r="C92" s="12">
        <v>0</v>
      </c>
      <c r="D92" s="12">
        <v>0.9</v>
      </c>
      <c r="E92" s="12">
        <f t="shared" si="0"/>
        <v>0.9</v>
      </c>
      <c r="F92" s="12">
        <v>1.24</v>
      </c>
      <c r="G92" s="12">
        <f t="shared" si="1"/>
        <v>1.1160000000000001</v>
      </c>
      <c r="H92" s="12">
        <v>1.1214999999999999</v>
      </c>
      <c r="I92" s="12">
        <f t="shared" si="2"/>
        <v>1.2515940000000001</v>
      </c>
      <c r="J92" s="12">
        <v>0.74</v>
      </c>
      <c r="K92" s="12">
        <f t="shared" si="3"/>
        <v>1.9915940000000001</v>
      </c>
    </row>
    <row r="93" spans="1:11" ht="12.75" x14ac:dyDescent="0.2">
      <c r="C93" s="12">
        <v>0</v>
      </c>
      <c r="D93" s="12">
        <v>0.9</v>
      </c>
      <c r="E93" s="12">
        <f t="shared" si="0"/>
        <v>0.9</v>
      </c>
      <c r="F93" s="12">
        <v>1.24</v>
      </c>
      <c r="G93" s="12">
        <f t="shared" si="1"/>
        <v>1.1160000000000001</v>
      </c>
      <c r="H93" s="12">
        <v>1.1214999999999999</v>
      </c>
      <c r="I93" s="12">
        <f t="shared" si="2"/>
        <v>1.2515940000000001</v>
      </c>
      <c r="J93" s="12">
        <v>0.74</v>
      </c>
      <c r="K93" s="12">
        <f t="shared" si="3"/>
        <v>1.9915940000000001</v>
      </c>
    </row>
    <row r="94" spans="1:11" ht="12.75" x14ac:dyDescent="0.2">
      <c r="C94" s="12">
        <v>0</v>
      </c>
      <c r="D94" s="12">
        <v>0.9</v>
      </c>
      <c r="E94" s="12">
        <f t="shared" si="0"/>
        <v>0.9</v>
      </c>
      <c r="F94" s="12">
        <v>1.24</v>
      </c>
      <c r="G94" s="12">
        <f t="shared" si="1"/>
        <v>1.1160000000000001</v>
      </c>
      <c r="H94" s="12">
        <v>1.1214999999999999</v>
      </c>
      <c r="I94" s="12">
        <f t="shared" si="2"/>
        <v>1.2515940000000001</v>
      </c>
      <c r="J94" s="12">
        <v>0.74</v>
      </c>
      <c r="K94" s="12">
        <f t="shared" si="3"/>
        <v>1.9915940000000001</v>
      </c>
    </row>
    <row r="95" spans="1:11" ht="12.75" x14ac:dyDescent="0.2">
      <c r="C95" s="12">
        <v>0</v>
      </c>
      <c r="D95" s="12">
        <v>0.9</v>
      </c>
      <c r="E95" s="12">
        <f t="shared" si="0"/>
        <v>0.9</v>
      </c>
      <c r="F95" s="12">
        <v>1.24</v>
      </c>
      <c r="G95" s="12">
        <f t="shared" si="1"/>
        <v>1.1160000000000001</v>
      </c>
      <c r="H95" s="12">
        <v>1.1214999999999999</v>
      </c>
      <c r="I95" s="12">
        <f t="shared" si="2"/>
        <v>1.2515940000000001</v>
      </c>
      <c r="J95" s="12">
        <v>0.74</v>
      </c>
      <c r="K95" s="12">
        <f t="shared" si="3"/>
        <v>1.9915940000000001</v>
      </c>
    </row>
    <row r="96" spans="1:11" ht="12.75" x14ac:dyDescent="0.2">
      <c r="C96" s="12">
        <v>0</v>
      </c>
      <c r="D96" s="12">
        <v>0.9</v>
      </c>
      <c r="E96" s="12">
        <f t="shared" si="0"/>
        <v>0.9</v>
      </c>
      <c r="F96" s="12">
        <v>1.24</v>
      </c>
      <c r="G96" s="12">
        <f t="shared" si="1"/>
        <v>1.1160000000000001</v>
      </c>
      <c r="H96" s="12">
        <v>1.1214999999999999</v>
      </c>
      <c r="I96" s="12">
        <f t="shared" si="2"/>
        <v>1.2515940000000001</v>
      </c>
      <c r="J96" s="12">
        <v>0.74</v>
      </c>
      <c r="K96" s="12">
        <f t="shared" si="3"/>
        <v>1.9915940000000001</v>
      </c>
    </row>
    <row r="97" spans="3:11" ht="12.75" x14ac:dyDescent="0.2">
      <c r="C97" s="12">
        <v>0</v>
      </c>
      <c r="D97" s="12">
        <v>0.9</v>
      </c>
      <c r="E97" s="12">
        <f t="shared" si="0"/>
        <v>0.9</v>
      </c>
      <c r="F97" s="12">
        <v>1.24</v>
      </c>
      <c r="G97" s="12">
        <f t="shared" si="1"/>
        <v>1.1160000000000001</v>
      </c>
      <c r="H97" s="12">
        <v>1.1214999999999999</v>
      </c>
      <c r="I97" s="12">
        <f t="shared" si="2"/>
        <v>1.2515940000000001</v>
      </c>
      <c r="J97" s="12">
        <v>0.74</v>
      </c>
      <c r="K97" s="12">
        <f t="shared" si="3"/>
        <v>1.9915940000000001</v>
      </c>
    </row>
    <row r="98" spans="3:11" ht="12.75" x14ac:dyDescent="0.2">
      <c r="C98" s="12">
        <v>0</v>
      </c>
      <c r="D98" s="12">
        <v>0.9</v>
      </c>
      <c r="E98" s="12">
        <f t="shared" si="0"/>
        <v>0.9</v>
      </c>
      <c r="F98" s="12">
        <v>1.24</v>
      </c>
      <c r="G98" s="12">
        <f t="shared" si="1"/>
        <v>1.1160000000000001</v>
      </c>
      <c r="H98" s="12">
        <v>1.1214999999999999</v>
      </c>
      <c r="I98" s="12">
        <f t="shared" si="2"/>
        <v>1.2515940000000001</v>
      </c>
      <c r="J98" s="12">
        <v>0.74</v>
      </c>
      <c r="K98" s="12">
        <f t="shared" si="3"/>
        <v>1.9915940000000001</v>
      </c>
    </row>
    <row r="99" spans="3:11" ht="12.75" x14ac:dyDescent="0.2">
      <c r="C99" s="12">
        <v>0</v>
      </c>
      <c r="D99" s="12">
        <v>0.9</v>
      </c>
      <c r="E99" s="12">
        <f t="shared" si="0"/>
        <v>0.9</v>
      </c>
      <c r="F99" s="12">
        <v>1.24</v>
      </c>
      <c r="G99" s="12">
        <f t="shared" si="1"/>
        <v>1.1160000000000001</v>
      </c>
      <c r="H99" s="12">
        <v>1.1214999999999999</v>
      </c>
      <c r="I99" s="12">
        <f t="shared" si="2"/>
        <v>1.2515940000000001</v>
      </c>
      <c r="J99" s="12">
        <v>0.74</v>
      </c>
      <c r="K99" s="12">
        <f t="shared" si="3"/>
        <v>1.9915940000000001</v>
      </c>
    </row>
    <row r="100" spans="3:11" ht="12.75" x14ac:dyDescent="0.2">
      <c r="C100" s="12">
        <v>0</v>
      </c>
      <c r="D100" s="12">
        <v>0.9</v>
      </c>
      <c r="E100" s="12">
        <f t="shared" si="0"/>
        <v>0.9</v>
      </c>
      <c r="F100" s="12">
        <v>1.24</v>
      </c>
      <c r="G100" s="12">
        <f t="shared" si="1"/>
        <v>1.1160000000000001</v>
      </c>
      <c r="H100" s="12">
        <v>1.1214999999999999</v>
      </c>
      <c r="I100" s="12">
        <f t="shared" si="2"/>
        <v>1.2515940000000001</v>
      </c>
      <c r="J100" s="12">
        <v>0.74</v>
      </c>
      <c r="K100" s="12">
        <f t="shared" si="3"/>
        <v>1.9915940000000001</v>
      </c>
    </row>
    <row r="101" spans="3:11" ht="12.75" x14ac:dyDescent="0.2">
      <c r="C101" s="12">
        <v>0</v>
      </c>
      <c r="D101" s="12">
        <v>0.9</v>
      </c>
      <c r="E101" s="12">
        <f t="shared" si="0"/>
        <v>0.9</v>
      </c>
      <c r="F101" s="12">
        <v>1.24</v>
      </c>
      <c r="G101" s="12">
        <f t="shared" si="1"/>
        <v>1.1160000000000001</v>
      </c>
      <c r="H101" s="12">
        <v>1.1214999999999999</v>
      </c>
      <c r="I101" s="12">
        <f t="shared" si="2"/>
        <v>1.2515940000000001</v>
      </c>
      <c r="J101" s="12">
        <v>0.74</v>
      </c>
      <c r="K101" s="12">
        <f t="shared" si="3"/>
        <v>1.9915940000000001</v>
      </c>
    </row>
    <row r="102" spans="3:11" ht="12.75" x14ac:dyDescent="0.2">
      <c r="C102" s="12">
        <v>0</v>
      </c>
      <c r="D102" s="12">
        <v>0.9</v>
      </c>
      <c r="E102" s="12">
        <f t="shared" si="0"/>
        <v>0.9</v>
      </c>
      <c r="F102" s="12">
        <v>1.24</v>
      </c>
      <c r="G102" s="12">
        <f t="shared" si="1"/>
        <v>1.1160000000000001</v>
      </c>
      <c r="H102" s="12">
        <v>1.1214999999999999</v>
      </c>
      <c r="I102" s="12">
        <f t="shared" si="2"/>
        <v>1.2515940000000001</v>
      </c>
      <c r="J102" s="12">
        <v>0.74</v>
      </c>
      <c r="K102" s="12">
        <f t="shared" si="3"/>
        <v>1.9915940000000001</v>
      </c>
    </row>
    <row r="103" spans="3:11" ht="12.75" x14ac:dyDescent="0.2">
      <c r="C103" s="12">
        <v>0</v>
      </c>
      <c r="D103" s="12">
        <v>0.9</v>
      </c>
      <c r="E103" s="12">
        <f t="shared" si="0"/>
        <v>0.9</v>
      </c>
      <c r="F103" s="12">
        <v>1.24</v>
      </c>
      <c r="G103" s="12">
        <f t="shared" si="1"/>
        <v>1.1160000000000001</v>
      </c>
      <c r="H103" s="12">
        <v>1.1214999999999999</v>
      </c>
      <c r="I103" s="12">
        <f t="shared" si="2"/>
        <v>1.2515940000000001</v>
      </c>
      <c r="J103" s="12">
        <v>0.74</v>
      </c>
      <c r="K103" s="12">
        <f t="shared" si="3"/>
        <v>1.9915940000000001</v>
      </c>
    </row>
    <row r="104" spans="3:11" ht="12.75" x14ac:dyDescent="0.2">
      <c r="C104" s="12">
        <v>0</v>
      </c>
      <c r="D104" s="12">
        <v>0.9</v>
      </c>
      <c r="E104" s="12">
        <f t="shared" si="0"/>
        <v>0.9</v>
      </c>
      <c r="F104" s="12">
        <v>1.24</v>
      </c>
      <c r="G104" s="12">
        <f t="shared" si="1"/>
        <v>1.1160000000000001</v>
      </c>
      <c r="H104" s="12">
        <v>1.1214999999999999</v>
      </c>
      <c r="I104" s="12">
        <f t="shared" si="2"/>
        <v>1.2515940000000001</v>
      </c>
      <c r="J104" s="12">
        <v>0.74</v>
      </c>
      <c r="K104" s="12">
        <f t="shared" si="3"/>
        <v>1.9915940000000001</v>
      </c>
    </row>
    <row r="105" spans="3:11" ht="12.75" x14ac:dyDescent="0.2">
      <c r="C105" s="12">
        <v>0</v>
      </c>
      <c r="D105" s="12">
        <v>0.9</v>
      </c>
      <c r="E105" s="12">
        <f t="shared" si="0"/>
        <v>0.9</v>
      </c>
      <c r="F105" s="12">
        <v>1.24</v>
      </c>
      <c r="G105" s="12">
        <f t="shared" si="1"/>
        <v>1.1160000000000001</v>
      </c>
      <c r="H105" s="12">
        <v>1.1214999999999999</v>
      </c>
      <c r="I105" s="12">
        <f t="shared" si="2"/>
        <v>1.2515940000000001</v>
      </c>
      <c r="J105" s="12">
        <v>0.74</v>
      </c>
      <c r="K105" s="12">
        <f t="shared" si="3"/>
        <v>1.9915940000000001</v>
      </c>
    </row>
    <row r="106" spans="3:11" ht="12.75" x14ac:dyDescent="0.2">
      <c r="C106" s="12">
        <v>0</v>
      </c>
      <c r="D106" s="12">
        <v>0.9</v>
      </c>
      <c r="E106" s="12">
        <f t="shared" si="0"/>
        <v>0.9</v>
      </c>
      <c r="F106" s="12">
        <v>1.24</v>
      </c>
      <c r="G106" s="12">
        <f t="shared" si="1"/>
        <v>1.1160000000000001</v>
      </c>
      <c r="H106" s="12">
        <v>1.1214999999999999</v>
      </c>
      <c r="I106" s="12">
        <f t="shared" si="2"/>
        <v>1.2515940000000001</v>
      </c>
      <c r="J106" s="12">
        <v>0.74</v>
      </c>
      <c r="K106" s="12">
        <f t="shared" si="3"/>
        <v>1.9915940000000001</v>
      </c>
    </row>
    <row r="107" spans="3:11" ht="12.75" x14ac:dyDescent="0.2">
      <c r="C107" s="12">
        <v>0</v>
      </c>
      <c r="D107" s="12">
        <v>0.9</v>
      </c>
      <c r="E107" s="12">
        <f t="shared" si="0"/>
        <v>0.9</v>
      </c>
      <c r="F107" s="12">
        <v>1.24</v>
      </c>
      <c r="G107" s="12">
        <f t="shared" si="1"/>
        <v>1.1160000000000001</v>
      </c>
      <c r="H107" s="12">
        <v>1.1214999999999999</v>
      </c>
      <c r="I107" s="12">
        <f t="shared" si="2"/>
        <v>1.2515940000000001</v>
      </c>
      <c r="J107" s="12">
        <v>0.74</v>
      </c>
      <c r="K107" s="12">
        <f t="shared" si="3"/>
        <v>1.9915940000000001</v>
      </c>
    </row>
    <row r="108" spans="3:11" ht="12.75" x14ac:dyDescent="0.2">
      <c r="J108" s="12">
        <v>0.74</v>
      </c>
    </row>
    <row r="109" spans="3:11" ht="12.75" x14ac:dyDescent="0.2">
      <c r="J109" s="12">
        <v>0.74</v>
      </c>
    </row>
    <row r="110" spans="3:11" ht="12.75" x14ac:dyDescent="0.2">
      <c r="J110" s="12">
        <v>0.74</v>
      </c>
    </row>
    <row r="111" spans="3:11" ht="12.75" x14ac:dyDescent="0.2">
      <c r="J111" s="12">
        <v>0.74</v>
      </c>
    </row>
    <row r="112" spans="3:11" ht="12.75" x14ac:dyDescent="0.2">
      <c r="J112" s="12">
        <v>0.74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2:K18"/>
  <sheetViews>
    <sheetView workbookViewId="0"/>
  </sheetViews>
  <sheetFormatPr defaultColWidth="12.5703125" defaultRowHeight="15.75" customHeight="1" x14ac:dyDescent="0.2"/>
  <cols>
    <col min="1" max="1" width="14.5703125" customWidth="1"/>
    <col min="2" max="2" width="18.7109375" customWidth="1"/>
  </cols>
  <sheetData>
    <row r="2" spans="1:11" x14ac:dyDescent="0.2">
      <c r="A2" s="6" t="s">
        <v>1227</v>
      </c>
      <c r="B2" s="6" t="s">
        <v>1228</v>
      </c>
      <c r="C2" s="12">
        <v>8.76</v>
      </c>
      <c r="D2" s="12">
        <v>0.9</v>
      </c>
      <c r="E2" s="12">
        <f t="shared" ref="E2:E18" si="0">SUM(C2)+D2</f>
        <v>9.66</v>
      </c>
      <c r="F2" s="12">
        <v>1.24</v>
      </c>
      <c r="G2" s="12">
        <f t="shared" ref="G2:G18" si="1">SUM(E2)*F2</f>
        <v>11.978400000000001</v>
      </c>
      <c r="H2" s="12">
        <v>1.1214999999999999</v>
      </c>
      <c r="I2" s="12">
        <f t="shared" ref="I2:I18" si="2">SUM(G2)*H2</f>
        <v>13.433775600000001</v>
      </c>
      <c r="J2" s="12">
        <v>0.73999999999999899</v>
      </c>
      <c r="K2" s="12">
        <f t="shared" ref="K2:K18" si="3">SUM(I2)+J2</f>
        <v>14.173775599999999</v>
      </c>
    </row>
    <row r="3" spans="1:11" x14ac:dyDescent="0.2">
      <c r="A3" s="6" t="s">
        <v>1229</v>
      </c>
      <c r="B3" s="6" t="s">
        <v>1230</v>
      </c>
      <c r="C3" s="12">
        <v>14.34</v>
      </c>
      <c r="D3" s="12">
        <v>0.9</v>
      </c>
      <c r="E3" s="12">
        <f t="shared" si="0"/>
        <v>15.24</v>
      </c>
      <c r="F3" s="12">
        <v>1.24</v>
      </c>
      <c r="G3" s="12">
        <f t="shared" si="1"/>
        <v>18.897600000000001</v>
      </c>
      <c r="H3" s="12">
        <v>1.1214999999999999</v>
      </c>
      <c r="I3" s="12">
        <f t="shared" si="2"/>
        <v>21.1936584</v>
      </c>
      <c r="J3" s="12">
        <v>0.73999999999999899</v>
      </c>
      <c r="K3" s="12">
        <f t="shared" si="3"/>
        <v>21.933658399999999</v>
      </c>
    </row>
    <row r="4" spans="1:11" x14ac:dyDescent="0.2">
      <c r="A4" s="6" t="s">
        <v>1231</v>
      </c>
      <c r="B4" s="6" t="s">
        <v>1232</v>
      </c>
      <c r="C4" s="12">
        <v>9.1199999999999992</v>
      </c>
      <c r="D4" s="12">
        <v>0.9</v>
      </c>
      <c r="E4" s="12">
        <f t="shared" si="0"/>
        <v>10.02</v>
      </c>
      <c r="F4" s="12">
        <v>1.24</v>
      </c>
      <c r="G4" s="12">
        <f t="shared" si="1"/>
        <v>12.424799999999999</v>
      </c>
      <c r="H4" s="12">
        <v>1.1214999999999999</v>
      </c>
      <c r="I4" s="12">
        <f t="shared" si="2"/>
        <v>13.934413199999998</v>
      </c>
      <c r="J4" s="12">
        <v>0.73999999999999899</v>
      </c>
      <c r="K4" s="12">
        <f t="shared" si="3"/>
        <v>14.674413199999996</v>
      </c>
    </row>
    <row r="5" spans="1:11" x14ac:dyDescent="0.2">
      <c r="A5" s="6" t="s">
        <v>1233</v>
      </c>
      <c r="B5" s="6" t="s">
        <v>1234</v>
      </c>
      <c r="C5" s="12">
        <v>12.75</v>
      </c>
      <c r="D5" s="12">
        <v>0.9</v>
      </c>
      <c r="E5" s="12">
        <f t="shared" si="0"/>
        <v>13.65</v>
      </c>
      <c r="F5" s="12">
        <v>1.24</v>
      </c>
      <c r="G5" s="12">
        <f t="shared" si="1"/>
        <v>16.926000000000002</v>
      </c>
      <c r="H5" s="12">
        <v>1.1214999999999999</v>
      </c>
      <c r="I5" s="12">
        <f t="shared" si="2"/>
        <v>18.982509</v>
      </c>
      <c r="J5" s="12">
        <v>0.73999999999999899</v>
      </c>
      <c r="K5" s="12">
        <f t="shared" si="3"/>
        <v>19.722508999999999</v>
      </c>
    </row>
    <row r="6" spans="1:11" x14ac:dyDescent="0.2">
      <c r="A6" s="6" t="s">
        <v>1235</v>
      </c>
      <c r="B6" s="6" t="s">
        <v>1236</v>
      </c>
      <c r="C6" s="12">
        <v>10.23</v>
      </c>
      <c r="D6" s="12">
        <v>0.9</v>
      </c>
      <c r="E6" s="12">
        <f t="shared" si="0"/>
        <v>11.13</v>
      </c>
      <c r="F6" s="12">
        <v>1.24</v>
      </c>
      <c r="G6" s="12">
        <f t="shared" si="1"/>
        <v>13.801200000000001</v>
      </c>
      <c r="H6" s="12">
        <v>1.1214999999999999</v>
      </c>
      <c r="I6" s="12">
        <f t="shared" si="2"/>
        <v>15.4780458</v>
      </c>
      <c r="J6" s="12">
        <v>0.73999999999999899</v>
      </c>
      <c r="K6" s="12">
        <f t="shared" si="3"/>
        <v>16.218045799999999</v>
      </c>
    </row>
    <row r="7" spans="1:11" x14ac:dyDescent="0.2">
      <c r="A7" s="6" t="s">
        <v>1237</v>
      </c>
      <c r="B7" s="6" t="s">
        <v>1238</v>
      </c>
      <c r="C7" s="12">
        <v>10.86</v>
      </c>
      <c r="D7" s="12">
        <v>0.9</v>
      </c>
      <c r="E7" s="12">
        <f t="shared" si="0"/>
        <v>11.76</v>
      </c>
      <c r="F7" s="12">
        <v>1.24</v>
      </c>
      <c r="G7" s="12">
        <f t="shared" si="1"/>
        <v>14.5824</v>
      </c>
      <c r="H7" s="12">
        <v>1.1214999999999999</v>
      </c>
      <c r="I7" s="12">
        <f t="shared" si="2"/>
        <v>16.354161599999998</v>
      </c>
      <c r="J7" s="12">
        <v>0.73999999999999899</v>
      </c>
      <c r="K7" s="12">
        <f t="shared" si="3"/>
        <v>17.094161599999996</v>
      </c>
    </row>
    <row r="8" spans="1:11" x14ac:dyDescent="0.2">
      <c r="A8" s="12" t="s">
        <v>1239</v>
      </c>
      <c r="B8" s="12">
        <v>5214001561933</v>
      </c>
      <c r="C8" s="12">
        <v>13.52</v>
      </c>
      <c r="D8" s="12">
        <v>0.9</v>
      </c>
      <c r="E8" s="12">
        <f t="shared" si="0"/>
        <v>14.42</v>
      </c>
      <c r="F8" s="12">
        <v>1.24</v>
      </c>
      <c r="G8" s="12">
        <f t="shared" si="1"/>
        <v>17.880800000000001</v>
      </c>
      <c r="H8" s="12">
        <v>1.1214999999999999</v>
      </c>
      <c r="I8" s="12">
        <f t="shared" si="2"/>
        <v>20.053317199999999</v>
      </c>
      <c r="J8" s="12">
        <v>0.73999999999999899</v>
      </c>
      <c r="K8" s="12">
        <f t="shared" si="3"/>
        <v>20.793317199999997</v>
      </c>
    </row>
    <row r="9" spans="1:11" x14ac:dyDescent="0.2">
      <c r="A9" s="12" t="s">
        <v>1240</v>
      </c>
      <c r="B9" s="12">
        <v>5214001561964</v>
      </c>
      <c r="C9" s="12">
        <v>8.2799999999999994</v>
      </c>
      <c r="D9" s="12">
        <v>0.9</v>
      </c>
      <c r="E9" s="12">
        <f t="shared" si="0"/>
        <v>9.18</v>
      </c>
      <c r="F9" s="12">
        <v>1.24</v>
      </c>
      <c r="G9" s="12">
        <f t="shared" si="1"/>
        <v>11.3832</v>
      </c>
      <c r="H9" s="12">
        <v>1.1214999999999999</v>
      </c>
      <c r="I9" s="12">
        <f t="shared" si="2"/>
        <v>12.766258799999999</v>
      </c>
      <c r="J9" s="12">
        <v>0.73999999999999899</v>
      </c>
      <c r="K9" s="12">
        <f t="shared" si="3"/>
        <v>13.506258799999998</v>
      </c>
    </row>
    <row r="10" spans="1:11" x14ac:dyDescent="0.2">
      <c r="A10" s="12" t="s">
        <v>1241</v>
      </c>
      <c r="B10" s="12">
        <v>8024790231040</v>
      </c>
      <c r="C10" s="12">
        <v>9.9600000000000009</v>
      </c>
      <c r="D10" s="12">
        <v>0.9</v>
      </c>
      <c r="E10" s="12">
        <f t="shared" si="0"/>
        <v>10.860000000000001</v>
      </c>
      <c r="F10" s="12">
        <v>1.24</v>
      </c>
      <c r="G10" s="12">
        <f t="shared" si="1"/>
        <v>13.466400000000002</v>
      </c>
      <c r="H10" s="12">
        <v>1.1214999999999999</v>
      </c>
      <c r="I10" s="12">
        <f t="shared" si="2"/>
        <v>15.102567600000002</v>
      </c>
      <c r="J10" s="12">
        <v>0.73999999999999899</v>
      </c>
      <c r="K10" s="12">
        <f t="shared" si="3"/>
        <v>15.842567600000001</v>
      </c>
    </row>
    <row r="11" spans="1:11" x14ac:dyDescent="0.2">
      <c r="C11" s="12">
        <v>0</v>
      </c>
      <c r="D11" s="12">
        <v>0.9</v>
      </c>
      <c r="E11" s="12">
        <f t="shared" si="0"/>
        <v>0.9</v>
      </c>
      <c r="F11" s="12">
        <v>1.24</v>
      </c>
      <c r="G11" s="12">
        <f t="shared" si="1"/>
        <v>1.1160000000000001</v>
      </c>
      <c r="H11" s="12">
        <v>1.1214999999999999</v>
      </c>
      <c r="I11" s="12">
        <f t="shared" si="2"/>
        <v>1.2515940000000001</v>
      </c>
      <c r="J11" s="12">
        <v>0.73999999999999899</v>
      </c>
      <c r="K11" s="12">
        <f t="shared" si="3"/>
        <v>1.9915939999999992</v>
      </c>
    </row>
    <row r="12" spans="1:11" x14ac:dyDescent="0.2">
      <c r="C12" s="12">
        <v>0</v>
      </c>
      <c r="D12" s="12">
        <v>0.9</v>
      </c>
      <c r="E12" s="12">
        <f t="shared" si="0"/>
        <v>0.9</v>
      </c>
      <c r="F12" s="12">
        <v>1.24</v>
      </c>
      <c r="G12" s="12">
        <f t="shared" si="1"/>
        <v>1.1160000000000001</v>
      </c>
      <c r="H12" s="12">
        <v>1.1214999999999999</v>
      </c>
      <c r="I12" s="12">
        <f t="shared" si="2"/>
        <v>1.2515940000000001</v>
      </c>
      <c r="J12" s="12">
        <v>0.73999999999999899</v>
      </c>
      <c r="K12" s="12">
        <f t="shared" si="3"/>
        <v>1.9915939999999992</v>
      </c>
    </row>
    <row r="13" spans="1:11" x14ac:dyDescent="0.2">
      <c r="C13" s="12">
        <v>0</v>
      </c>
      <c r="D13" s="12">
        <v>0.9</v>
      </c>
      <c r="E13" s="12">
        <f t="shared" si="0"/>
        <v>0.9</v>
      </c>
      <c r="F13" s="12">
        <v>1.24</v>
      </c>
      <c r="G13" s="12">
        <f t="shared" si="1"/>
        <v>1.1160000000000001</v>
      </c>
      <c r="H13" s="12">
        <v>1.1214999999999999</v>
      </c>
      <c r="I13" s="12">
        <f t="shared" si="2"/>
        <v>1.2515940000000001</v>
      </c>
      <c r="J13" s="12">
        <v>0.73999999999999899</v>
      </c>
      <c r="K13" s="12">
        <f t="shared" si="3"/>
        <v>1.9915939999999992</v>
      </c>
    </row>
    <row r="14" spans="1:11" x14ac:dyDescent="0.2">
      <c r="C14" s="12">
        <v>0</v>
      </c>
      <c r="D14" s="12">
        <v>0.9</v>
      </c>
      <c r="E14" s="12">
        <f t="shared" si="0"/>
        <v>0.9</v>
      </c>
      <c r="F14" s="12">
        <v>1.24</v>
      </c>
      <c r="G14" s="12">
        <f t="shared" si="1"/>
        <v>1.1160000000000001</v>
      </c>
      <c r="H14" s="12">
        <v>1.1214999999999999</v>
      </c>
      <c r="I14" s="12">
        <f t="shared" si="2"/>
        <v>1.2515940000000001</v>
      </c>
      <c r="J14" s="12">
        <v>0.73999999999999899</v>
      </c>
      <c r="K14" s="12">
        <f t="shared" si="3"/>
        <v>1.9915939999999992</v>
      </c>
    </row>
    <row r="15" spans="1:11" x14ac:dyDescent="0.2">
      <c r="C15" s="12">
        <v>0</v>
      </c>
      <c r="D15" s="12">
        <v>0.9</v>
      </c>
      <c r="E15" s="12">
        <f t="shared" si="0"/>
        <v>0.9</v>
      </c>
      <c r="F15" s="12">
        <v>1.24</v>
      </c>
      <c r="G15" s="12">
        <f t="shared" si="1"/>
        <v>1.1160000000000001</v>
      </c>
      <c r="H15" s="12">
        <v>1.1214999999999999</v>
      </c>
      <c r="I15" s="12">
        <f t="shared" si="2"/>
        <v>1.2515940000000001</v>
      </c>
      <c r="J15" s="12">
        <v>0.73999999999999899</v>
      </c>
      <c r="K15" s="12">
        <f t="shared" si="3"/>
        <v>1.9915939999999992</v>
      </c>
    </row>
    <row r="16" spans="1:11" x14ac:dyDescent="0.2">
      <c r="C16" s="12">
        <v>0</v>
      </c>
      <c r="D16" s="12">
        <v>0.9</v>
      </c>
      <c r="E16" s="12">
        <f t="shared" si="0"/>
        <v>0.9</v>
      </c>
      <c r="F16" s="12">
        <v>1.24</v>
      </c>
      <c r="G16" s="12">
        <f t="shared" si="1"/>
        <v>1.1160000000000001</v>
      </c>
      <c r="H16" s="12">
        <v>1.1214999999999999</v>
      </c>
      <c r="I16" s="12">
        <f t="shared" si="2"/>
        <v>1.2515940000000001</v>
      </c>
      <c r="J16" s="12">
        <v>0.73999999999999899</v>
      </c>
      <c r="K16" s="12">
        <f t="shared" si="3"/>
        <v>1.9915939999999992</v>
      </c>
    </row>
    <row r="17" spans="3:11" x14ac:dyDescent="0.2">
      <c r="C17" s="12">
        <v>0</v>
      </c>
      <c r="D17" s="12">
        <v>0.9</v>
      </c>
      <c r="E17" s="12">
        <f t="shared" si="0"/>
        <v>0.9</v>
      </c>
      <c r="F17" s="12">
        <v>1.24</v>
      </c>
      <c r="G17" s="12">
        <f t="shared" si="1"/>
        <v>1.1160000000000001</v>
      </c>
      <c r="H17" s="12">
        <v>1.1214999999999999</v>
      </c>
      <c r="I17" s="12">
        <f t="shared" si="2"/>
        <v>1.2515940000000001</v>
      </c>
      <c r="J17" s="12">
        <v>0.73999999999999899</v>
      </c>
      <c r="K17" s="12">
        <f t="shared" si="3"/>
        <v>1.9915939999999992</v>
      </c>
    </row>
    <row r="18" spans="3:11" x14ac:dyDescent="0.2">
      <c r="C18" s="12">
        <v>0</v>
      </c>
      <c r="D18" s="12">
        <v>0.9</v>
      </c>
      <c r="E18" s="12">
        <f t="shared" si="0"/>
        <v>0.9</v>
      </c>
      <c r="F18" s="12">
        <v>1.24</v>
      </c>
      <c r="G18" s="12">
        <f t="shared" si="1"/>
        <v>1.1160000000000001</v>
      </c>
      <c r="H18" s="12">
        <v>1.1214999999999999</v>
      </c>
      <c r="I18" s="12">
        <f t="shared" si="2"/>
        <v>1.2515940000000001</v>
      </c>
      <c r="J18" s="12">
        <v>0.73999999999999899</v>
      </c>
      <c r="K18" s="12">
        <f t="shared" si="3"/>
        <v>1.9915939999999992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K87"/>
  <sheetViews>
    <sheetView workbookViewId="0"/>
  </sheetViews>
  <sheetFormatPr defaultColWidth="12.5703125" defaultRowHeight="15.75" customHeight="1" x14ac:dyDescent="0.2"/>
  <cols>
    <col min="1" max="1" width="41.42578125" customWidth="1"/>
    <col min="2" max="2" width="14.42578125" customWidth="1"/>
  </cols>
  <sheetData>
    <row r="1" spans="1:11" ht="17.25" customHeight="1" x14ac:dyDescent="0.2">
      <c r="A1" s="12"/>
      <c r="B1" s="25"/>
      <c r="C1" s="12" t="s">
        <v>542</v>
      </c>
      <c r="D1" s="12"/>
      <c r="E1" s="12" t="s">
        <v>497</v>
      </c>
      <c r="F1" s="12" t="s">
        <v>498</v>
      </c>
      <c r="G1" s="12" t="s">
        <v>497</v>
      </c>
      <c r="H1" s="12" t="s">
        <v>499</v>
      </c>
      <c r="I1" s="12" t="s">
        <v>497</v>
      </c>
      <c r="J1" s="12" t="s">
        <v>500</v>
      </c>
      <c r="K1" s="12" t="s">
        <v>497</v>
      </c>
    </row>
    <row r="2" spans="1:11" ht="12.75" x14ac:dyDescent="0.2">
      <c r="A2" s="6" t="s">
        <v>1242</v>
      </c>
      <c r="B2" s="6" t="s">
        <v>1243</v>
      </c>
      <c r="C2" s="15">
        <v>13.5</v>
      </c>
      <c r="D2" s="15">
        <v>0.9</v>
      </c>
      <c r="E2" s="15">
        <f t="shared" ref="E2:E87" si="0">SUM(C2)+D2</f>
        <v>14.4</v>
      </c>
      <c r="F2" s="15">
        <v>1.24</v>
      </c>
      <c r="G2" s="15">
        <f t="shared" ref="G2:G87" si="1">SUM(E2)*F2</f>
        <v>17.856000000000002</v>
      </c>
      <c r="H2" s="15">
        <v>1.1214999999999999</v>
      </c>
      <c r="I2" s="15">
        <f t="shared" ref="I2:I87" si="2">SUM(G2)*H2</f>
        <v>20.025504000000002</v>
      </c>
      <c r="J2" s="15">
        <v>1.49</v>
      </c>
      <c r="K2" s="15">
        <f t="shared" ref="K2:K87" si="3">SUM(I2)+J2</f>
        <v>21.515504</v>
      </c>
    </row>
    <row r="3" spans="1:11" ht="12.75" x14ac:dyDescent="0.2">
      <c r="A3" s="6" t="s">
        <v>1244</v>
      </c>
      <c r="B3" s="6" t="s">
        <v>1245</v>
      </c>
      <c r="C3" s="15">
        <v>4.8499999999999996</v>
      </c>
      <c r="D3" s="15">
        <v>0.5</v>
      </c>
      <c r="E3" s="15">
        <f t="shared" si="0"/>
        <v>5.35</v>
      </c>
      <c r="F3" s="15">
        <v>1.24</v>
      </c>
      <c r="G3" s="15">
        <f t="shared" si="1"/>
        <v>6.6339999999999995</v>
      </c>
      <c r="H3" s="15">
        <v>1.1214999999999999</v>
      </c>
      <c r="I3" s="15">
        <f t="shared" si="2"/>
        <v>7.4400309999999994</v>
      </c>
      <c r="J3" s="15">
        <v>0.43</v>
      </c>
      <c r="K3" s="15">
        <f t="shared" si="3"/>
        <v>7.8700309999999991</v>
      </c>
    </row>
    <row r="4" spans="1:11" ht="12.75" x14ac:dyDescent="0.2">
      <c r="A4" s="6" t="s">
        <v>1246</v>
      </c>
      <c r="B4" s="6" t="s">
        <v>1247</v>
      </c>
      <c r="C4" s="15">
        <v>8.56</v>
      </c>
      <c r="D4" s="15">
        <v>0.9</v>
      </c>
      <c r="E4" s="15">
        <f t="shared" si="0"/>
        <v>9.4600000000000009</v>
      </c>
      <c r="F4" s="15">
        <v>1.24</v>
      </c>
      <c r="G4" s="15">
        <f t="shared" si="1"/>
        <v>11.730400000000001</v>
      </c>
      <c r="H4" s="15">
        <v>1.1214999999999999</v>
      </c>
      <c r="I4" s="15">
        <f t="shared" si="2"/>
        <v>13.155643600000001</v>
      </c>
      <c r="J4" s="15">
        <v>0.73999999999999899</v>
      </c>
      <c r="K4" s="15">
        <f t="shared" si="3"/>
        <v>13.8956436</v>
      </c>
    </row>
    <row r="5" spans="1:11" ht="12.75" x14ac:dyDescent="0.2">
      <c r="A5" s="6" t="s">
        <v>1248</v>
      </c>
      <c r="B5" s="6" t="s">
        <v>1249</v>
      </c>
      <c r="C5" s="15">
        <v>8.68</v>
      </c>
      <c r="D5" s="15">
        <v>0.9</v>
      </c>
      <c r="E5" s="15">
        <f t="shared" si="0"/>
        <v>9.58</v>
      </c>
      <c r="F5" s="15">
        <v>1.24</v>
      </c>
      <c r="G5" s="15">
        <f t="shared" si="1"/>
        <v>11.879200000000001</v>
      </c>
      <c r="H5" s="15">
        <v>1.1214999999999999</v>
      </c>
      <c r="I5" s="15">
        <f t="shared" si="2"/>
        <v>13.3225228</v>
      </c>
      <c r="J5" s="15">
        <v>0.73999999999999899</v>
      </c>
      <c r="K5" s="15">
        <f t="shared" si="3"/>
        <v>14.062522799999998</v>
      </c>
    </row>
    <row r="6" spans="1:11" ht="12.75" x14ac:dyDescent="0.2">
      <c r="A6" s="6" t="s">
        <v>1250</v>
      </c>
      <c r="B6" s="6" t="s">
        <v>1251</v>
      </c>
      <c r="C6" s="15">
        <v>14.99</v>
      </c>
      <c r="D6" s="15">
        <v>0.9</v>
      </c>
      <c r="E6" s="15">
        <f t="shared" si="0"/>
        <v>15.89</v>
      </c>
      <c r="F6" s="15">
        <v>1.24</v>
      </c>
      <c r="G6" s="15">
        <f t="shared" si="1"/>
        <v>19.703600000000002</v>
      </c>
      <c r="H6" s="15">
        <v>1.1214999999999999</v>
      </c>
      <c r="I6" s="15">
        <f t="shared" si="2"/>
        <v>22.097587400000002</v>
      </c>
      <c r="J6" s="15">
        <v>0.73999999999999899</v>
      </c>
      <c r="K6" s="15">
        <f t="shared" si="3"/>
        <v>22.8375874</v>
      </c>
    </row>
    <row r="7" spans="1:11" ht="12.75" x14ac:dyDescent="0.2">
      <c r="A7" s="6" t="s">
        <v>1252</v>
      </c>
      <c r="B7" s="6" t="s">
        <v>1253</v>
      </c>
      <c r="C7" s="15">
        <v>16.100000000000001</v>
      </c>
      <c r="D7" s="15">
        <v>0.9</v>
      </c>
      <c r="E7" s="15">
        <f t="shared" si="0"/>
        <v>17</v>
      </c>
      <c r="F7" s="15">
        <v>1.24</v>
      </c>
      <c r="G7" s="15">
        <f t="shared" si="1"/>
        <v>21.08</v>
      </c>
      <c r="H7" s="15">
        <v>1.1214999999999999</v>
      </c>
      <c r="I7" s="15">
        <f t="shared" si="2"/>
        <v>23.641219999999997</v>
      </c>
      <c r="J7" s="15">
        <v>0.73999999999999899</v>
      </c>
      <c r="K7" s="15">
        <f t="shared" si="3"/>
        <v>24.381219999999995</v>
      </c>
    </row>
    <row r="8" spans="1:11" ht="12.75" x14ac:dyDescent="0.2">
      <c r="A8" s="6" t="s">
        <v>1254</v>
      </c>
      <c r="B8" s="6" t="s">
        <v>1255</v>
      </c>
      <c r="C8" s="15">
        <v>10.51</v>
      </c>
      <c r="D8" s="15">
        <v>0.9</v>
      </c>
      <c r="E8" s="15">
        <f t="shared" si="0"/>
        <v>11.41</v>
      </c>
      <c r="F8" s="15">
        <v>1.24</v>
      </c>
      <c r="G8" s="15">
        <f t="shared" si="1"/>
        <v>14.148400000000001</v>
      </c>
      <c r="H8" s="15">
        <v>1.1214999999999999</v>
      </c>
      <c r="I8" s="15">
        <f t="shared" si="2"/>
        <v>15.8674306</v>
      </c>
      <c r="J8" s="15">
        <v>0.73999999999999899</v>
      </c>
      <c r="K8" s="15">
        <f t="shared" si="3"/>
        <v>16.607430600000001</v>
      </c>
    </row>
    <row r="9" spans="1:11" ht="12.75" x14ac:dyDescent="0.2">
      <c r="A9" s="6" t="s">
        <v>1256</v>
      </c>
      <c r="B9" s="6" t="s">
        <v>1257</v>
      </c>
      <c r="C9" s="15">
        <v>5.57</v>
      </c>
      <c r="D9" s="15">
        <v>0.9</v>
      </c>
      <c r="E9" s="15">
        <f t="shared" si="0"/>
        <v>6.4700000000000006</v>
      </c>
      <c r="F9" s="15">
        <v>1.24</v>
      </c>
      <c r="G9" s="15">
        <f t="shared" si="1"/>
        <v>8.0228000000000002</v>
      </c>
      <c r="H9" s="15">
        <v>1.1214999999999999</v>
      </c>
      <c r="I9" s="15">
        <f t="shared" si="2"/>
        <v>8.9975702000000002</v>
      </c>
      <c r="J9" s="15">
        <v>0.73999999999999899</v>
      </c>
      <c r="K9" s="15">
        <f t="shared" si="3"/>
        <v>9.7375701999999986</v>
      </c>
    </row>
    <row r="10" spans="1:11" ht="12.75" x14ac:dyDescent="0.2">
      <c r="A10" s="6" t="s">
        <v>1258</v>
      </c>
      <c r="B10" s="6" t="s">
        <v>1259</v>
      </c>
      <c r="C10" s="15">
        <v>17.899999999999999</v>
      </c>
      <c r="D10" s="15">
        <v>0.9</v>
      </c>
      <c r="E10" s="15">
        <f t="shared" si="0"/>
        <v>18.799999999999997</v>
      </c>
      <c r="F10" s="15">
        <v>1.24</v>
      </c>
      <c r="G10" s="15">
        <f t="shared" si="1"/>
        <v>23.311999999999998</v>
      </c>
      <c r="H10" s="15">
        <v>1.1214999999999999</v>
      </c>
      <c r="I10" s="15">
        <f t="shared" si="2"/>
        <v>26.144407999999995</v>
      </c>
      <c r="J10" s="15">
        <v>0.73999999999999899</v>
      </c>
      <c r="K10" s="15">
        <f t="shared" si="3"/>
        <v>26.884407999999993</v>
      </c>
    </row>
    <row r="11" spans="1:11" ht="12.75" x14ac:dyDescent="0.2">
      <c r="A11" s="6" t="s">
        <v>1260</v>
      </c>
      <c r="B11" s="6" t="s">
        <v>1261</v>
      </c>
      <c r="C11" s="15">
        <v>13.54</v>
      </c>
      <c r="D11" s="15">
        <v>0.9</v>
      </c>
      <c r="E11" s="15">
        <f t="shared" si="0"/>
        <v>14.44</v>
      </c>
      <c r="F11" s="15">
        <v>1.24</v>
      </c>
      <c r="G11" s="15">
        <f t="shared" si="1"/>
        <v>17.9056</v>
      </c>
      <c r="H11" s="15">
        <v>1.1214999999999999</v>
      </c>
      <c r="I11" s="15">
        <f t="shared" si="2"/>
        <v>20.081130399999999</v>
      </c>
      <c r="J11" s="15">
        <v>0.73999999999999899</v>
      </c>
      <c r="K11" s="15">
        <f t="shared" si="3"/>
        <v>20.821130399999998</v>
      </c>
    </row>
    <row r="12" spans="1:11" ht="12.75" x14ac:dyDescent="0.2">
      <c r="A12" s="6" t="s">
        <v>1262</v>
      </c>
      <c r="B12" s="6" t="s">
        <v>1263</v>
      </c>
      <c r="C12" s="15">
        <v>9.42</v>
      </c>
      <c r="D12" s="15">
        <v>0.9</v>
      </c>
      <c r="E12" s="15">
        <f t="shared" si="0"/>
        <v>10.32</v>
      </c>
      <c r="F12" s="15">
        <v>1.24</v>
      </c>
      <c r="G12" s="15">
        <f t="shared" si="1"/>
        <v>12.796800000000001</v>
      </c>
      <c r="H12" s="15">
        <v>1.1214999999999999</v>
      </c>
      <c r="I12" s="15">
        <f t="shared" si="2"/>
        <v>14.351611200000001</v>
      </c>
      <c r="J12" s="15">
        <v>0.73999999999999899</v>
      </c>
      <c r="K12" s="15">
        <f t="shared" si="3"/>
        <v>15.091611199999999</v>
      </c>
    </row>
    <row r="13" spans="1:11" ht="12.75" x14ac:dyDescent="0.2">
      <c r="A13" s="6" t="s">
        <v>1264</v>
      </c>
      <c r="B13" s="6" t="s">
        <v>1265</v>
      </c>
      <c r="C13" s="15">
        <v>5.16</v>
      </c>
      <c r="D13" s="15">
        <v>0.5</v>
      </c>
      <c r="E13" s="15">
        <f t="shared" si="0"/>
        <v>5.66</v>
      </c>
      <c r="F13" s="15">
        <v>1.24</v>
      </c>
      <c r="G13" s="15">
        <f t="shared" si="1"/>
        <v>7.0183999999999997</v>
      </c>
      <c r="H13" s="15">
        <v>1.1214999999999999</v>
      </c>
      <c r="I13" s="15">
        <f t="shared" si="2"/>
        <v>7.8711355999999997</v>
      </c>
      <c r="J13" s="15">
        <v>0.43</v>
      </c>
      <c r="K13" s="15">
        <f t="shared" si="3"/>
        <v>8.3011356000000003</v>
      </c>
    </row>
    <row r="14" spans="1:11" ht="12.75" x14ac:dyDescent="0.2">
      <c r="A14" s="6" t="s">
        <v>1266</v>
      </c>
      <c r="B14" s="6" t="s">
        <v>1267</v>
      </c>
      <c r="C14" s="15">
        <v>8.52</v>
      </c>
      <c r="D14" s="15">
        <v>0.9</v>
      </c>
      <c r="E14" s="15">
        <f t="shared" si="0"/>
        <v>9.42</v>
      </c>
      <c r="F14" s="15">
        <v>1.24</v>
      </c>
      <c r="G14" s="15">
        <f t="shared" si="1"/>
        <v>11.6808</v>
      </c>
      <c r="H14" s="15">
        <v>1.1214999999999999</v>
      </c>
      <c r="I14" s="15">
        <f t="shared" si="2"/>
        <v>13.100017199999998</v>
      </c>
      <c r="J14" s="15">
        <v>0.73999999999999899</v>
      </c>
      <c r="K14" s="15">
        <f t="shared" si="3"/>
        <v>13.840017199999997</v>
      </c>
    </row>
    <row r="15" spans="1:11" ht="12.75" x14ac:dyDescent="0.2">
      <c r="A15" s="6" t="s">
        <v>1268</v>
      </c>
      <c r="B15" s="6" t="s">
        <v>1269</v>
      </c>
      <c r="C15" s="15">
        <v>10.4</v>
      </c>
      <c r="D15" s="15">
        <v>0.9</v>
      </c>
      <c r="E15" s="15">
        <f t="shared" si="0"/>
        <v>11.3</v>
      </c>
      <c r="F15" s="15">
        <v>1.24</v>
      </c>
      <c r="G15" s="15">
        <f t="shared" si="1"/>
        <v>14.012</v>
      </c>
      <c r="H15" s="15">
        <v>1.1214999999999999</v>
      </c>
      <c r="I15" s="15">
        <f t="shared" si="2"/>
        <v>15.714458</v>
      </c>
      <c r="J15" s="15">
        <v>0.73999999999999899</v>
      </c>
      <c r="K15" s="15">
        <f t="shared" si="3"/>
        <v>16.454457999999999</v>
      </c>
    </row>
    <row r="16" spans="1:11" ht="12.75" x14ac:dyDescent="0.2">
      <c r="A16" s="6" t="s">
        <v>1270</v>
      </c>
      <c r="B16" s="6" t="s">
        <v>1271</v>
      </c>
      <c r="C16" s="15">
        <v>4.28</v>
      </c>
      <c r="D16" s="15">
        <v>0.9</v>
      </c>
      <c r="E16" s="15">
        <f t="shared" si="0"/>
        <v>5.1800000000000006</v>
      </c>
      <c r="F16" s="15">
        <v>1.24</v>
      </c>
      <c r="G16" s="15">
        <f t="shared" si="1"/>
        <v>6.4232000000000005</v>
      </c>
      <c r="H16" s="15">
        <v>1.1214999999999999</v>
      </c>
      <c r="I16" s="15">
        <f t="shared" si="2"/>
        <v>7.2036188000000001</v>
      </c>
      <c r="J16" s="15">
        <v>0.73999999999999899</v>
      </c>
      <c r="K16" s="15">
        <f t="shared" si="3"/>
        <v>7.9436187999999994</v>
      </c>
    </row>
    <row r="17" spans="1:11" ht="12.75" x14ac:dyDescent="0.2">
      <c r="A17" s="6" t="s">
        <v>1272</v>
      </c>
      <c r="B17" s="6" t="s">
        <v>1273</v>
      </c>
      <c r="C17" s="15">
        <v>5.69</v>
      </c>
      <c r="D17" s="15">
        <v>0.9</v>
      </c>
      <c r="E17" s="15">
        <f t="shared" si="0"/>
        <v>6.5900000000000007</v>
      </c>
      <c r="F17" s="15">
        <v>1.24</v>
      </c>
      <c r="G17" s="15">
        <f t="shared" si="1"/>
        <v>8.1716000000000015</v>
      </c>
      <c r="H17" s="15">
        <v>1.1214999999999999</v>
      </c>
      <c r="I17" s="15">
        <f t="shared" si="2"/>
        <v>9.1644494000000005</v>
      </c>
      <c r="J17" s="15">
        <v>0.73999999999999899</v>
      </c>
      <c r="K17" s="15">
        <f t="shared" si="3"/>
        <v>9.904449399999999</v>
      </c>
    </row>
    <row r="18" spans="1:11" ht="12.75" x14ac:dyDescent="0.2">
      <c r="A18" s="6" t="s">
        <v>1274</v>
      </c>
      <c r="B18" s="6" t="s">
        <v>1275</v>
      </c>
      <c r="C18" s="15">
        <v>10.39</v>
      </c>
      <c r="D18" s="15">
        <v>0.9</v>
      </c>
      <c r="E18" s="15">
        <f t="shared" si="0"/>
        <v>11.290000000000001</v>
      </c>
      <c r="F18" s="15">
        <v>1.24</v>
      </c>
      <c r="G18" s="15">
        <f t="shared" si="1"/>
        <v>13.999600000000001</v>
      </c>
      <c r="H18" s="15">
        <v>1.1214999999999999</v>
      </c>
      <c r="I18" s="15">
        <f t="shared" si="2"/>
        <v>15.7005514</v>
      </c>
      <c r="J18" s="15">
        <v>0.73999999999999899</v>
      </c>
      <c r="K18" s="15">
        <f t="shared" si="3"/>
        <v>16.4405514</v>
      </c>
    </row>
    <row r="19" spans="1:11" ht="12.75" x14ac:dyDescent="0.2">
      <c r="A19" s="6" t="s">
        <v>1276</v>
      </c>
      <c r="B19" s="6" t="s">
        <v>1277</v>
      </c>
      <c r="C19" s="15">
        <v>14.32</v>
      </c>
      <c r="D19" s="15">
        <v>0.9</v>
      </c>
      <c r="E19" s="15">
        <f t="shared" si="0"/>
        <v>15.22</v>
      </c>
      <c r="F19" s="15">
        <v>1.24</v>
      </c>
      <c r="G19" s="15">
        <f t="shared" si="1"/>
        <v>18.872800000000002</v>
      </c>
      <c r="H19" s="15">
        <v>1.1214999999999999</v>
      </c>
      <c r="I19" s="15">
        <f t="shared" si="2"/>
        <v>21.1658452</v>
      </c>
      <c r="J19" s="15">
        <v>0.73999999999999899</v>
      </c>
      <c r="K19" s="15">
        <f t="shared" si="3"/>
        <v>21.905845199999998</v>
      </c>
    </row>
    <row r="20" spans="1:11" ht="12.75" x14ac:dyDescent="0.2">
      <c r="A20" s="6" t="s">
        <v>1278</v>
      </c>
      <c r="B20" s="6" t="s">
        <v>1279</v>
      </c>
      <c r="C20" s="15">
        <v>14.81</v>
      </c>
      <c r="D20" s="15">
        <v>0.9</v>
      </c>
      <c r="E20" s="15">
        <f t="shared" si="0"/>
        <v>15.71</v>
      </c>
      <c r="F20" s="15">
        <v>1.24</v>
      </c>
      <c r="G20" s="15">
        <f t="shared" si="1"/>
        <v>19.480399999999999</v>
      </c>
      <c r="H20" s="15">
        <v>1.1214999999999999</v>
      </c>
      <c r="I20" s="15">
        <f t="shared" si="2"/>
        <v>21.8472686</v>
      </c>
      <c r="J20" s="15">
        <v>0.73999999999999899</v>
      </c>
      <c r="K20" s="15">
        <f t="shared" si="3"/>
        <v>22.587268599999998</v>
      </c>
    </row>
    <row r="21" spans="1:11" ht="12.75" x14ac:dyDescent="0.2">
      <c r="A21" s="12" t="s">
        <v>1280</v>
      </c>
      <c r="B21" s="12">
        <v>5055148411503</v>
      </c>
      <c r="C21" s="15">
        <v>20.58</v>
      </c>
      <c r="D21" s="15">
        <v>0.9</v>
      </c>
      <c r="E21" s="15">
        <f t="shared" si="0"/>
        <v>21.479999999999997</v>
      </c>
      <c r="F21" s="15">
        <v>1.24</v>
      </c>
      <c r="G21" s="15">
        <f t="shared" si="1"/>
        <v>26.635199999999998</v>
      </c>
      <c r="H21" s="15">
        <v>1.1214999999999999</v>
      </c>
      <c r="I21" s="15">
        <f t="shared" si="2"/>
        <v>29.871376799999997</v>
      </c>
      <c r="J21" s="15">
        <v>0.73999999999999899</v>
      </c>
      <c r="K21" s="15">
        <f t="shared" si="3"/>
        <v>30.611376799999995</v>
      </c>
    </row>
    <row r="22" spans="1:11" ht="12.75" x14ac:dyDescent="0.2">
      <c r="A22" s="12" t="s">
        <v>1281</v>
      </c>
      <c r="B22" s="12">
        <v>5055148412951</v>
      </c>
      <c r="C22" s="15">
        <v>58</v>
      </c>
      <c r="D22" s="15">
        <v>0.9</v>
      </c>
      <c r="E22" s="15">
        <f t="shared" si="0"/>
        <v>58.9</v>
      </c>
      <c r="F22" s="15">
        <v>1.24</v>
      </c>
      <c r="G22" s="15">
        <f t="shared" si="1"/>
        <v>73.036000000000001</v>
      </c>
      <c r="H22" s="15">
        <v>1.1214999999999999</v>
      </c>
      <c r="I22" s="15">
        <f t="shared" si="2"/>
        <v>81.909874000000002</v>
      </c>
      <c r="J22" s="15">
        <v>0.73999999999999899</v>
      </c>
      <c r="K22" s="15">
        <f t="shared" si="3"/>
        <v>82.649873999999997</v>
      </c>
    </row>
    <row r="23" spans="1:11" ht="12.75" x14ac:dyDescent="0.2">
      <c r="A23" s="12" t="s">
        <v>1282</v>
      </c>
      <c r="B23" s="12">
        <v>5055148403003</v>
      </c>
      <c r="C23" s="15">
        <v>17.010000000000002</v>
      </c>
      <c r="D23" s="15">
        <v>0.9</v>
      </c>
      <c r="E23" s="15">
        <f t="shared" si="0"/>
        <v>17.91</v>
      </c>
      <c r="F23" s="15">
        <v>1.24</v>
      </c>
      <c r="G23" s="15">
        <f t="shared" si="1"/>
        <v>22.208400000000001</v>
      </c>
      <c r="H23" s="15">
        <v>1.1214999999999999</v>
      </c>
      <c r="I23" s="15">
        <f t="shared" si="2"/>
        <v>24.9067206</v>
      </c>
      <c r="J23" s="15">
        <v>0.73999999999999899</v>
      </c>
      <c r="K23" s="15">
        <f t="shared" si="3"/>
        <v>25.646720599999998</v>
      </c>
    </row>
    <row r="24" spans="1:11" ht="12.75" x14ac:dyDescent="0.2">
      <c r="C24" s="15">
        <v>0</v>
      </c>
      <c r="D24" s="15">
        <v>0.9</v>
      </c>
      <c r="E24" s="15">
        <f t="shared" si="0"/>
        <v>0.9</v>
      </c>
      <c r="F24" s="15">
        <v>1.24</v>
      </c>
      <c r="G24" s="15">
        <f t="shared" si="1"/>
        <v>1.1160000000000001</v>
      </c>
      <c r="H24" s="15">
        <v>1.1214999999999999</v>
      </c>
      <c r="I24" s="15">
        <f t="shared" si="2"/>
        <v>1.2515940000000001</v>
      </c>
      <c r="J24" s="15">
        <v>0.73999999999999899</v>
      </c>
      <c r="K24" s="15">
        <f t="shared" si="3"/>
        <v>1.9915939999999992</v>
      </c>
    </row>
    <row r="25" spans="1:11" ht="12.75" x14ac:dyDescent="0.2">
      <c r="C25" s="15">
        <v>0</v>
      </c>
      <c r="D25" s="15">
        <v>0.9</v>
      </c>
      <c r="E25" s="15">
        <f t="shared" si="0"/>
        <v>0.9</v>
      </c>
      <c r="F25" s="15">
        <v>1.24</v>
      </c>
      <c r="G25" s="15">
        <f t="shared" si="1"/>
        <v>1.1160000000000001</v>
      </c>
      <c r="H25" s="15">
        <v>1.1214999999999999</v>
      </c>
      <c r="I25" s="15">
        <f t="shared" si="2"/>
        <v>1.2515940000000001</v>
      </c>
      <c r="J25" s="15">
        <v>0.73999999999999899</v>
      </c>
      <c r="K25" s="15">
        <f t="shared" si="3"/>
        <v>1.9915939999999992</v>
      </c>
    </row>
    <row r="26" spans="1:11" ht="12.75" x14ac:dyDescent="0.2">
      <c r="C26" s="15">
        <v>0</v>
      </c>
      <c r="D26" s="15">
        <v>0.9</v>
      </c>
      <c r="E26" s="15">
        <f t="shared" si="0"/>
        <v>0.9</v>
      </c>
      <c r="F26" s="15">
        <v>1.24</v>
      </c>
      <c r="G26" s="15">
        <f t="shared" si="1"/>
        <v>1.1160000000000001</v>
      </c>
      <c r="H26" s="15">
        <v>1.1214999999999999</v>
      </c>
      <c r="I26" s="15">
        <f t="shared" si="2"/>
        <v>1.2515940000000001</v>
      </c>
      <c r="J26" s="15">
        <v>0.73999999999999899</v>
      </c>
      <c r="K26" s="15">
        <f t="shared" si="3"/>
        <v>1.9915939999999992</v>
      </c>
    </row>
    <row r="27" spans="1:11" ht="12.75" x14ac:dyDescent="0.2">
      <c r="C27" s="15">
        <v>0</v>
      </c>
      <c r="D27" s="15">
        <v>0.9</v>
      </c>
      <c r="E27" s="15">
        <f t="shared" si="0"/>
        <v>0.9</v>
      </c>
      <c r="F27" s="15">
        <v>1.24</v>
      </c>
      <c r="G27" s="15">
        <f t="shared" si="1"/>
        <v>1.1160000000000001</v>
      </c>
      <c r="H27" s="15">
        <v>1.1214999999999999</v>
      </c>
      <c r="I27" s="15">
        <f t="shared" si="2"/>
        <v>1.2515940000000001</v>
      </c>
      <c r="J27" s="15">
        <v>0.73999999999999899</v>
      </c>
      <c r="K27" s="15">
        <f t="shared" si="3"/>
        <v>1.9915939999999992</v>
      </c>
    </row>
    <row r="28" spans="1:11" ht="12.75" x14ac:dyDescent="0.2">
      <c r="C28" s="15">
        <v>0</v>
      </c>
      <c r="D28" s="15">
        <v>0.9</v>
      </c>
      <c r="E28" s="15">
        <f t="shared" si="0"/>
        <v>0.9</v>
      </c>
      <c r="F28" s="15">
        <v>1.24</v>
      </c>
      <c r="G28" s="15">
        <f t="shared" si="1"/>
        <v>1.1160000000000001</v>
      </c>
      <c r="H28" s="15">
        <v>1.1214999999999999</v>
      </c>
      <c r="I28" s="15">
        <f t="shared" si="2"/>
        <v>1.2515940000000001</v>
      </c>
      <c r="J28" s="15">
        <v>0.73999999999999899</v>
      </c>
      <c r="K28" s="15">
        <f t="shared" si="3"/>
        <v>1.9915939999999992</v>
      </c>
    </row>
    <row r="29" spans="1:11" ht="12.75" x14ac:dyDescent="0.2">
      <c r="C29" s="15">
        <v>0</v>
      </c>
      <c r="D29" s="15">
        <v>0.9</v>
      </c>
      <c r="E29" s="15">
        <f t="shared" si="0"/>
        <v>0.9</v>
      </c>
      <c r="F29" s="15">
        <v>1.24</v>
      </c>
      <c r="G29" s="15">
        <f t="shared" si="1"/>
        <v>1.1160000000000001</v>
      </c>
      <c r="H29" s="15">
        <v>1.1214999999999999</v>
      </c>
      <c r="I29" s="15">
        <f t="shared" si="2"/>
        <v>1.2515940000000001</v>
      </c>
      <c r="J29" s="15">
        <v>0.73999999999999899</v>
      </c>
      <c r="K29" s="15">
        <f t="shared" si="3"/>
        <v>1.9915939999999992</v>
      </c>
    </row>
    <row r="30" spans="1:11" ht="12.75" x14ac:dyDescent="0.2">
      <c r="C30" s="15">
        <v>0</v>
      </c>
      <c r="D30" s="15">
        <v>0.9</v>
      </c>
      <c r="E30" s="15">
        <f t="shared" si="0"/>
        <v>0.9</v>
      </c>
      <c r="F30" s="15">
        <v>1.24</v>
      </c>
      <c r="G30" s="15">
        <f t="shared" si="1"/>
        <v>1.1160000000000001</v>
      </c>
      <c r="H30" s="15">
        <v>1.1214999999999999</v>
      </c>
      <c r="I30" s="15">
        <f t="shared" si="2"/>
        <v>1.2515940000000001</v>
      </c>
      <c r="J30" s="15">
        <v>0.73999999999999899</v>
      </c>
      <c r="K30" s="15">
        <f t="shared" si="3"/>
        <v>1.9915939999999992</v>
      </c>
    </row>
    <row r="31" spans="1:11" ht="12.75" x14ac:dyDescent="0.2">
      <c r="C31" s="15">
        <v>0</v>
      </c>
      <c r="D31" s="15">
        <v>0.9</v>
      </c>
      <c r="E31" s="15">
        <f t="shared" si="0"/>
        <v>0.9</v>
      </c>
      <c r="F31" s="15">
        <v>1.24</v>
      </c>
      <c r="G31" s="15">
        <f t="shared" si="1"/>
        <v>1.1160000000000001</v>
      </c>
      <c r="H31" s="15">
        <v>1.1214999999999999</v>
      </c>
      <c r="I31" s="15">
        <f t="shared" si="2"/>
        <v>1.2515940000000001</v>
      </c>
      <c r="J31" s="15">
        <v>0.73999999999999899</v>
      </c>
      <c r="K31" s="15">
        <f t="shared" si="3"/>
        <v>1.9915939999999992</v>
      </c>
    </row>
    <row r="32" spans="1:11" ht="12.75" x14ac:dyDescent="0.2">
      <c r="C32" s="15">
        <v>0</v>
      </c>
      <c r="D32" s="15">
        <v>0.9</v>
      </c>
      <c r="E32" s="15">
        <f t="shared" si="0"/>
        <v>0.9</v>
      </c>
      <c r="F32" s="15">
        <v>1.24</v>
      </c>
      <c r="G32" s="15">
        <f t="shared" si="1"/>
        <v>1.1160000000000001</v>
      </c>
      <c r="H32" s="15">
        <v>1.1214999999999999</v>
      </c>
      <c r="I32" s="15">
        <f t="shared" si="2"/>
        <v>1.2515940000000001</v>
      </c>
      <c r="J32" s="15">
        <v>0.73999999999999899</v>
      </c>
      <c r="K32" s="15">
        <f t="shared" si="3"/>
        <v>1.9915939999999992</v>
      </c>
    </row>
    <row r="33" spans="3:11" ht="12.75" x14ac:dyDescent="0.2">
      <c r="C33" s="15">
        <v>0</v>
      </c>
      <c r="D33" s="15">
        <v>0.9</v>
      </c>
      <c r="E33" s="15">
        <f t="shared" si="0"/>
        <v>0.9</v>
      </c>
      <c r="F33" s="15">
        <v>1.24</v>
      </c>
      <c r="G33" s="15">
        <f t="shared" si="1"/>
        <v>1.1160000000000001</v>
      </c>
      <c r="H33" s="15">
        <v>1.1214999999999999</v>
      </c>
      <c r="I33" s="15">
        <f t="shared" si="2"/>
        <v>1.2515940000000001</v>
      </c>
      <c r="J33" s="15">
        <v>0.73999999999999899</v>
      </c>
      <c r="K33" s="15">
        <f t="shared" si="3"/>
        <v>1.9915939999999992</v>
      </c>
    </row>
    <row r="34" spans="3:11" ht="12.75" x14ac:dyDescent="0.2">
      <c r="C34" s="15">
        <v>0</v>
      </c>
      <c r="D34" s="15">
        <v>0.9</v>
      </c>
      <c r="E34" s="15">
        <f t="shared" si="0"/>
        <v>0.9</v>
      </c>
      <c r="F34" s="15">
        <v>1.24</v>
      </c>
      <c r="G34" s="15">
        <f t="shared" si="1"/>
        <v>1.1160000000000001</v>
      </c>
      <c r="H34" s="15">
        <v>1.1214999999999999</v>
      </c>
      <c r="I34" s="15">
        <f t="shared" si="2"/>
        <v>1.2515940000000001</v>
      </c>
      <c r="J34" s="15">
        <v>0.73999999999999899</v>
      </c>
      <c r="K34" s="15">
        <f t="shared" si="3"/>
        <v>1.9915939999999992</v>
      </c>
    </row>
    <row r="35" spans="3:11" ht="12.75" x14ac:dyDescent="0.2">
      <c r="C35" s="15">
        <v>0</v>
      </c>
      <c r="D35" s="15">
        <v>0.9</v>
      </c>
      <c r="E35" s="15">
        <f t="shared" si="0"/>
        <v>0.9</v>
      </c>
      <c r="F35" s="15">
        <v>1.24</v>
      </c>
      <c r="G35" s="15">
        <f t="shared" si="1"/>
        <v>1.1160000000000001</v>
      </c>
      <c r="H35" s="15">
        <v>1.1214999999999999</v>
      </c>
      <c r="I35" s="15">
        <f t="shared" si="2"/>
        <v>1.2515940000000001</v>
      </c>
      <c r="J35" s="15">
        <v>0.73999999999999899</v>
      </c>
      <c r="K35" s="15">
        <f t="shared" si="3"/>
        <v>1.9915939999999992</v>
      </c>
    </row>
    <row r="36" spans="3:11" ht="12.75" x14ac:dyDescent="0.2">
      <c r="C36" s="15">
        <v>0</v>
      </c>
      <c r="D36" s="15">
        <v>0.9</v>
      </c>
      <c r="E36" s="15">
        <f t="shared" si="0"/>
        <v>0.9</v>
      </c>
      <c r="F36" s="15">
        <v>1.24</v>
      </c>
      <c r="G36" s="15">
        <f t="shared" si="1"/>
        <v>1.1160000000000001</v>
      </c>
      <c r="H36" s="15">
        <v>1.1214999999999999</v>
      </c>
      <c r="I36" s="15">
        <f t="shared" si="2"/>
        <v>1.2515940000000001</v>
      </c>
      <c r="J36" s="15">
        <v>0.73999999999999899</v>
      </c>
      <c r="K36" s="15">
        <f t="shared" si="3"/>
        <v>1.9915939999999992</v>
      </c>
    </row>
    <row r="37" spans="3:11" ht="12.75" x14ac:dyDescent="0.2">
      <c r="C37" s="15">
        <v>0</v>
      </c>
      <c r="D37" s="15">
        <v>0.9</v>
      </c>
      <c r="E37" s="15">
        <f t="shared" si="0"/>
        <v>0.9</v>
      </c>
      <c r="F37" s="15">
        <v>1.24</v>
      </c>
      <c r="G37" s="15">
        <f t="shared" si="1"/>
        <v>1.1160000000000001</v>
      </c>
      <c r="H37" s="15">
        <v>1.1214999999999999</v>
      </c>
      <c r="I37" s="15">
        <f t="shared" si="2"/>
        <v>1.2515940000000001</v>
      </c>
      <c r="J37" s="15">
        <v>0.73999999999999899</v>
      </c>
      <c r="K37" s="15">
        <f t="shared" si="3"/>
        <v>1.9915939999999992</v>
      </c>
    </row>
    <row r="38" spans="3:11" ht="12.75" x14ac:dyDescent="0.2">
      <c r="C38" s="15">
        <v>0</v>
      </c>
      <c r="D38" s="15">
        <v>0.9</v>
      </c>
      <c r="E38" s="15">
        <f t="shared" si="0"/>
        <v>0.9</v>
      </c>
      <c r="F38" s="15">
        <v>1.24</v>
      </c>
      <c r="G38" s="15">
        <f t="shared" si="1"/>
        <v>1.1160000000000001</v>
      </c>
      <c r="H38" s="15">
        <v>1.1214999999999999</v>
      </c>
      <c r="I38" s="15">
        <f t="shared" si="2"/>
        <v>1.2515940000000001</v>
      </c>
      <c r="J38" s="15">
        <v>0.73999999999999899</v>
      </c>
      <c r="K38" s="15">
        <f t="shared" si="3"/>
        <v>1.9915939999999992</v>
      </c>
    </row>
    <row r="39" spans="3:11" ht="12.75" x14ac:dyDescent="0.2">
      <c r="C39" s="15">
        <v>0</v>
      </c>
      <c r="D39" s="15">
        <v>0.9</v>
      </c>
      <c r="E39" s="15">
        <f t="shared" si="0"/>
        <v>0.9</v>
      </c>
      <c r="F39" s="15">
        <v>1.24</v>
      </c>
      <c r="G39" s="15">
        <f t="shared" si="1"/>
        <v>1.1160000000000001</v>
      </c>
      <c r="H39" s="15">
        <v>1.1214999999999999</v>
      </c>
      <c r="I39" s="15">
        <f t="shared" si="2"/>
        <v>1.2515940000000001</v>
      </c>
      <c r="J39" s="15">
        <v>0.73999999999999899</v>
      </c>
      <c r="K39" s="15">
        <f t="shared" si="3"/>
        <v>1.9915939999999992</v>
      </c>
    </row>
    <row r="40" spans="3:11" ht="12.75" x14ac:dyDescent="0.2">
      <c r="C40" s="15">
        <v>0</v>
      </c>
      <c r="D40" s="15">
        <v>0.9</v>
      </c>
      <c r="E40" s="15">
        <f t="shared" si="0"/>
        <v>0.9</v>
      </c>
      <c r="F40" s="15">
        <v>1.24</v>
      </c>
      <c r="G40" s="15">
        <f t="shared" si="1"/>
        <v>1.1160000000000001</v>
      </c>
      <c r="H40" s="15">
        <v>1.1214999999999999</v>
      </c>
      <c r="I40" s="15">
        <f t="shared" si="2"/>
        <v>1.2515940000000001</v>
      </c>
      <c r="J40" s="15">
        <v>0.73999999999999899</v>
      </c>
      <c r="K40" s="15">
        <f t="shared" si="3"/>
        <v>1.9915939999999992</v>
      </c>
    </row>
    <row r="41" spans="3:11" ht="12.75" x14ac:dyDescent="0.2">
      <c r="C41" s="15">
        <v>0</v>
      </c>
      <c r="D41" s="15">
        <v>0.9</v>
      </c>
      <c r="E41" s="15">
        <f t="shared" si="0"/>
        <v>0.9</v>
      </c>
      <c r="F41" s="15">
        <v>1.24</v>
      </c>
      <c r="G41" s="15">
        <f t="shared" si="1"/>
        <v>1.1160000000000001</v>
      </c>
      <c r="H41" s="15">
        <v>1.1214999999999999</v>
      </c>
      <c r="I41" s="15">
        <f t="shared" si="2"/>
        <v>1.2515940000000001</v>
      </c>
      <c r="J41" s="15">
        <v>0.73999999999999899</v>
      </c>
      <c r="K41" s="15">
        <f t="shared" si="3"/>
        <v>1.9915939999999992</v>
      </c>
    </row>
    <row r="42" spans="3:11" ht="12.75" x14ac:dyDescent="0.2">
      <c r="C42" s="15">
        <v>0</v>
      </c>
      <c r="D42" s="15">
        <v>0.9</v>
      </c>
      <c r="E42" s="15">
        <f t="shared" si="0"/>
        <v>0.9</v>
      </c>
      <c r="F42" s="15">
        <v>1.24</v>
      </c>
      <c r="G42" s="15">
        <f t="shared" si="1"/>
        <v>1.1160000000000001</v>
      </c>
      <c r="H42" s="15">
        <v>1.1214999999999999</v>
      </c>
      <c r="I42" s="15">
        <f t="shared" si="2"/>
        <v>1.2515940000000001</v>
      </c>
      <c r="J42" s="15">
        <v>0.73999999999999899</v>
      </c>
      <c r="K42" s="15">
        <f t="shared" si="3"/>
        <v>1.9915939999999992</v>
      </c>
    </row>
    <row r="43" spans="3:11" ht="12.75" x14ac:dyDescent="0.2">
      <c r="C43" s="15">
        <v>0</v>
      </c>
      <c r="D43" s="15">
        <v>0.9</v>
      </c>
      <c r="E43" s="15">
        <f t="shared" si="0"/>
        <v>0.9</v>
      </c>
      <c r="F43" s="15">
        <v>1.24</v>
      </c>
      <c r="G43" s="15">
        <f t="shared" si="1"/>
        <v>1.1160000000000001</v>
      </c>
      <c r="H43" s="15">
        <v>1.1214999999999999</v>
      </c>
      <c r="I43" s="15">
        <f t="shared" si="2"/>
        <v>1.2515940000000001</v>
      </c>
      <c r="J43" s="15">
        <v>0.73999999999999899</v>
      </c>
      <c r="K43" s="15">
        <f t="shared" si="3"/>
        <v>1.9915939999999992</v>
      </c>
    </row>
    <row r="44" spans="3:11" ht="12.75" x14ac:dyDescent="0.2">
      <c r="C44" s="15">
        <v>0</v>
      </c>
      <c r="D44" s="15">
        <v>0.9</v>
      </c>
      <c r="E44" s="15">
        <f t="shared" si="0"/>
        <v>0.9</v>
      </c>
      <c r="F44" s="15">
        <v>1.24</v>
      </c>
      <c r="G44" s="15">
        <f t="shared" si="1"/>
        <v>1.1160000000000001</v>
      </c>
      <c r="H44" s="15">
        <v>1.1214999999999999</v>
      </c>
      <c r="I44" s="15">
        <f t="shared" si="2"/>
        <v>1.2515940000000001</v>
      </c>
      <c r="J44" s="15">
        <v>0.73999999999999899</v>
      </c>
      <c r="K44" s="15">
        <f t="shared" si="3"/>
        <v>1.9915939999999992</v>
      </c>
    </row>
    <row r="45" spans="3:11" ht="12.75" x14ac:dyDescent="0.2">
      <c r="C45" s="15">
        <v>0</v>
      </c>
      <c r="D45" s="15">
        <v>0.9</v>
      </c>
      <c r="E45" s="15">
        <f t="shared" si="0"/>
        <v>0.9</v>
      </c>
      <c r="F45" s="15">
        <v>1.24</v>
      </c>
      <c r="G45" s="15">
        <f t="shared" si="1"/>
        <v>1.1160000000000001</v>
      </c>
      <c r="H45" s="15">
        <v>1.1214999999999999</v>
      </c>
      <c r="I45" s="15">
        <f t="shared" si="2"/>
        <v>1.2515940000000001</v>
      </c>
      <c r="J45" s="15">
        <v>0.73999999999999899</v>
      </c>
      <c r="K45" s="15">
        <f t="shared" si="3"/>
        <v>1.9915939999999992</v>
      </c>
    </row>
    <row r="46" spans="3:11" ht="12.75" x14ac:dyDescent="0.2">
      <c r="C46" s="15">
        <v>0</v>
      </c>
      <c r="D46" s="15">
        <v>0.9</v>
      </c>
      <c r="E46" s="15">
        <f t="shared" si="0"/>
        <v>0.9</v>
      </c>
      <c r="F46" s="15">
        <v>1.24</v>
      </c>
      <c r="G46" s="15">
        <f t="shared" si="1"/>
        <v>1.1160000000000001</v>
      </c>
      <c r="H46" s="15">
        <v>1.1214999999999999</v>
      </c>
      <c r="I46" s="15">
        <f t="shared" si="2"/>
        <v>1.2515940000000001</v>
      </c>
      <c r="J46" s="15">
        <v>0.73999999999999899</v>
      </c>
      <c r="K46" s="15">
        <f t="shared" si="3"/>
        <v>1.9915939999999992</v>
      </c>
    </row>
    <row r="47" spans="3:11" ht="12.75" x14ac:dyDescent="0.2">
      <c r="C47" s="15">
        <v>0</v>
      </c>
      <c r="D47" s="15">
        <v>0.9</v>
      </c>
      <c r="E47" s="15">
        <f t="shared" si="0"/>
        <v>0.9</v>
      </c>
      <c r="F47" s="15">
        <v>1.24</v>
      </c>
      <c r="G47" s="15">
        <f t="shared" si="1"/>
        <v>1.1160000000000001</v>
      </c>
      <c r="H47" s="15">
        <v>1.1214999999999999</v>
      </c>
      <c r="I47" s="15">
        <f t="shared" si="2"/>
        <v>1.2515940000000001</v>
      </c>
      <c r="J47" s="15">
        <v>0.73999999999999899</v>
      </c>
      <c r="K47" s="15">
        <f t="shared" si="3"/>
        <v>1.9915939999999992</v>
      </c>
    </row>
    <row r="48" spans="3:11" ht="12.75" x14ac:dyDescent="0.2">
      <c r="C48" s="15">
        <v>0</v>
      </c>
      <c r="D48" s="15">
        <v>0.9</v>
      </c>
      <c r="E48" s="15">
        <f t="shared" si="0"/>
        <v>0.9</v>
      </c>
      <c r="F48" s="15">
        <v>1.24</v>
      </c>
      <c r="G48" s="15">
        <f t="shared" si="1"/>
        <v>1.1160000000000001</v>
      </c>
      <c r="H48" s="15">
        <v>1.1214999999999999</v>
      </c>
      <c r="I48" s="15">
        <f t="shared" si="2"/>
        <v>1.2515940000000001</v>
      </c>
      <c r="J48" s="15">
        <v>0.73999999999999899</v>
      </c>
      <c r="K48" s="15">
        <f t="shared" si="3"/>
        <v>1.9915939999999992</v>
      </c>
    </row>
    <row r="49" spans="3:11" ht="12.75" x14ac:dyDescent="0.2">
      <c r="C49" s="15">
        <v>0</v>
      </c>
      <c r="D49" s="15">
        <v>0.9</v>
      </c>
      <c r="E49" s="15">
        <f t="shared" si="0"/>
        <v>0.9</v>
      </c>
      <c r="F49" s="15">
        <v>1.24</v>
      </c>
      <c r="G49" s="15">
        <f t="shared" si="1"/>
        <v>1.1160000000000001</v>
      </c>
      <c r="H49" s="15">
        <v>1.1214999999999999</v>
      </c>
      <c r="I49" s="15">
        <f t="shared" si="2"/>
        <v>1.2515940000000001</v>
      </c>
      <c r="J49" s="15">
        <v>0.73999999999999899</v>
      </c>
      <c r="K49" s="15">
        <f t="shared" si="3"/>
        <v>1.9915939999999992</v>
      </c>
    </row>
    <row r="50" spans="3:11" ht="12.75" x14ac:dyDescent="0.2">
      <c r="C50" s="15">
        <v>0</v>
      </c>
      <c r="D50" s="15">
        <v>0.9</v>
      </c>
      <c r="E50" s="15">
        <f t="shared" si="0"/>
        <v>0.9</v>
      </c>
      <c r="F50" s="15">
        <v>1.24</v>
      </c>
      <c r="G50" s="15">
        <f t="shared" si="1"/>
        <v>1.1160000000000001</v>
      </c>
      <c r="H50" s="15">
        <v>1.1214999999999999</v>
      </c>
      <c r="I50" s="15">
        <f t="shared" si="2"/>
        <v>1.2515940000000001</v>
      </c>
      <c r="J50" s="15">
        <v>0.73999999999999899</v>
      </c>
      <c r="K50" s="15">
        <f t="shared" si="3"/>
        <v>1.9915939999999992</v>
      </c>
    </row>
    <row r="51" spans="3:11" ht="12.75" x14ac:dyDescent="0.2">
      <c r="C51" s="15">
        <v>0</v>
      </c>
      <c r="D51" s="15">
        <v>0.9</v>
      </c>
      <c r="E51" s="15">
        <f t="shared" si="0"/>
        <v>0.9</v>
      </c>
      <c r="F51" s="15">
        <v>1.24</v>
      </c>
      <c r="G51" s="15">
        <f t="shared" si="1"/>
        <v>1.1160000000000001</v>
      </c>
      <c r="H51" s="15">
        <v>1.1214999999999999</v>
      </c>
      <c r="I51" s="15">
        <f t="shared" si="2"/>
        <v>1.2515940000000001</v>
      </c>
      <c r="J51" s="15">
        <v>0.73999999999999899</v>
      </c>
      <c r="K51" s="15">
        <f t="shared" si="3"/>
        <v>1.9915939999999992</v>
      </c>
    </row>
    <row r="52" spans="3:11" ht="12.75" x14ac:dyDescent="0.2">
      <c r="C52" s="15">
        <v>0</v>
      </c>
      <c r="D52" s="15">
        <v>0.9</v>
      </c>
      <c r="E52" s="15">
        <f t="shared" si="0"/>
        <v>0.9</v>
      </c>
      <c r="F52" s="15">
        <v>1.24</v>
      </c>
      <c r="G52" s="15">
        <f t="shared" si="1"/>
        <v>1.1160000000000001</v>
      </c>
      <c r="H52" s="15">
        <v>1.1214999999999999</v>
      </c>
      <c r="I52" s="15">
        <f t="shared" si="2"/>
        <v>1.2515940000000001</v>
      </c>
      <c r="J52" s="15">
        <v>0.73999999999999899</v>
      </c>
      <c r="K52" s="15">
        <f t="shared" si="3"/>
        <v>1.9915939999999992</v>
      </c>
    </row>
    <row r="53" spans="3:11" ht="12.75" x14ac:dyDescent="0.2">
      <c r="C53" s="15">
        <v>0</v>
      </c>
      <c r="D53" s="15">
        <v>0.9</v>
      </c>
      <c r="E53" s="15">
        <f t="shared" si="0"/>
        <v>0.9</v>
      </c>
      <c r="F53" s="15">
        <v>1.24</v>
      </c>
      <c r="G53" s="15">
        <f t="shared" si="1"/>
        <v>1.1160000000000001</v>
      </c>
      <c r="H53" s="15">
        <v>1.1214999999999999</v>
      </c>
      <c r="I53" s="15">
        <f t="shared" si="2"/>
        <v>1.2515940000000001</v>
      </c>
      <c r="J53" s="15">
        <v>0.73999999999999899</v>
      </c>
      <c r="K53" s="15">
        <f t="shared" si="3"/>
        <v>1.9915939999999992</v>
      </c>
    </row>
    <row r="54" spans="3:11" ht="12.75" x14ac:dyDescent="0.2">
      <c r="C54" s="15">
        <v>0</v>
      </c>
      <c r="D54" s="15">
        <v>0.9</v>
      </c>
      <c r="E54" s="15">
        <f t="shared" si="0"/>
        <v>0.9</v>
      </c>
      <c r="F54" s="15">
        <v>1.24</v>
      </c>
      <c r="G54" s="15">
        <f t="shared" si="1"/>
        <v>1.1160000000000001</v>
      </c>
      <c r="H54" s="15">
        <v>1.1214999999999999</v>
      </c>
      <c r="I54" s="15">
        <f t="shared" si="2"/>
        <v>1.2515940000000001</v>
      </c>
      <c r="J54" s="15">
        <v>0.73999999999999899</v>
      </c>
      <c r="K54" s="15">
        <f t="shared" si="3"/>
        <v>1.9915939999999992</v>
      </c>
    </row>
    <row r="55" spans="3:11" ht="12.75" x14ac:dyDescent="0.2">
      <c r="C55" s="15">
        <v>0</v>
      </c>
      <c r="D55" s="15">
        <v>0.9</v>
      </c>
      <c r="E55" s="15">
        <f t="shared" si="0"/>
        <v>0.9</v>
      </c>
      <c r="F55" s="15">
        <v>1.24</v>
      </c>
      <c r="G55" s="15">
        <f t="shared" si="1"/>
        <v>1.1160000000000001</v>
      </c>
      <c r="H55" s="15">
        <v>1.1214999999999999</v>
      </c>
      <c r="I55" s="15">
        <f t="shared" si="2"/>
        <v>1.2515940000000001</v>
      </c>
      <c r="J55" s="15">
        <v>0.73999999999999899</v>
      </c>
      <c r="K55" s="15">
        <f t="shared" si="3"/>
        <v>1.9915939999999992</v>
      </c>
    </row>
    <row r="56" spans="3:11" ht="12.75" x14ac:dyDescent="0.2">
      <c r="C56" s="15">
        <v>0</v>
      </c>
      <c r="D56" s="15">
        <v>0.9</v>
      </c>
      <c r="E56" s="15">
        <f t="shared" si="0"/>
        <v>0.9</v>
      </c>
      <c r="F56" s="15">
        <v>1.24</v>
      </c>
      <c r="G56" s="15">
        <f t="shared" si="1"/>
        <v>1.1160000000000001</v>
      </c>
      <c r="H56" s="15">
        <v>1.1214999999999999</v>
      </c>
      <c r="I56" s="15">
        <f t="shared" si="2"/>
        <v>1.2515940000000001</v>
      </c>
      <c r="J56" s="15">
        <v>0.73999999999999899</v>
      </c>
      <c r="K56" s="15">
        <f t="shared" si="3"/>
        <v>1.9915939999999992</v>
      </c>
    </row>
    <row r="57" spans="3:11" ht="12.75" x14ac:dyDescent="0.2">
      <c r="C57" s="15">
        <v>0</v>
      </c>
      <c r="D57" s="15">
        <v>0.9</v>
      </c>
      <c r="E57" s="15">
        <f t="shared" si="0"/>
        <v>0.9</v>
      </c>
      <c r="F57" s="15">
        <v>1.24</v>
      </c>
      <c r="G57" s="15">
        <f t="shared" si="1"/>
        <v>1.1160000000000001</v>
      </c>
      <c r="H57" s="15">
        <v>1.1214999999999999</v>
      </c>
      <c r="I57" s="15">
        <f t="shared" si="2"/>
        <v>1.2515940000000001</v>
      </c>
      <c r="J57" s="15">
        <v>0.73999999999999899</v>
      </c>
      <c r="K57" s="15">
        <f t="shared" si="3"/>
        <v>1.9915939999999992</v>
      </c>
    </row>
    <row r="58" spans="3:11" ht="12.75" x14ac:dyDescent="0.2">
      <c r="C58" s="15">
        <v>0</v>
      </c>
      <c r="D58" s="15">
        <v>0.9</v>
      </c>
      <c r="E58" s="15">
        <f t="shared" si="0"/>
        <v>0.9</v>
      </c>
      <c r="F58" s="15">
        <v>1.24</v>
      </c>
      <c r="G58" s="15">
        <f t="shared" si="1"/>
        <v>1.1160000000000001</v>
      </c>
      <c r="H58" s="15">
        <v>1.1214999999999999</v>
      </c>
      <c r="I58" s="15">
        <f t="shared" si="2"/>
        <v>1.2515940000000001</v>
      </c>
      <c r="J58" s="15">
        <v>0.73999999999999899</v>
      </c>
      <c r="K58" s="15">
        <f t="shared" si="3"/>
        <v>1.9915939999999992</v>
      </c>
    </row>
    <row r="59" spans="3:11" ht="12.75" x14ac:dyDescent="0.2">
      <c r="C59" s="15">
        <v>0</v>
      </c>
      <c r="D59" s="15">
        <v>0.9</v>
      </c>
      <c r="E59" s="15">
        <f t="shared" si="0"/>
        <v>0.9</v>
      </c>
      <c r="F59" s="15">
        <v>1.24</v>
      </c>
      <c r="G59" s="15">
        <f t="shared" si="1"/>
        <v>1.1160000000000001</v>
      </c>
      <c r="H59" s="15">
        <v>1.1214999999999999</v>
      </c>
      <c r="I59" s="15">
        <f t="shared" si="2"/>
        <v>1.2515940000000001</v>
      </c>
      <c r="J59" s="15">
        <v>0.73999999999999899</v>
      </c>
      <c r="K59" s="15">
        <f t="shared" si="3"/>
        <v>1.9915939999999992</v>
      </c>
    </row>
    <row r="60" spans="3:11" ht="12.75" x14ac:dyDescent="0.2">
      <c r="C60" s="15">
        <v>0</v>
      </c>
      <c r="D60" s="15">
        <v>0.9</v>
      </c>
      <c r="E60" s="15">
        <f t="shared" si="0"/>
        <v>0.9</v>
      </c>
      <c r="F60" s="15">
        <v>1.24</v>
      </c>
      <c r="G60" s="15">
        <f t="shared" si="1"/>
        <v>1.1160000000000001</v>
      </c>
      <c r="H60" s="15">
        <v>1.1214999999999999</v>
      </c>
      <c r="I60" s="15">
        <f t="shared" si="2"/>
        <v>1.2515940000000001</v>
      </c>
      <c r="J60" s="15">
        <v>0.73999999999999899</v>
      </c>
      <c r="K60" s="15">
        <f t="shared" si="3"/>
        <v>1.9915939999999992</v>
      </c>
    </row>
    <row r="61" spans="3:11" ht="12.75" x14ac:dyDescent="0.2">
      <c r="C61" s="15">
        <v>0</v>
      </c>
      <c r="D61" s="15">
        <v>0.9</v>
      </c>
      <c r="E61" s="15">
        <f t="shared" si="0"/>
        <v>0.9</v>
      </c>
      <c r="F61" s="15">
        <v>1.24</v>
      </c>
      <c r="G61" s="15">
        <f t="shared" si="1"/>
        <v>1.1160000000000001</v>
      </c>
      <c r="H61" s="15">
        <v>1.1214999999999999</v>
      </c>
      <c r="I61" s="15">
        <f t="shared" si="2"/>
        <v>1.2515940000000001</v>
      </c>
      <c r="J61" s="15">
        <v>0.73999999999999899</v>
      </c>
      <c r="K61" s="15">
        <f t="shared" si="3"/>
        <v>1.9915939999999992</v>
      </c>
    </row>
    <row r="62" spans="3:11" ht="12.75" x14ac:dyDescent="0.2">
      <c r="C62" s="15">
        <v>0</v>
      </c>
      <c r="D62" s="15">
        <v>0.9</v>
      </c>
      <c r="E62" s="15">
        <f t="shared" si="0"/>
        <v>0.9</v>
      </c>
      <c r="F62" s="15">
        <v>1.24</v>
      </c>
      <c r="G62" s="15">
        <f t="shared" si="1"/>
        <v>1.1160000000000001</v>
      </c>
      <c r="H62" s="15">
        <v>1.1214999999999999</v>
      </c>
      <c r="I62" s="15">
        <f t="shared" si="2"/>
        <v>1.2515940000000001</v>
      </c>
      <c r="J62" s="15">
        <v>0.73999999999999899</v>
      </c>
      <c r="K62" s="15">
        <f t="shared" si="3"/>
        <v>1.9915939999999992</v>
      </c>
    </row>
    <row r="63" spans="3:11" ht="12.75" x14ac:dyDescent="0.2">
      <c r="C63" s="15">
        <v>0</v>
      </c>
      <c r="D63" s="15">
        <v>0.9</v>
      </c>
      <c r="E63" s="15">
        <f t="shared" si="0"/>
        <v>0.9</v>
      </c>
      <c r="F63" s="15">
        <v>1.24</v>
      </c>
      <c r="G63" s="15">
        <f t="shared" si="1"/>
        <v>1.1160000000000001</v>
      </c>
      <c r="H63" s="15">
        <v>1.1214999999999999</v>
      </c>
      <c r="I63" s="15">
        <f t="shared" si="2"/>
        <v>1.2515940000000001</v>
      </c>
      <c r="J63" s="15">
        <v>0.73999999999999899</v>
      </c>
      <c r="K63" s="15">
        <f t="shared" si="3"/>
        <v>1.9915939999999992</v>
      </c>
    </row>
    <row r="64" spans="3:11" ht="12.75" x14ac:dyDescent="0.2">
      <c r="C64" s="15">
        <v>0</v>
      </c>
      <c r="D64" s="15">
        <v>0.9</v>
      </c>
      <c r="E64" s="15">
        <f t="shared" si="0"/>
        <v>0.9</v>
      </c>
      <c r="F64" s="15">
        <v>1.24</v>
      </c>
      <c r="G64" s="15">
        <f t="shared" si="1"/>
        <v>1.1160000000000001</v>
      </c>
      <c r="H64" s="15">
        <v>1.1214999999999999</v>
      </c>
      <c r="I64" s="15">
        <f t="shared" si="2"/>
        <v>1.2515940000000001</v>
      </c>
      <c r="J64" s="15">
        <v>0.73999999999999899</v>
      </c>
      <c r="K64" s="15">
        <f t="shared" si="3"/>
        <v>1.9915939999999992</v>
      </c>
    </row>
    <row r="65" spans="3:11" ht="12.75" x14ac:dyDescent="0.2">
      <c r="C65" s="15">
        <v>0</v>
      </c>
      <c r="D65" s="15">
        <v>0.9</v>
      </c>
      <c r="E65" s="15">
        <f t="shared" si="0"/>
        <v>0.9</v>
      </c>
      <c r="F65" s="15">
        <v>1.24</v>
      </c>
      <c r="G65" s="15">
        <f t="shared" si="1"/>
        <v>1.1160000000000001</v>
      </c>
      <c r="H65" s="15">
        <v>1.1214999999999999</v>
      </c>
      <c r="I65" s="15">
        <f t="shared" si="2"/>
        <v>1.2515940000000001</v>
      </c>
      <c r="J65" s="15">
        <v>0.73999999999999899</v>
      </c>
      <c r="K65" s="15">
        <f t="shared" si="3"/>
        <v>1.9915939999999992</v>
      </c>
    </row>
    <row r="66" spans="3:11" ht="12.75" x14ac:dyDescent="0.2">
      <c r="C66" s="15">
        <v>0</v>
      </c>
      <c r="D66" s="15">
        <v>0.9</v>
      </c>
      <c r="E66" s="15">
        <f t="shared" si="0"/>
        <v>0.9</v>
      </c>
      <c r="F66" s="15">
        <v>1.24</v>
      </c>
      <c r="G66" s="15">
        <f t="shared" si="1"/>
        <v>1.1160000000000001</v>
      </c>
      <c r="H66" s="15">
        <v>1.1214999999999999</v>
      </c>
      <c r="I66" s="15">
        <f t="shared" si="2"/>
        <v>1.2515940000000001</v>
      </c>
      <c r="J66" s="15">
        <v>0.73999999999999899</v>
      </c>
      <c r="K66" s="15">
        <f t="shared" si="3"/>
        <v>1.9915939999999992</v>
      </c>
    </row>
    <row r="67" spans="3:11" ht="12.75" x14ac:dyDescent="0.2">
      <c r="C67" s="15">
        <v>0</v>
      </c>
      <c r="D67" s="15">
        <v>0.9</v>
      </c>
      <c r="E67" s="15">
        <f t="shared" si="0"/>
        <v>0.9</v>
      </c>
      <c r="F67" s="15">
        <v>1.24</v>
      </c>
      <c r="G67" s="15">
        <f t="shared" si="1"/>
        <v>1.1160000000000001</v>
      </c>
      <c r="H67" s="15">
        <v>1.1214999999999999</v>
      </c>
      <c r="I67" s="15">
        <f t="shared" si="2"/>
        <v>1.2515940000000001</v>
      </c>
      <c r="J67" s="15">
        <v>0.73999999999999899</v>
      </c>
      <c r="K67" s="15">
        <f t="shared" si="3"/>
        <v>1.9915939999999992</v>
      </c>
    </row>
    <row r="68" spans="3:11" ht="12.75" x14ac:dyDescent="0.2">
      <c r="C68" s="15">
        <v>0</v>
      </c>
      <c r="D68" s="15">
        <v>0.9</v>
      </c>
      <c r="E68" s="15">
        <f t="shared" si="0"/>
        <v>0.9</v>
      </c>
      <c r="F68" s="15">
        <v>1.24</v>
      </c>
      <c r="G68" s="15">
        <f t="shared" si="1"/>
        <v>1.1160000000000001</v>
      </c>
      <c r="H68" s="15">
        <v>1.1214999999999999</v>
      </c>
      <c r="I68" s="15">
        <f t="shared" si="2"/>
        <v>1.2515940000000001</v>
      </c>
      <c r="J68" s="15">
        <v>0.73999999999999899</v>
      </c>
      <c r="K68" s="15">
        <f t="shared" si="3"/>
        <v>1.9915939999999992</v>
      </c>
    </row>
    <row r="69" spans="3:11" ht="12.75" x14ac:dyDescent="0.2">
      <c r="C69" s="15">
        <v>0</v>
      </c>
      <c r="D69" s="15">
        <v>0.9</v>
      </c>
      <c r="E69" s="15">
        <f t="shared" si="0"/>
        <v>0.9</v>
      </c>
      <c r="F69" s="15">
        <v>1.24</v>
      </c>
      <c r="G69" s="15">
        <f t="shared" si="1"/>
        <v>1.1160000000000001</v>
      </c>
      <c r="H69" s="15">
        <v>1.1214999999999999</v>
      </c>
      <c r="I69" s="15">
        <f t="shared" si="2"/>
        <v>1.2515940000000001</v>
      </c>
      <c r="J69" s="15">
        <v>0.73999999999999899</v>
      </c>
      <c r="K69" s="15">
        <f t="shared" si="3"/>
        <v>1.9915939999999992</v>
      </c>
    </row>
    <row r="70" spans="3:11" ht="12.75" x14ac:dyDescent="0.2">
      <c r="C70" s="15">
        <v>0</v>
      </c>
      <c r="D70" s="15">
        <v>0.9</v>
      </c>
      <c r="E70" s="15">
        <f t="shared" si="0"/>
        <v>0.9</v>
      </c>
      <c r="F70" s="15">
        <v>1.24</v>
      </c>
      <c r="G70" s="15">
        <f t="shared" si="1"/>
        <v>1.1160000000000001</v>
      </c>
      <c r="H70" s="15">
        <v>1.1214999999999999</v>
      </c>
      <c r="I70" s="15">
        <f t="shared" si="2"/>
        <v>1.2515940000000001</v>
      </c>
      <c r="J70" s="15">
        <v>0.73999999999999899</v>
      </c>
      <c r="K70" s="15">
        <f t="shared" si="3"/>
        <v>1.9915939999999992</v>
      </c>
    </row>
    <row r="71" spans="3:11" ht="12.75" x14ac:dyDescent="0.2">
      <c r="C71" s="15">
        <v>0</v>
      </c>
      <c r="D71" s="15">
        <v>0.9</v>
      </c>
      <c r="E71" s="15">
        <f t="shared" si="0"/>
        <v>0.9</v>
      </c>
      <c r="F71" s="15">
        <v>1.24</v>
      </c>
      <c r="G71" s="15">
        <f t="shared" si="1"/>
        <v>1.1160000000000001</v>
      </c>
      <c r="H71" s="15">
        <v>1.1214999999999999</v>
      </c>
      <c r="I71" s="15">
        <f t="shared" si="2"/>
        <v>1.2515940000000001</v>
      </c>
      <c r="J71" s="15">
        <v>0.73999999999999899</v>
      </c>
      <c r="K71" s="15">
        <f t="shared" si="3"/>
        <v>1.9915939999999992</v>
      </c>
    </row>
    <row r="72" spans="3:11" ht="12.75" x14ac:dyDescent="0.2">
      <c r="C72" s="15">
        <v>0</v>
      </c>
      <c r="D72" s="15">
        <v>0.9</v>
      </c>
      <c r="E72" s="15">
        <f t="shared" si="0"/>
        <v>0.9</v>
      </c>
      <c r="F72" s="15">
        <v>1.24</v>
      </c>
      <c r="G72" s="15">
        <f t="shared" si="1"/>
        <v>1.1160000000000001</v>
      </c>
      <c r="H72" s="15">
        <v>1.1214999999999999</v>
      </c>
      <c r="I72" s="15">
        <f t="shared" si="2"/>
        <v>1.2515940000000001</v>
      </c>
      <c r="J72" s="15">
        <v>0.73999999999999899</v>
      </c>
      <c r="K72" s="15">
        <f t="shared" si="3"/>
        <v>1.9915939999999992</v>
      </c>
    </row>
    <row r="73" spans="3:11" ht="12.75" x14ac:dyDescent="0.2">
      <c r="C73" s="15">
        <v>0</v>
      </c>
      <c r="D73" s="15">
        <v>0.9</v>
      </c>
      <c r="E73" s="15">
        <f t="shared" si="0"/>
        <v>0.9</v>
      </c>
      <c r="F73" s="15">
        <v>1.24</v>
      </c>
      <c r="G73" s="15">
        <f t="shared" si="1"/>
        <v>1.1160000000000001</v>
      </c>
      <c r="H73" s="15">
        <v>1.1214999999999999</v>
      </c>
      <c r="I73" s="15">
        <f t="shared" si="2"/>
        <v>1.2515940000000001</v>
      </c>
      <c r="J73" s="15">
        <v>0.73999999999999899</v>
      </c>
      <c r="K73" s="15">
        <f t="shared" si="3"/>
        <v>1.9915939999999992</v>
      </c>
    </row>
    <row r="74" spans="3:11" ht="12.75" x14ac:dyDescent="0.2">
      <c r="C74" s="15">
        <v>0</v>
      </c>
      <c r="D74" s="15">
        <v>0.9</v>
      </c>
      <c r="E74" s="15">
        <f t="shared" si="0"/>
        <v>0.9</v>
      </c>
      <c r="F74" s="15">
        <v>1.24</v>
      </c>
      <c r="G74" s="15">
        <f t="shared" si="1"/>
        <v>1.1160000000000001</v>
      </c>
      <c r="H74" s="15">
        <v>1.1214999999999999</v>
      </c>
      <c r="I74" s="15">
        <f t="shared" si="2"/>
        <v>1.2515940000000001</v>
      </c>
      <c r="J74" s="15">
        <v>0.73999999999999899</v>
      </c>
      <c r="K74" s="15">
        <f t="shared" si="3"/>
        <v>1.9915939999999992</v>
      </c>
    </row>
    <row r="75" spans="3:11" ht="12.75" x14ac:dyDescent="0.2">
      <c r="C75" s="15">
        <v>0</v>
      </c>
      <c r="D75" s="15">
        <v>0.9</v>
      </c>
      <c r="E75" s="15">
        <f t="shared" si="0"/>
        <v>0.9</v>
      </c>
      <c r="F75" s="15">
        <v>1.24</v>
      </c>
      <c r="G75" s="15">
        <f t="shared" si="1"/>
        <v>1.1160000000000001</v>
      </c>
      <c r="H75" s="15">
        <v>1.1214999999999999</v>
      </c>
      <c r="I75" s="15">
        <f t="shared" si="2"/>
        <v>1.2515940000000001</v>
      </c>
      <c r="J75" s="15">
        <v>0.73999999999999899</v>
      </c>
      <c r="K75" s="15">
        <f t="shared" si="3"/>
        <v>1.9915939999999992</v>
      </c>
    </row>
    <row r="76" spans="3:11" ht="12.75" x14ac:dyDescent="0.2">
      <c r="C76" s="15">
        <v>0</v>
      </c>
      <c r="D76" s="15">
        <v>0.9</v>
      </c>
      <c r="E76" s="15">
        <f t="shared" si="0"/>
        <v>0.9</v>
      </c>
      <c r="F76" s="15">
        <v>1.24</v>
      </c>
      <c r="G76" s="15">
        <f t="shared" si="1"/>
        <v>1.1160000000000001</v>
      </c>
      <c r="H76" s="15">
        <v>1.1214999999999999</v>
      </c>
      <c r="I76" s="15">
        <f t="shared" si="2"/>
        <v>1.2515940000000001</v>
      </c>
      <c r="J76" s="15">
        <v>0.73999999999999899</v>
      </c>
      <c r="K76" s="15">
        <f t="shared" si="3"/>
        <v>1.9915939999999992</v>
      </c>
    </row>
    <row r="77" spans="3:11" ht="12.75" x14ac:dyDescent="0.2">
      <c r="C77" s="15">
        <v>0</v>
      </c>
      <c r="D77" s="15">
        <v>0.9</v>
      </c>
      <c r="E77" s="15">
        <f t="shared" si="0"/>
        <v>0.9</v>
      </c>
      <c r="F77" s="15">
        <v>1.24</v>
      </c>
      <c r="G77" s="15">
        <f t="shared" si="1"/>
        <v>1.1160000000000001</v>
      </c>
      <c r="H77" s="15">
        <v>1.1214999999999999</v>
      </c>
      <c r="I77" s="15">
        <f t="shared" si="2"/>
        <v>1.2515940000000001</v>
      </c>
      <c r="J77" s="15">
        <v>0.73999999999999899</v>
      </c>
      <c r="K77" s="15">
        <f t="shared" si="3"/>
        <v>1.9915939999999992</v>
      </c>
    </row>
    <row r="78" spans="3:11" ht="12.75" x14ac:dyDescent="0.2">
      <c r="C78" s="15">
        <v>0</v>
      </c>
      <c r="D78" s="15">
        <v>0.9</v>
      </c>
      <c r="E78" s="15">
        <f t="shared" si="0"/>
        <v>0.9</v>
      </c>
      <c r="F78" s="15">
        <v>1.24</v>
      </c>
      <c r="G78" s="15">
        <f t="shared" si="1"/>
        <v>1.1160000000000001</v>
      </c>
      <c r="H78" s="15">
        <v>1.1214999999999999</v>
      </c>
      <c r="I78" s="15">
        <f t="shared" si="2"/>
        <v>1.2515940000000001</v>
      </c>
      <c r="J78" s="15">
        <v>0.73999999999999899</v>
      </c>
      <c r="K78" s="15">
        <f t="shared" si="3"/>
        <v>1.9915939999999992</v>
      </c>
    </row>
    <row r="79" spans="3:11" ht="12.75" x14ac:dyDescent="0.2">
      <c r="C79" s="15">
        <v>0</v>
      </c>
      <c r="D79" s="15">
        <v>0.9</v>
      </c>
      <c r="E79" s="15">
        <f t="shared" si="0"/>
        <v>0.9</v>
      </c>
      <c r="F79" s="15">
        <v>1.24</v>
      </c>
      <c r="G79" s="15">
        <f t="shared" si="1"/>
        <v>1.1160000000000001</v>
      </c>
      <c r="H79" s="15">
        <v>1.1214999999999999</v>
      </c>
      <c r="I79" s="15">
        <f t="shared" si="2"/>
        <v>1.2515940000000001</v>
      </c>
      <c r="J79" s="15">
        <v>0.73999999999999899</v>
      </c>
      <c r="K79" s="15">
        <f t="shared" si="3"/>
        <v>1.9915939999999992</v>
      </c>
    </row>
    <row r="80" spans="3:11" ht="12.75" x14ac:dyDescent="0.2">
      <c r="C80" s="15">
        <v>0</v>
      </c>
      <c r="D80" s="15">
        <v>0.9</v>
      </c>
      <c r="E80" s="15">
        <f t="shared" si="0"/>
        <v>0.9</v>
      </c>
      <c r="F80" s="15">
        <v>1.24</v>
      </c>
      <c r="G80" s="15">
        <f t="shared" si="1"/>
        <v>1.1160000000000001</v>
      </c>
      <c r="H80" s="15">
        <v>1.1214999999999999</v>
      </c>
      <c r="I80" s="15">
        <f t="shared" si="2"/>
        <v>1.2515940000000001</v>
      </c>
      <c r="J80" s="15">
        <v>0.73999999999999899</v>
      </c>
      <c r="K80" s="15">
        <f t="shared" si="3"/>
        <v>1.9915939999999992</v>
      </c>
    </row>
    <row r="81" spans="3:11" ht="12.75" x14ac:dyDescent="0.2">
      <c r="C81" s="15">
        <v>0</v>
      </c>
      <c r="D81" s="15">
        <v>0.9</v>
      </c>
      <c r="E81" s="15">
        <f t="shared" si="0"/>
        <v>0.9</v>
      </c>
      <c r="F81" s="15">
        <v>1.24</v>
      </c>
      <c r="G81" s="15">
        <f t="shared" si="1"/>
        <v>1.1160000000000001</v>
      </c>
      <c r="H81" s="15">
        <v>1.1214999999999999</v>
      </c>
      <c r="I81" s="15">
        <f t="shared" si="2"/>
        <v>1.2515940000000001</v>
      </c>
      <c r="J81" s="15">
        <v>0.73999999999999899</v>
      </c>
      <c r="K81" s="15">
        <f t="shared" si="3"/>
        <v>1.9915939999999992</v>
      </c>
    </row>
    <row r="82" spans="3:11" ht="12.75" x14ac:dyDescent="0.2">
      <c r="C82" s="15">
        <v>0</v>
      </c>
      <c r="D82" s="15">
        <v>0.9</v>
      </c>
      <c r="E82" s="15">
        <f t="shared" si="0"/>
        <v>0.9</v>
      </c>
      <c r="F82" s="15">
        <v>1.24</v>
      </c>
      <c r="G82" s="15">
        <f t="shared" si="1"/>
        <v>1.1160000000000001</v>
      </c>
      <c r="H82" s="15">
        <v>1.1214999999999999</v>
      </c>
      <c r="I82" s="15">
        <f t="shared" si="2"/>
        <v>1.2515940000000001</v>
      </c>
      <c r="J82" s="15">
        <v>0.73999999999999899</v>
      </c>
      <c r="K82" s="15">
        <f t="shared" si="3"/>
        <v>1.9915939999999992</v>
      </c>
    </row>
    <row r="83" spans="3:11" ht="12.75" x14ac:dyDescent="0.2">
      <c r="C83" s="15">
        <v>0</v>
      </c>
      <c r="D83" s="15">
        <v>0.9</v>
      </c>
      <c r="E83" s="15">
        <f t="shared" si="0"/>
        <v>0.9</v>
      </c>
      <c r="F83" s="15">
        <v>1.24</v>
      </c>
      <c r="G83" s="15">
        <f t="shared" si="1"/>
        <v>1.1160000000000001</v>
      </c>
      <c r="H83" s="15">
        <v>1.1214999999999999</v>
      </c>
      <c r="I83" s="15">
        <f t="shared" si="2"/>
        <v>1.2515940000000001</v>
      </c>
      <c r="J83" s="15">
        <v>0.73999999999999899</v>
      </c>
      <c r="K83" s="15">
        <f t="shared" si="3"/>
        <v>1.9915939999999992</v>
      </c>
    </row>
    <row r="84" spans="3:11" ht="12.75" x14ac:dyDescent="0.2">
      <c r="C84" s="15">
        <v>0</v>
      </c>
      <c r="D84" s="15">
        <v>0.9</v>
      </c>
      <c r="E84" s="15">
        <f t="shared" si="0"/>
        <v>0.9</v>
      </c>
      <c r="F84" s="15">
        <v>1.24</v>
      </c>
      <c r="G84" s="15">
        <f t="shared" si="1"/>
        <v>1.1160000000000001</v>
      </c>
      <c r="H84" s="15">
        <v>1.1214999999999999</v>
      </c>
      <c r="I84" s="15">
        <f t="shared" si="2"/>
        <v>1.2515940000000001</v>
      </c>
      <c r="J84" s="15">
        <v>0.73999999999999899</v>
      </c>
      <c r="K84" s="15">
        <f t="shared" si="3"/>
        <v>1.9915939999999992</v>
      </c>
    </row>
    <row r="85" spans="3:11" ht="12.75" x14ac:dyDescent="0.2">
      <c r="C85" s="15">
        <v>0</v>
      </c>
      <c r="D85" s="15">
        <v>0.9</v>
      </c>
      <c r="E85" s="15">
        <f t="shared" si="0"/>
        <v>0.9</v>
      </c>
      <c r="F85" s="15">
        <v>1.24</v>
      </c>
      <c r="G85" s="15">
        <f t="shared" si="1"/>
        <v>1.1160000000000001</v>
      </c>
      <c r="H85" s="15">
        <v>1.1214999999999999</v>
      </c>
      <c r="I85" s="15">
        <f t="shared" si="2"/>
        <v>1.2515940000000001</v>
      </c>
      <c r="J85" s="15">
        <v>0.73999999999999899</v>
      </c>
      <c r="K85" s="15">
        <f t="shared" si="3"/>
        <v>1.9915939999999992</v>
      </c>
    </row>
    <row r="86" spans="3:11" ht="12.75" x14ac:dyDescent="0.2">
      <c r="C86" s="15">
        <v>0</v>
      </c>
      <c r="D86" s="15">
        <v>0.9</v>
      </c>
      <c r="E86" s="15">
        <f t="shared" si="0"/>
        <v>0.9</v>
      </c>
      <c r="F86" s="15">
        <v>1.24</v>
      </c>
      <c r="G86" s="15">
        <f t="shared" si="1"/>
        <v>1.1160000000000001</v>
      </c>
      <c r="H86" s="15">
        <v>1.1214999999999999</v>
      </c>
      <c r="I86" s="15">
        <f t="shared" si="2"/>
        <v>1.2515940000000001</v>
      </c>
      <c r="J86" s="15">
        <v>0.73999999999999899</v>
      </c>
      <c r="K86" s="15">
        <f t="shared" si="3"/>
        <v>1.9915939999999992</v>
      </c>
    </row>
    <row r="87" spans="3:11" ht="12.75" x14ac:dyDescent="0.2">
      <c r="C87" s="15">
        <v>0</v>
      </c>
      <c r="D87" s="15">
        <v>0.9</v>
      </c>
      <c r="E87" s="15">
        <f t="shared" si="0"/>
        <v>0.9</v>
      </c>
      <c r="F87" s="15">
        <v>1.24</v>
      </c>
      <c r="G87" s="15">
        <f t="shared" si="1"/>
        <v>1.1160000000000001</v>
      </c>
      <c r="H87" s="15">
        <v>1.1214999999999999</v>
      </c>
      <c r="I87" s="15">
        <f t="shared" si="2"/>
        <v>1.2515940000000001</v>
      </c>
      <c r="J87" s="15">
        <v>0.73999999999999899</v>
      </c>
      <c r="K87" s="15">
        <f t="shared" si="3"/>
        <v>1.9915939999999992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2:L22"/>
  <sheetViews>
    <sheetView workbookViewId="0"/>
  </sheetViews>
  <sheetFormatPr defaultColWidth="12.5703125" defaultRowHeight="15.75" customHeight="1" x14ac:dyDescent="0.2"/>
  <cols>
    <col min="1" max="1" width="22.42578125" customWidth="1"/>
  </cols>
  <sheetData>
    <row r="2" spans="1:12" x14ac:dyDescent="0.2">
      <c r="A2" s="12" t="s">
        <v>1283</v>
      </c>
      <c r="B2" s="12">
        <v>8004395111749</v>
      </c>
      <c r="C2" s="12">
        <v>3.57</v>
      </c>
      <c r="D2" s="12">
        <v>0.9</v>
      </c>
      <c r="E2" s="12">
        <f t="shared" ref="E2:E22" si="0">SUM(C2)+D2</f>
        <v>4.47</v>
      </c>
      <c r="F2" s="12">
        <v>1.24</v>
      </c>
      <c r="G2" s="12">
        <f t="shared" ref="G2:G22" si="1">SUM(E2)*F2</f>
        <v>5.5427999999999997</v>
      </c>
      <c r="H2" s="12">
        <v>1.1214999999999999</v>
      </c>
      <c r="I2" s="12">
        <f t="shared" ref="I2:I22" si="2">SUM(G2)*H2</f>
        <v>6.2162501999999993</v>
      </c>
      <c r="J2" s="12">
        <v>0.25</v>
      </c>
      <c r="K2" s="12">
        <f t="shared" ref="K2:K22" si="3">SUM(I2)+J2</f>
        <v>6.4662501999999993</v>
      </c>
    </row>
    <row r="3" spans="1:12" x14ac:dyDescent="0.2">
      <c r="A3" s="6" t="s">
        <v>1284</v>
      </c>
      <c r="B3" s="6" t="s">
        <v>1285</v>
      </c>
      <c r="C3" s="12">
        <v>4.3</v>
      </c>
      <c r="D3" s="12">
        <v>0.9</v>
      </c>
      <c r="E3" s="12">
        <f t="shared" si="0"/>
        <v>5.2</v>
      </c>
      <c r="F3" s="12">
        <v>1.24</v>
      </c>
      <c r="G3" s="12">
        <f t="shared" si="1"/>
        <v>6.4480000000000004</v>
      </c>
      <c r="H3" s="12">
        <v>1.1214999999999999</v>
      </c>
      <c r="I3" s="12">
        <f t="shared" si="2"/>
        <v>7.2314319999999999</v>
      </c>
      <c r="J3" s="12">
        <v>0.73999999999999899</v>
      </c>
      <c r="K3" s="12">
        <f t="shared" si="3"/>
        <v>7.9714319999999992</v>
      </c>
    </row>
    <row r="4" spans="1:12" x14ac:dyDescent="0.2">
      <c r="A4" s="6" t="s">
        <v>1286</v>
      </c>
      <c r="B4" s="6" t="s">
        <v>1287</v>
      </c>
      <c r="C4" s="12">
        <v>3.57</v>
      </c>
      <c r="D4" s="12">
        <v>0.9</v>
      </c>
      <c r="E4" s="12">
        <f t="shared" si="0"/>
        <v>4.47</v>
      </c>
      <c r="F4" s="12">
        <v>1.24</v>
      </c>
      <c r="G4" s="12">
        <f t="shared" si="1"/>
        <v>5.5427999999999997</v>
      </c>
      <c r="H4" s="12">
        <v>1.1214999999999999</v>
      </c>
      <c r="I4" s="12">
        <f t="shared" si="2"/>
        <v>6.2162501999999993</v>
      </c>
      <c r="J4" s="12">
        <v>0.25</v>
      </c>
      <c r="K4" s="12">
        <f t="shared" si="3"/>
        <v>6.4662501999999993</v>
      </c>
    </row>
    <row r="5" spans="1:12" x14ac:dyDescent="0.2">
      <c r="A5" s="6" t="s">
        <v>1288</v>
      </c>
      <c r="B5" s="6" t="s">
        <v>1289</v>
      </c>
      <c r="C5" s="12">
        <v>3.57</v>
      </c>
      <c r="D5" s="12">
        <v>0.9</v>
      </c>
      <c r="E5" s="12">
        <f t="shared" si="0"/>
        <v>4.47</v>
      </c>
      <c r="F5" s="12">
        <v>1.24</v>
      </c>
      <c r="G5" s="12">
        <f t="shared" si="1"/>
        <v>5.5427999999999997</v>
      </c>
      <c r="H5" s="12">
        <v>1.1214999999999999</v>
      </c>
      <c r="I5" s="12">
        <f t="shared" si="2"/>
        <v>6.2162501999999993</v>
      </c>
      <c r="J5" s="12">
        <v>0.25</v>
      </c>
      <c r="K5" s="12">
        <f t="shared" si="3"/>
        <v>6.4662501999999993</v>
      </c>
    </row>
    <row r="6" spans="1:12" x14ac:dyDescent="0.2">
      <c r="A6" s="6" t="s">
        <v>1290</v>
      </c>
      <c r="B6" s="6" t="s">
        <v>1291</v>
      </c>
      <c r="C6" s="12">
        <v>3.57</v>
      </c>
      <c r="D6" s="12">
        <v>0.9</v>
      </c>
      <c r="E6" s="12">
        <f t="shared" si="0"/>
        <v>4.47</v>
      </c>
      <c r="F6" s="12">
        <v>1.24</v>
      </c>
      <c r="G6" s="12">
        <f t="shared" si="1"/>
        <v>5.5427999999999997</v>
      </c>
      <c r="H6" s="12">
        <v>1.1214999999999999</v>
      </c>
      <c r="I6" s="12">
        <f t="shared" si="2"/>
        <v>6.2162501999999993</v>
      </c>
      <c r="J6" s="12">
        <v>0.25</v>
      </c>
      <c r="K6" s="12">
        <f t="shared" si="3"/>
        <v>6.4662501999999993</v>
      </c>
    </row>
    <row r="7" spans="1:12" x14ac:dyDescent="0.2">
      <c r="A7" s="6" t="s">
        <v>1292</v>
      </c>
      <c r="B7" s="6" t="s">
        <v>1293</v>
      </c>
      <c r="C7" s="12">
        <v>3.87</v>
      </c>
      <c r="D7" s="12">
        <v>0.9</v>
      </c>
      <c r="E7" s="12">
        <f t="shared" si="0"/>
        <v>4.7700000000000005</v>
      </c>
      <c r="F7" s="12">
        <v>1.24</v>
      </c>
      <c r="G7" s="12">
        <f t="shared" si="1"/>
        <v>5.9148000000000005</v>
      </c>
      <c r="H7" s="12">
        <v>1.1214999999999999</v>
      </c>
      <c r="I7" s="12">
        <f t="shared" si="2"/>
        <v>6.6334482000000001</v>
      </c>
      <c r="J7" s="12">
        <v>0.25</v>
      </c>
      <c r="K7" s="12">
        <f t="shared" si="3"/>
        <v>6.8834482000000001</v>
      </c>
    </row>
    <row r="8" spans="1:12" x14ac:dyDescent="0.2">
      <c r="A8" s="12" t="s">
        <v>1294</v>
      </c>
      <c r="B8" s="12">
        <v>8004395155781</v>
      </c>
      <c r="C8" s="12">
        <v>6.52</v>
      </c>
      <c r="D8" s="12">
        <v>0.9</v>
      </c>
      <c r="E8" s="12">
        <f t="shared" si="0"/>
        <v>7.42</v>
      </c>
      <c r="F8" s="12">
        <v>1.24</v>
      </c>
      <c r="G8" s="12">
        <f t="shared" si="1"/>
        <v>9.2007999999999992</v>
      </c>
      <c r="H8" s="12">
        <v>1.1214999999999999</v>
      </c>
      <c r="I8" s="12">
        <f t="shared" si="2"/>
        <v>10.318697199999999</v>
      </c>
      <c r="J8" s="12">
        <v>0.73999999999999899</v>
      </c>
      <c r="K8" s="12">
        <f t="shared" si="3"/>
        <v>11.058697199999997</v>
      </c>
    </row>
    <row r="9" spans="1:12" x14ac:dyDescent="0.2">
      <c r="A9" s="12" t="s">
        <v>1295</v>
      </c>
      <c r="B9" s="12">
        <v>8004395111725</v>
      </c>
      <c r="C9" s="12">
        <v>3.56</v>
      </c>
      <c r="D9" s="12">
        <v>0.9</v>
      </c>
      <c r="E9" s="12">
        <f t="shared" si="0"/>
        <v>4.46</v>
      </c>
      <c r="F9" s="12">
        <v>1.24</v>
      </c>
      <c r="G9" s="12">
        <f t="shared" si="1"/>
        <v>5.5304000000000002</v>
      </c>
      <c r="H9" s="12">
        <v>1.1214999999999999</v>
      </c>
      <c r="I9" s="12">
        <f t="shared" si="2"/>
        <v>6.2023435999999998</v>
      </c>
      <c r="J9" s="12">
        <v>0.25</v>
      </c>
      <c r="K9" s="12">
        <f t="shared" si="3"/>
        <v>6.4523435999999998</v>
      </c>
    </row>
    <row r="10" spans="1:12" x14ac:dyDescent="0.2">
      <c r="A10" s="12" t="s">
        <v>1296</v>
      </c>
      <c r="B10" s="12">
        <v>8004395112814</v>
      </c>
      <c r="C10" s="12">
        <v>4.3</v>
      </c>
      <c r="D10" s="12">
        <v>0.9</v>
      </c>
      <c r="E10" s="12">
        <f t="shared" si="0"/>
        <v>5.2</v>
      </c>
      <c r="F10" s="12">
        <v>1.24</v>
      </c>
      <c r="G10" s="12">
        <f t="shared" si="1"/>
        <v>6.4480000000000004</v>
      </c>
      <c r="H10" s="12">
        <v>1.1214999999999999</v>
      </c>
      <c r="I10" s="12">
        <f t="shared" si="2"/>
        <v>7.2314319999999999</v>
      </c>
      <c r="J10" s="12">
        <v>0.73999999999999899</v>
      </c>
      <c r="K10" s="12">
        <f t="shared" si="3"/>
        <v>7.9714319999999992</v>
      </c>
    </row>
    <row r="11" spans="1:12" x14ac:dyDescent="0.2">
      <c r="A11" s="12" t="s">
        <v>1297</v>
      </c>
      <c r="B11" s="12">
        <v>8004395111756</v>
      </c>
      <c r="C11" s="12">
        <v>3.56</v>
      </c>
      <c r="D11" s="12">
        <v>0.9</v>
      </c>
      <c r="E11" s="12">
        <f t="shared" si="0"/>
        <v>4.46</v>
      </c>
      <c r="F11" s="12">
        <v>1.24</v>
      </c>
      <c r="G11" s="12">
        <f t="shared" si="1"/>
        <v>5.5304000000000002</v>
      </c>
      <c r="H11" s="12">
        <v>1.1214999999999999</v>
      </c>
      <c r="I11" s="12">
        <f t="shared" si="2"/>
        <v>6.2023435999999998</v>
      </c>
      <c r="J11" s="12">
        <v>0.25</v>
      </c>
      <c r="K11" s="12">
        <f t="shared" si="3"/>
        <v>6.4523435999999998</v>
      </c>
    </row>
    <row r="12" spans="1:12" x14ac:dyDescent="0.2">
      <c r="A12" s="12" t="s">
        <v>1298</v>
      </c>
      <c r="B12" s="12">
        <v>8004395111718</v>
      </c>
      <c r="C12" s="12">
        <v>4.6500000000000004</v>
      </c>
      <c r="D12" s="12">
        <v>0.9</v>
      </c>
      <c r="E12" s="12">
        <f t="shared" si="0"/>
        <v>5.5500000000000007</v>
      </c>
      <c r="F12" s="12">
        <v>1.24</v>
      </c>
      <c r="G12" s="12">
        <f t="shared" si="1"/>
        <v>6.8820000000000006</v>
      </c>
      <c r="H12" s="12">
        <v>1.1214999999999999</v>
      </c>
      <c r="I12" s="12">
        <f t="shared" si="2"/>
        <v>7.7181630000000006</v>
      </c>
      <c r="J12" s="12">
        <v>0.73999999999999899</v>
      </c>
      <c r="K12" s="12">
        <f t="shared" si="3"/>
        <v>8.458162999999999</v>
      </c>
      <c r="L12" s="12">
        <v>12.2</v>
      </c>
    </row>
    <row r="13" spans="1:12" x14ac:dyDescent="0.2">
      <c r="A13" s="12" t="s">
        <v>1299</v>
      </c>
      <c r="B13" s="12">
        <v>8004395111817</v>
      </c>
      <c r="C13" s="12">
        <v>4.3</v>
      </c>
      <c r="D13" s="12">
        <v>0.9</v>
      </c>
      <c r="E13" s="12">
        <f t="shared" si="0"/>
        <v>5.2</v>
      </c>
      <c r="F13" s="12">
        <v>1.24</v>
      </c>
      <c r="G13" s="12">
        <f t="shared" si="1"/>
        <v>6.4480000000000004</v>
      </c>
      <c r="H13" s="12">
        <v>1.1214999999999999</v>
      </c>
      <c r="I13" s="12">
        <f t="shared" si="2"/>
        <v>7.2314319999999999</v>
      </c>
      <c r="J13" s="12">
        <v>0.73999999999999899</v>
      </c>
      <c r="K13" s="12">
        <f t="shared" si="3"/>
        <v>7.9714319999999992</v>
      </c>
    </row>
    <row r="14" spans="1:12" x14ac:dyDescent="0.2">
      <c r="A14" s="12" t="s">
        <v>1300</v>
      </c>
      <c r="B14" s="12">
        <v>8004395111879</v>
      </c>
      <c r="C14" s="12">
        <v>3.87</v>
      </c>
      <c r="D14" s="12">
        <v>0.9</v>
      </c>
      <c r="E14" s="12">
        <f t="shared" si="0"/>
        <v>4.7700000000000005</v>
      </c>
      <c r="F14" s="12">
        <v>1.24</v>
      </c>
      <c r="G14" s="12">
        <f t="shared" si="1"/>
        <v>5.9148000000000005</v>
      </c>
      <c r="H14" s="12">
        <v>1.1214999999999999</v>
      </c>
      <c r="I14" s="12">
        <f t="shared" si="2"/>
        <v>6.6334482000000001</v>
      </c>
      <c r="J14" s="12">
        <v>0.25</v>
      </c>
      <c r="K14" s="12">
        <f t="shared" si="3"/>
        <v>6.8834482000000001</v>
      </c>
    </row>
    <row r="15" spans="1:12" x14ac:dyDescent="0.2">
      <c r="C15" s="12">
        <v>0</v>
      </c>
      <c r="D15" s="12">
        <v>0.9</v>
      </c>
      <c r="E15" s="12">
        <f t="shared" si="0"/>
        <v>0.9</v>
      </c>
      <c r="F15" s="12">
        <v>1.24</v>
      </c>
      <c r="G15" s="12">
        <f t="shared" si="1"/>
        <v>1.1160000000000001</v>
      </c>
      <c r="H15" s="12">
        <v>1.1214999999999999</v>
      </c>
      <c r="I15" s="12">
        <f t="shared" si="2"/>
        <v>1.2515940000000001</v>
      </c>
      <c r="J15" s="12">
        <v>0.73999999999999899</v>
      </c>
      <c r="K15" s="12">
        <f t="shared" si="3"/>
        <v>1.9915939999999992</v>
      </c>
    </row>
    <row r="16" spans="1:12" x14ac:dyDescent="0.2">
      <c r="C16" s="12">
        <v>0</v>
      </c>
      <c r="D16" s="12">
        <v>0.9</v>
      </c>
      <c r="E16" s="12">
        <f t="shared" si="0"/>
        <v>0.9</v>
      </c>
      <c r="F16" s="12">
        <v>1.24</v>
      </c>
      <c r="G16" s="12">
        <f t="shared" si="1"/>
        <v>1.1160000000000001</v>
      </c>
      <c r="H16" s="12">
        <v>1.1214999999999999</v>
      </c>
      <c r="I16" s="12">
        <f t="shared" si="2"/>
        <v>1.2515940000000001</v>
      </c>
      <c r="J16" s="12">
        <v>0.73999999999999899</v>
      </c>
      <c r="K16" s="12">
        <f t="shared" si="3"/>
        <v>1.9915939999999992</v>
      </c>
    </row>
    <row r="17" spans="3:11" x14ac:dyDescent="0.2">
      <c r="C17" s="12">
        <v>0</v>
      </c>
      <c r="D17" s="12">
        <v>0.9</v>
      </c>
      <c r="E17" s="12">
        <f t="shared" si="0"/>
        <v>0.9</v>
      </c>
      <c r="F17" s="12">
        <v>1.24</v>
      </c>
      <c r="G17" s="12">
        <f t="shared" si="1"/>
        <v>1.1160000000000001</v>
      </c>
      <c r="H17" s="12">
        <v>1.1214999999999999</v>
      </c>
      <c r="I17" s="12">
        <f t="shared" si="2"/>
        <v>1.2515940000000001</v>
      </c>
      <c r="J17" s="12">
        <v>0.73999999999999899</v>
      </c>
      <c r="K17" s="12">
        <f t="shared" si="3"/>
        <v>1.9915939999999992</v>
      </c>
    </row>
    <row r="18" spans="3:11" x14ac:dyDescent="0.2">
      <c r="C18" s="12">
        <v>0</v>
      </c>
      <c r="D18" s="12">
        <v>0.9</v>
      </c>
      <c r="E18" s="12">
        <f t="shared" si="0"/>
        <v>0.9</v>
      </c>
      <c r="F18" s="12">
        <v>1.24</v>
      </c>
      <c r="G18" s="12">
        <f t="shared" si="1"/>
        <v>1.1160000000000001</v>
      </c>
      <c r="H18" s="12">
        <v>1.1214999999999999</v>
      </c>
      <c r="I18" s="12">
        <f t="shared" si="2"/>
        <v>1.2515940000000001</v>
      </c>
      <c r="J18" s="12">
        <v>0.73999999999999899</v>
      </c>
      <c r="K18" s="12">
        <f t="shared" si="3"/>
        <v>1.9915939999999992</v>
      </c>
    </row>
    <row r="19" spans="3:11" x14ac:dyDescent="0.2">
      <c r="C19" s="12">
        <v>0</v>
      </c>
      <c r="D19" s="12">
        <v>0.9</v>
      </c>
      <c r="E19" s="12">
        <f t="shared" si="0"/>
        <v>0.9</v>
      </c>
      <c r="F19" s="12">
        <v>1.24</v>
      </c>
      <c r="G19" s="12">
        <f t="shared" si="1"/>
        <v>1.1160000000000001</v>
      </c>
      <c r="H19" s="12">
        <v>1.1214999999999999</v>
      </c>
      <c r="I19" s="12">
        <f t="shared" si="2"/>
        <v>1.2515940000000001</v>
      </c>
      <c r="J19" s="12">
        <v>0.73999999999999899</v>
      </c>
      <c r="K19" s="12">
        <f t="shared" si="3"/>
        <v>1.9915939999999992</v>
      </c>
    </row>
    <row r="20" spans="3:11" x14ac:dyDescent="0.2">
      <c r="C20" s="12">
        <v>0</v>
      </c>
      <c r="D20" s="12">
        <v>0.9</v>
      </c>
      <c r="E20" s="12">
        <f t="shared" si="0"/>
        <v>0.9</v>
      </c>
      <c r="F20" s="12">
        <v>1.24</v>
      </c>
      <c r="G20" s="12">
        <f t="shared" si="1"/>
        <v>1.1160000000000001</v>
      </c>
      <c r="H20" s="12">
        <v>1.1214999999999999</v>
      </c>
      <c r="I20" s="12">
        <f t="shared" si="2"/>
        <v>1.2515940000000001</v>
      </c>
      <c r="J20" s="12">
        <v>0.73999999999999899</v>
      </c>
      <c r="K20" s="12">
        <f t="shared" si="3"/>
        <v>1.9915939999999992</v>
      </c>
    </row>
    <row r="21" spans="3:11" x14ac:dyDescent="0.2">
      <c r="C21" s="12">
        <v>0</v>
      </c>
      <c r="D21" s="12">
        <v>0.9</v>
      </c>
      <c r="E21" s="12">
        <f t="shared" si="0"/>
        <v>0.9</v>
      </c>
      <c r="F21" s="12">
        <v>1.24</v>
      </c>
      <c r="G21" s="12">
        <f t="shared" si="1"/>
        <v>1.1160000000000001</v>
      </c>
      <c r="H21" s="12">
        <v>1.1214999999999999</v>
      </c>
      <c r="I21" s="12">
        <f t="shared" si="2"/>
        <v>1.2515940000000001</v>
      </c>
      <c r="J21" s="12">
        <v>0.73999999999999899</v>
      </c>
      <c r="K21" s="12">
        <f t="shared" si="3"/>
        <v>1.9915939999999992</v>
      </c>
    </row>
    <row r="22" spans="3:11" x14ac:dyDescent="0.2">
      <c r="C22" s="12">
        <v>0</v>
      </c>
      <c r="D22" s="12">
        <v>0.9</v>
      </c>
      <c r="E22" s="12">
        <f t="shared" si="0"/>
        <v>0.9</v>
      </c>
      <c r="F22" s="12">
        <v>1.24</v>
      </c>
      <c r="G22" s="12">
        <f t="shared" si="1"/>
        <v>1.1160000000000001</v>
      </c>
      <c r="H22" s="12">
        <v>1.1214999999999999</v>
      </c>
      <c r="I22" s="12">
        <f t="shared" si="2"/>
        <v>1.2515940000000001</v>
      </c>
      <c r="J22" s="12">
        <v>0.73999999999999899</v>
      </c>
      <c r="K22" s="12">
        <f t="shared" si="3"/>
        <v>1.9915939999999992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L1000"/>
  <sheetViews>
    <sheetView workbookViewId="0"/>
  </sheetViews>
  <sheetFormatPr defaultColWidth="12.5703125" defaultRowHeight="15.75" customHeight="1" x14ac:dyDescent="0.2"/>
  <cols>
    <col min="1" max="1" width="19.28515625" customWidth="1"/>
    <col min="2" max="2" width="15.42578125" customWidth="1"/>
    <col min="6" max="6" width="7" customWidth="1"/>
    <col min="7" max="7" width="8.28515625" customWidth="1"/>
  </cols>
  <sheetData>
    <row r="1" spans="1:12" x14ac:dyDescent="0.2">
      <c r="B1" s="43"/>
    </row>
    <row r="2" spans="1:12" x14ac:dyDescent="0.2">
      <c r="A2" s="6" t="s">
        <v>1301</v>
      </c>
      <c r="B2" s="43" t="s">
        <v>1302</v>
      </c>
      <c r="C2" s="15">
        <v>3.04</v>
      </c>
      <c r="D2" s="15">
        <v>0.3</v>
      </c>
      <c r="E2" s="15">
        <f t="shared" ref="E2:E32" si="0">SUM(C2)+D2</f>
        <v>3.34</v>
      </c>
      <c r="F2" s="15">
        <v>1.24</v>
      </c>
      <c r="G2" s="15">
        <f t="shared" ref="G2:G32" si="1">SUM(E2)*F2</f>
        <v>4.1415999999999995</v>
      </c>
      <c r="H2" s="15">
        <v>1.1214999999999999</v>
      </c>
      <c r="I2" s="15">
        <f t="shared" ref="I2:I32" si="2">SUM(G2)*H2</f>
        <v>4.6448043999999991</v>
      </c>
      <c r="J2" s="21">
        <v>0.25</v>
      </c>
      <c r="K2" s="15">
        <f t="shared" ref="K2:K32" si="3">SUM(I2)+J2</f>
        <v>4.8948043999999991</v>
      </c>
    </row>
    <row r="3" spans="1:12" x14ac:dyDescent="0.2">
      <c r="A3" s="6" t="s">
        <v>1303</v>
      </c>
      <c r="B3" s="43" t="s">
        <v>1304</v>
      </c>
      <c r="C3" s="15">
        <v>5.84</v>
      </c>
      <c r="D3" s="15">
        <v>0.6</v>
      </c>
      <c r="E3" s="15">
        <f t="shared" si="0"/>
        <v>6.4399999999999995</v>
      </c>
      <c r="F3" s="15">
        <v>1.24</v>
      </c>
      <c r="G3" s="15">
        <f t="shared" si="1"/>
        <v>7.9855999999999989</v>
      </c>
      <c r="H3" s="15">
        <v>1.1214999999999999</v>
      </c>
      <c r="I3" s="15">
        <f t="shared" si="2"/>
        <v>8.9558503999999974</v>
      </c>
      <c r="J3" s="21">
        <v>0.43</v>
      </c>
      <c r="K3" s="15">
        <f t="shared" si="3"/>
        <v>9.3858503999999972</v>
      </c>
    </row>
    <row r="4" spans="1:12" x14ac:dyDescent="0.2">
      <c r="A4" s="6" t="s">
        <v>1305</v>
      </c>
      <c r="B4" s="43" t="s">
        <v>1306</v>
      </c>
      <c r="C4" s="15">
        <v>3.75</v>
      </c>
      <c r="D4" s="15">
        <v>0.5</v>
      </c>
      <c r="E4" s="15">
        <f t="shared" si="0"/>
        <v>4.25</v>
      </c>
      <c r="F4" s="15">
        <v>1.24</v>
      </c>
      <c r="G4" s="15">
        <f t="shared" si="1"/>
        <v>5.27</v>
      </c>
      <c r="H4" s="15">
        <v>1.1214999999999999</v>
      </c>
      <c r="I4" s="15">
        <f t="shared" si="2"/>
        <v>5.9103049999999993</v>
      </c>
      <c r="J4" s="21">
        <v>0.25</v>
      </c>
      <c r="K4" s="15">
        <f t="shared" si="3"/>
        <v>6.1603049999999993</v>
      </c>
    </row>
    <row r="5" spans="1:12" x14ac:dyDescent="0.2">
      <c r="A5" s="6" t="s">
        <v>1307</v>
      </c>
      <c r="B5" s="43" t="s">
        <v>1308</v>
      </c>
      <c r="C5" s="15">
        <v>5</v>
      </c>
      <c r="D5" s="15">
        <v>0.2</v>
      </c>
      <c r="E5" s="15">
        <f t="shared" si="0"/>
        <v>5.2</v>
      </c>
      <c r="F5" s="15">
        <v>1.24</v>
      </c>
      <c r="G5" s="15">
        <f t="shared" si="1"/>
        <v>6.4480000000000004</v>
      </c>
      <c r="H5" s="15">
        <v>1.1214999999999999</v>
      </c>
      <c r="I5" s="15">
        <f t="shared" si="2"/>
        <v>7.2314319999999999</v>
      </c>
      <c r="J5" s="21">
        <v>0.25</v>
      </c>
      <c r="K5" s="15">
        <f t="shared" si="3"/>
        <v>7.4814319999999999</v>
      </c>
    </row>
    <row r="6" spans="1:12" x14ac:dyDescent="0.2">
      <c r="A6" s="6" t="s">
        <v>1309</v>
      </c>
      <c r="B6" s="43" t="s">
        <v>1310</v>
      </c>
      <c r="C6" s="15">
        <v>3.63</v>
      </c>
      <c r="D6" s="15">
        <v>0.6</v>
      </c>
      <c r="E6" s="15">
        <f t="shared" si="0"/>
        <v>4.2299999999999995</v>
      </c>
      <c r="F6" s="15">
        <v>1.24</v>
      </c>
      <c r="G6" s="15">
        <f t="shared" si="1"/>
        <v>5.2451999999999996</v>
      </c>
      <c r="H6" s="15">
        <v>1.1214999999999999</v>
      </c>
      <c r="I6" s="15">
        <f t="shared" si="2"/>
        <v>5.8824917999999995</v>
      </c>
      <c r="J6" s="21">
        <v>0.25</v>
      </c>
      <c r="K6" s="15">
        <f t="shared" si="3"/>
        <v>6.1324917999999995</v>
      </c>
    </row>
    <row r="7" spans="1:12" x14ac:dyDescent="0.2">
      <c r="A7" s="6" t="s">
        <v>1311</v>
      </c>
      <c r="B7" s="43" t="s">
        <v>1312</v>
      </c>
      <c r="C7" s="15">
        <v>11.5</v>
      </c>
      <c r="D7" s="15">
        <v>0.9</v>
      </c>
      <c r="E7" s="15">
        <f t="shared" si="0"/>
        <v>12.4</v>
      </c>
      <c r="F7" s="15">
        <v>1.1299999999999999</v>
      </c>
      <c r="G7" s="15">
        <f t="shared" si="1"/>
        <v>14.011999999999999</v>
      </c>
      <c r="H7" s="15">
        <v>1.1214999999999999</v>
      </c>
      <c r="I7" s="15">
        <f t="shared" si="2"/>
        <v>15.714457999999997</v>
      </c>
      <c r="J7" s="21">
        <v>0.7</v>
      </c>
      <c r="K7" s="15">
        <f t="shared" si="3"/>
        <v>16.414457999999996</v>
      </c>
    </row>
    <row r="8" spans="1:12" x14ac:dyDescent="0.2">
      <c r="A8" s="6" t="s">
        <v>1313</v>
      </c>
      <c r="B8" s="43" t="s">
        <v>1314</v>
      </c>
      <c r="C8" s="15">
        <v>1.89</v>
      </c>
      <c r="D8" s="15">
        <v>0.3</v>
      </c>
      <c r="E8" s="15">
        <f t="shared" si="0"/>
        <v>2.19</v>
      </c>
      <c r="F8" s="15">
        <v>1.1299999999999999</v>
      </c>
      <c r="G8" s="15">
        <f t="shared" si="1"/>
        <v>2.4746999999999999</v>
      </c>
      <c r="H8" s="15">
        <v>1.1214999999999999</v>
      </c>
      <c r="I8" s="15">
        <f t="shared" si="2"/>
        <v>2.7753760499999998</v>
      </c>
      <c r="J8" s="21">
        <v>0.25</v>
      </c>
      <c r="K8" s="15">
        <f t="shared" si="3"/>
        <v>3.0253760499999998</v>
      </c>
    </row>
    <row r="9" spans="1:12" x14ac:dyDescent="0.2">
      <c r="A9" s="6" t="s">
        <v>1315</v>
      </c>
      <c r="B9" s="43" t="s">
        <v>1316</v>
      </c>
      <c r="C9" s="15">
        <v>5.36</v>
      </c>
      <c r="D9" s="15">
        <v>0.6</v>
      </c>
      <c r="E9" s="15">
        <f t="shared" si="0"/>
        <v>5.96</v>
      </c>
      <c r="F9" s="15">
        <v>1.24</v>
      </c>
      <c r="G9" s="15">
        <f t="shared" si="1"/>
        <v>7.3903999999999996</v>
      </c>
      <c r="H9" s="15">
        <v>1.1214999999999999</v>
      </c>
      <c r="I9" s="15">
        <f t="shared" si="2"/>
        <v>8.2883335999999996</v>
      </c>
      <c r="J9" s="21">
        <v>0.43</v>
      </c>
      <c r="K9" s="15">
        <f t="shared" si="3"/>
        <v>8.7183335999999994</v>
      </c>
    </row>
    <row r="10" spans="1:12" x14ac:dyDescent="0.2">
      <c r="A10" s="6" t="s">
        <v>1317</v>
      </c>
      <c r="B10" s="43" t="s">
        <v>1318</v>
      </c>
      <c r="C10" s="15">
        <v>5.84</v>
      </c>
      <c r="D10" s="15">
        <v>0.2</v>
      </c>
      <c r="E10" s="15">
        <f t="shared" si="0"/>
        <v>6.04</v>
      </c>
      <c r="F10" s="15">
        <v>1.1299999999999999</v>
      </c>
      <c r="G10" s="15">
        <f t="shared" si="1"/>
        <v>6.8251999999999997</v>
      </c>
      <c r="H10" s="15">
        <v>1.1214999999999999</v>
      </c>
      <c r="I10" s="15">
        <f t="shared" si="2"/>
        <v>7.6544617999999991</v>
      </c>
      <c r="J10" s="21">
        <v>0.43</v>
      </c>
      <c r="K10" s="15">
        <f t="shared" si="3"/>
        <v>8.0844617999999997</v>
      </c>
    </row>
    <row r="11" spans="1:12" x14ac:dyDescent="0.2">
      <c r="A11" s="6" t="s">
        <v>1319</v>
      </c>
      <c r="B11" s="43" t="s">
        <v>1320</v>
      </c>
      <c r="C11" s="15">
        <v>4.78</v>
      </c>
      <c r="D11" s="15">
        <v>0.1</v>
      </c>
      <c r="E11" s="15">
        <f t="shared" si="0"/>
        <v>4.88</v>
      </c>
      <c r="F11" s="15">
        <v>1.24</v>
      </c>
      <c r="G11" s="15">
        <f t="shared" si="1"/>
        <v>6.0511999999999997</v>
      </c>
      <c r="H11" s="15">
        <v>1.1214999999999999</v>
      </c>
      <c r="I11" s="15">
        <f t="shared" si="2"/>
        <v>6.7864207999999993</v>
      </c>
      <c r="J11" s="21">
        <v>0.43</v>
      </c>
      <c r="K11" s="15">
        <f t="shared" si="3"/>
        <v>7.216420799999999</v>
      </c>
    </row>
    <row r="12" spans="1:12" x14ac:dyDescent="0.2">
      <c r="A12" s="12" t="s">
        <v>1321</v>
      </c>
      <c r="B12" s="43">
        <v>5206609300229</v>
      </c>
      <c r="C12" s="15">
        <v>10.119999999999999</v>
      </c>
      <c r="D12" s="15">
        <v>0.9</v>
      </c>
      <c r="E12" s="15">
        <f t="shared" si="0"/>
        <v>11.02</v>
      </c>
      <c r="F12" s="15">
        <v>1.24</v>
      </c>
      <c r="G12" s="15">
        <f t="shared" si="1"/>
        <v>13.6648</v>
      </c>
      <c r="H12" s="15">
        <v>1.1214999999999999</v>
      </c>
      <c r="I12" s="15">
        <f t="shared" si="2"/>
        <v>15.325073199999999</v>
      </c>
      <c r="J12" s="15">
        <v>1.4</v>
      </c>
      <c r="K12" s="15">
        <f t="shared" si="3"/>
        <v>16.725073199999997</v>
      </c>
    </row>
    <row r="13" spans="1:12" x14ac:dyDescent="0.2">
      <c r="A13" s="12" t="s">
        <v>1322</v>
      </c>
      <c r="B13" s="43">
        <v>5206609300090</v>
      </c>
      <c r="C13" s="15">
        <v>7.22</v>
      </c>
      <c r="D13" s="15">
        <v>0.6</v>
      </c>
      <c r="E13" s="15">
        <f t="shared" si="0"/>
        <v>7.8199999999999994</v>
      </c>
      <c r="F13" s="15">
        <v>1.24</v>
      </c>
      <c r="G13" s="15">
        <f t="shared" si="1"/>
        <v>9.6967999999999996</v>
      </c>
      <c r="H13" s="15">
        <v>1.1214999999999999</v>
      </c>
      <c r="I13" s="15">
        <f t="shared" si="2"/>
        <v>10.8749612</v>
      </c>
      <c r="J13" s="15">
        <v>0.73999999999999899</v>
      </c>
      <c r="K13" s="15">
        <f t="shared" si="3"/>
        <v>11.614961199999998</v>
      </c>
    </row>
    <row r="14" spans="1:12" x14ac:dyDescent="0.2">
      <c r="A14" s="12" t="s">
        <v>1323</v>
      </c>
      <c r="B14" s="43">
        <v>5206609100164</v>
      </c>
      <c r="C14" s="15">
        <v>0</v>
      </c>
      <c r="D14" s="15">
        <v>0.9</v>
      </c>
      <c r="E14" s="15">
        <f t="shared" si="0"/>
        <v>0.9</v>
      </c>
      <c r="F14" s="15">
        <v>1.24</v>
      </c>
      <c r="G14" s="15">
        <f t="shared" si="1"/>
        <v>1.1160000000000001</v>
      </c>
      <c r="H14" s="15">
        <v>1.1214999999999999</v>
      </c>
      <c r="I14" s="15">
        <f t="shared" si="2"/>
        <v>1.2515940000000001</v>
      </c>
      <c r="J14" s="15">
        <v>0.73999999999999899</v>
      </c>
      <c r="K14" s="15">
        <f t="shared" si="3"/>
        <v>1.9915939999999992</v>
      </c>
      <c r="L14" s="12">
        <v>8.5399999999999991</v>
      </c>
    </row>
    <row r="15" spans="1:12" x14ac:dyDescent="0.2">
      <c r="B15" s="43"/>
      <c r="C15" s="15">
        <v>0</v>
      </c>
      <c r="D15" s="15">
        <v>0.9</v>
      </c>
      <c r="E15" s="15">
        <f t="shared" si="0"/>
        <v>0.9</v>
      </c>
      <c r="F15" s="15">
        <v>1.24</v>
      </c>
      <c r="G15" s="15">
        <f t="shared" si="1"/>
        <v>1.1160000000000001</v>
      </c>
      <c r="H15" s="15">
        <v>1.1214999999999999</v>
      </c>
      <c r="I15" s="15">
        <f t="shared" si="2"/>
        <v>1.2515940000000001</v>
      </c>
      <c r="J15" s="15">
        <v>0.73999999999999899</v>
      </c>
      <c r="K15" s="15">
        <f t="shared" si="3"/>
        <v>1.9915939999999992</v>
      </c>
    </row>
    <row r="16" spans="1:12" x14ac:dyDescent="0.2">
      <c r="B16" s="43"/>
      <c r="C16" s="15">
        <v>0</v>
      </c>
      <c r="D16" s="15">
        <v>0.9</v>
      </c>
      <c r="E16" s="15">
        <f t="shared" si="0"/>
        <v>0.9</v>
      </c>
      <c r="F16" s="15">
        <v>1.24</v>
      </c>
      <c r="G16" s="15">
        <f t="shared" si="1"/>
        <v>1.1160000000000001</v>
      </c>
      <c r="H16" s="15">
        <v>1.1214999999999999</v>
      </c>
      <c r="I16" s="15">
        <f t="shared" si="2"/>
        <v>1.2515940000000001</v>
      </c>
      <c r="J16" s="15">
        <v>0.73999999999999899</v>
      </c>
      <c r="K16" s="15">
        <f t="shared" si="3"/>
        <v>1.9915939999999992</v>
      </c>
    </row>
    <row r="17" spans="2:11" x14ac:dyDescent="0.2">
      <c r="B17" s="43"/>
      <c r="C17" s="15">
        <v>0</v>
      </c>
      <c r="D17" s="15">
        <v>0.9</v>
      </c>
      <c r="E17" s="15">
        <f t="shared" si="0"/>
        <v>0.9</v>
      </c>
      <c r="F17" s="15">
        <v>1.24</v>
      </c>
      <c r="G17" s="15">
        <f t="shared" si="1"/>
        <v>1.1160000000000001</v>
      </c>
      <c r="H17" s="15">
        <v>1.1214999999999999</v>
      </c>
      <c r="I17" s="15">
        <f t="shared" si="2"/>
        <v>1.2515940000000001</v>
      </c>
      <c r="J17" s="15">
        <v>0.73999999999999899</v>
      </c>
      <c r="K17" s="15">
        <f t="shared" si="3"/>
        <v>1.9915939999999992</v>
      </c>
    </row>
    <row r="18" spans="2:11" x14ac:dyDescent="0.2">
      <c r="B18" s="43"/>
      <c r="C18" s="15">
        <v>0</v>
      </c>
      <c r="D18" s="15">
        <v>0.9</v>
      </c>
      <c r="E18" s="15">
        <f t="shared" si="0"/>
        <v>0.9</v>
      </c>
      <c r="F18" s="15">
        <v>1.24</v>
      </c>
      <c r="G18" s="15">
        <f t="shared" si="1"/>
        <v>1.1160000000000001</v>
      </c>
      <c r="H18" s="15">
        <v>1.1214999999999999</v>
      </c>
      <c r="I18" s="15">
        <f t="shared" si="2"/>
        <v>1.2515940000000001</v>
      </c>
      <c r="J18" s="15">
        <v>0.73999999999999899</v>
      </c>
      <c r="K18" s="15">
        <f t="shared" si="3"/>
        <v>1.9915939999999992</v>
      </c>
    </row>
    <row r="19" spans="2:11" x14ac:dyDescent="0.2">
      <c r="B19" s="43"/>
      <c r="C19" s="15">
        <v>0</v>
      </c>
      <c r="D19" s="15">
        <v>0.9</v>
      </c>
      <c r="E19" s="15">
        <f t="shared" si="0"/>
        <v>0.9</v>
      </c>
      <c r="F19" s="15">
        <v>1.24</v>
      </c>
      <c r="G19" s="15">
        <f t="shared" si="1"/>
        <v>1.1160000000000001</v>
      </c>
      <c r="H19" s="15">
        <v>1.1214999999999999</v>
      </c>
      <c r="I19" s="15">
        <f t="shared" si="2"/>
        <v>1.2515940000000001</v>
      </c>
      <c r="J19" s="15">
        <v>0.73999999999999899</v>
      </c>
      <c r="K19" s="15">
        <f t="shared" si="3"/>
        <v>1.9915939999999992</v>
      </c>
    </row>
    <row r="20" spans="2:11" x14ac:dyDescent="0.2">
      <c r="B20" s="43"/>
      <c r="C20" s="15">
        <v>0</v>
      </c>
      <c r="D20" s="15">
        <v>0.9</v>
      </c>
      <c r="E20" s="15">
        <f t="shared" si="0"/>
        <v>0.9</v>
      </c>
      <c r="F20" s="15">
        <v>1.24</v>
      </c>
      <c r="G20" s="15">
        <f t="shared" si="1"/>
        <v>1.1160000000000001</v>
      </c>
      <c r="H20" s="15">
        <v>1.1214999999999999</v>
      </c>
      <c r="I20" s="15">
        <f t="shared" si="2"/>
        <v>1.2515940000000001</v>
      </c>
      <c r="J20" s="15">
        <v>0.73999999999999899</v>
      </c>
      <c r="K20" s="15">
        <f t="shared" si="3"/>
        <v>1.9915939999999992</v>
      </c>
    </row>
    <row r="21" spans="2:11" x14ac:dyDescent="0.2">
      <c r="B21" s="43"/>
      <c r="C21" s="15">
        <v>0</v>
      </c>
      <c r="D21" s="15">
        <v>0.9</v>
      </c>
      <c r="E21" s="15">
        <f t="shared" si="0"/>
        <v>0.9</v>
      </c>
      <c r="F21" s="15">
        <v>1.24</v>
      </c>
      <c r="G21" s="15">
        <f t="shared" si="1"/>
        <v>1.1160000000000001</v>
      </c>
      <c r="H21" s="15">
        <v>1.1214999999999999</v>
      </c>
      <c r="I21" s="15">
        <f t="shared" si="2"/>
        <v>1.2515940000000001</v>
      </c>
      <c r="J21" s="15">
        <v>0.73999999999999899</v>
      </c>
      <c r="K21" s="15">
        <f t="shared" si="3"/>
        <v>1.9915939999999992</v>
      </c>
    </row>
    <row r="22" spans="2:11" x14ac:dyDescent="0.2">
      <c r="B22" s="43"/>
      <c r="C22" s="15">
        <v>0</v>
      </c>
      <c r="D22" s="15">
        <v>0.9</v>
      </c>
      <c r="E22" s="15">
        <f t="shared" si="0"/>
        <v>0.9</v>
      </c>
      <c r="F22" s="15">
        <v>1.24</v>
      </c>
      <c r="G22" s="15">
        <f t="shared" si="1"/>
        <v>1.1160000000000001</v>
      </c>
      <c r="H22" s="15">
        <v>1.1214999999999999</v>
      </c>
      <c r="I22" s="15">
        <f t="shared" si="2"/>
        <v>1.2515940000000001</v>
      </c>
      <c r="J22" s="15">
        <v>0.73999999999999899</v>
      </c>
      <c r="K22" s="15">
        <f t="shared" si="3"/>
        <v>1.9915939999999992</v>
      </c>
    </row>
    <row r="23" spans="2:11" x14ac:dyDescent="0.2">
      <c r="B23" s="43"/>
      <c r="C23" s="15">
        <v>0</v>
      </c>
      <c r="D23" s="15">
        <v>0.9</v>
      </c>
      <c r="E23" s="15">
        <f t="shared" si="0"/>
        <v>0.9</v>
      </c>
      <c r="F23" s="15">
        <v>1.24</v>
      </c>
      <c r="G23" s="15">
        <f t="shared" si="1"/>
        <v>1.1160000000000001</v>
      </c>
      <c r="H23" s="15">
        <v>1.1214999999999999</v>
      </c>
      <c r="I23" s="15">
        <f t="shared" si="2"/>
        <v>1.2515940000000001</v>
      </c>
      <c r="J23" s="15">
        <v>0.73999999999999899</v>
      </c>
      <c r="K23" s="15">
        <f t="shared" si="3"/>
        <v>1.9915939999999992</v>
      </c>
    </row>
    <row r="24" spans="2:11" x14ac:dyDescent="0.2">
      <c r="B24" s="43"/>
      <c r="C24" s="15">
        <v>0</v>
      </c>
      <c r="D24" s="15">
        <v>0.9</v>
      </c>
      <c r="E24" s="15">
        <f t="shared" si="0"/>
        <v>0.9</v>
      </c>
      <c r="F24" s="15">
        <v>1.24</v>
      </c>
      <c r="G24" s="15">
        <f t="shared" si="1"/>
        <v>1.1160000000000001</v>
      </c>
      <c r="H24" s="15">
        <v>1.1214999999999999</v>
      </c>
      <c r="I24" s="15">
        <f t="shared" si="2"/>
        <v>1.2515940000000001</v>
      </c>
      <c r="J24" s="15">
        <v>0.73999999999999899</v>
      </c>
      <c r="K24" s="15">
        <f t="shared" si="3"/>
        <v>1.9915939999999992</v>
      </c>
    </row>
    <row r="25" spans="2:11" x14ac:dyDescent="0.2">
      <c r="B25" s="43"/>
      <c r="C25" s="15">
        <v>0</v>
      </c>
      <c r="D25" s="15">
        <v>0.9</v>
      </c>
      <c r="E25" s="15">
        <f t="shared" si="0"/>
        <v>0.9</v>
      </c>
      <c r="F25" s="15">
        <v>1.24</v>
      </c>
      <c r="G25" s="15">
        <f t="shared" si="1"/>
        <v>1.1160000000000001</v>
      </c>
      <c r="H25" s="15">
        <v>1.1214999999999999</v>
      </c>
      <c r="I25" s="15">
        <f t="shared" si="2"/>
        <v>1.2515940000000001</v>
      </c>
      <c r="J25" s="15">
        <v>0.73999999999999899</v>
      </c>
      <c r="K25" s="15">
        <f t="shared" si="3"/>
        <v>1.9915939999999992</v>
      </c>
    </row>
    <row r="26" spans="2:11" x14ac:dyDescent="0.2">
      <c r="B26" s="43"/>
      <c r="C26" s="15">
        <v>0</v>
      </c>
      <c r="D26" s="15">
        <v>0.9</v>
      </c>
      <c r="E26" s="15">
        <f t="shared" si="0"/>
        <v>0.9</v>
      </c>
      <c r="F26" s="15">
        <v>1.24</v>
      </c>
      <c r="G26" s="15">
        <f t="shared" si="1"/>
        <v>1.1160000000000001</v>
      </c>
      <c r="H26" s="15">
        <v>1.1214999999999999</v>
      </c>
      <c r="I26" s="15">
        <f t="shared" si="2"/>
        <v>1.2515940000000001</v>
      </c>
      <c r="J26" s="15">
        <v>0.73999999999999899</v>
      </c>
      <c r="K26" s="15">
        <f t="shared" si="3"/>
        <v>1.9915939999999992</v>
      </c>
    </row>
    <row r="27" spans="2:11" x14ac:dyDescent="0.2">
      <c r="B27" s="43"/>
      <c r="C27" s="15">
        <v>0</v>
      </c>
      <c r="D27" s="15">
        <v>0.9</v>
      </c>
      <c r="E27" s="15">
        <f t="shared" si="0"/>
        <v>0.9</v>
      </c>
      <c r="F27" s="15">
        <v>1.24</v>
      </c>
      <c r="G27" s="15">
        <f t="shared" si="1"/>
        <v>1.1160000000000001</v>
      </c>
      <c r="H27" s="15">
        <v>1.1214999999999999</v>
      </c>
      <c r="I27" s="15">
        <f t="shared" si="2"/>
        <v>1.2515940000000001</v>
      </c>
      <c r="J27" s="15">
        <v>0.73999999999999899</v>
      </c>
      <c r="K27" s="15">
        <f t="shared" si="3"/>
        <v>1.9915939999999992</v>
      </c>
    </row>
    <row r="28" spans="2:11" x14ac:dyDescent="0.2">
      <c r="B28" s="43"/>
      <c r="C28" s="15">
        <v>0</v>
      </c>
      <c r="D28" s="15">
        <v>0.9</v>
      </c>
      <c r="E28" s="15">
        <f t="shared" si="0"/>
        <v>0.9</v>
      </c>
      <c r="F28" s="15">
        <v>1.24</v>
      </c>
      <c r="G28" s="15">
        <f t="shared" si="1"/>
        <v>1.1160000000000001</v>
      </c>
      <c r="H28" s="15">
        <v>1.1214999999999999</v>
      </c>
      <c r="I28" s="15">
        <f t="shared" si="2"/>
        <v>1.2515940000000001</v>
      </c>
      <c r="J28" s="15">
        <v>0.73999999999999899</v>
      </c>
      <c r="K28" s="15">
        <f t="shared" si="3"/>
        <v>1.9915939999999992</v>
      </c>
    </row>
    <row r="29" spans="2:11" x14ac:dyDescent="0.2">
      <c r="B29" s="43"/>
      <c r="C29" s="15">
        <v>0</v>
      </c>
      <c r="D29" s="15">
        <v>0.9</v>
      </c>
      <c r="E29" s="15">
        <f t="shared" si="0"/>
        <v>0.9</v>
      </c>
      <c r="F29" s="15">
        <v>1.24</v>
      </c>
      <c r="G29" s="15">
        <f t="shared" si="1"/>
        <v>1.1160000000000001</v>
      </c>
      <c r="H29" s="15">
        <v>1.1214999999999999</v>
      </c>
      <c r="I29" s="15">
        <f t="shared" si="2"/>
        <v>1.2515940000000001</v>
      </c>
      <c r="J29" s="15">
        <v>0.73999999999999899</v>
      </c>
      <c r="K29" s="15">
        <f t="shared" si="3"/>
        <v>1.9915939999999992</v>
      </c>
    </row>
    <row r="30" spans="2:11" x14ac:dyDescent="0.2">
      <c r="B30" s="43"/>
      <c r="C30" s="15">
        <v>0</v>
      </c>
      <c r="D30" s="15">
        <v>0.9</v>
      </c>
      <c r="E30" s="15">
        <f t="shared" si="0"/>
        <v>0.9</v>
      </c>
      <c r="F30" s="15">
        <v>1.24</v>
      </c>
      <c r="G30" s="15">
        <f t="shared" si="1"/>
        <v>1.1160000000000001</v>
      </c>
      <c r="H30" s="15">
        <v>1.1214999999999999</v>
      </c>
      <c r="I30" s="15">
        <f t="shared" si="2"/>
        <v>1.2515940000000001</v>
      </c>
      <c r="J30" s="15">
        <v>0.73999999999999899</v>
      </c>
      <c r="K30" s="15">
        <f t="shared" si="3"/>
        <v>1.9915939999999992</v>
      </c>
    </row>
    <row r="31" spans="2:11" x14ac:dyDescent="0.2">
      <c r="B31" s="43"/>
      <c r="C31" s="15">
        <v>0</v>
      </c>
      <c r="D31" s="15">
        <v>0.9</v>
      </c>
      <c r="E31" s="15">
        <f t="shared" si="0"/>
        <v>0.9</v>
      </c>
      <c r="F31" s="15">
        <v>1.24</v>
      </c>
      <c r="G31" s="15">
        <f t="shared" si="1"/>
        <v>1.1160000000000001</v>
      </c>
      <c r="H31" s="15">
        <v>1.1214999999999999</v>
      </c>
      <c r="I31" s="15">
        <f t="shared" si="2"/>
        <v>1.2515940000000001</v>
      </c>
      <c r="J31" s="15">
        <v>0.73999999999999899</v>
      </c>
      <c r="K31" s="15">
        <f t="shared" si="3"/>
        <v>1.9915939999999992</v>
      </c>
    </row>
    <row r="32" spans="2:11" x14ac:dyDescent="0.2">
      <c r="B32" s="43"/>
      <c r="C32" s="15">
        <v>0</v>
      </c>
      <c r="D32" s="15">
        <v>0.9</v>
      </c>
      <c r="E32" s="15">
        <f t="shared" si="0"/>
        <v>0.9</v>
      </c>
      <c r="F32" s="15">
        <v>1.24</v>
      </c>
      <c r="G32" s="15">
        <f t="shared" si="1"/>
        <v>1.1160000000000001</v>
      </c>
      <c r="H32" s="15">
        <v>1.1214999999999999</v>
      </c>
      <c r="I32" s="15">
        <f t="shared" si="2"/>
        <v>1.2515940000000001</v>
      </c>
      <c r="J32" s="15">
        <v>0.73999999999999899</v>
      </c>
      <c r="K32" s="15">
        <f t="shared" si="3"/>
        <v>1.9915939999999992</v>
      </c>
    </row>
    <row r="33" spans="2:2" x14ac:dyDescent="0.2">
      <c r="B33" s="43"/>
    </row>
    <row r="34" spans="2:2" x14ac:dyDescent="0.2">
      <c r="B34" s="43"/>
    </row>
    <row r="35" spans="2:2" x14ac:dyDescent="0.2">
      <c r="B35" s="43"/>
    </row>
    <row r="36" spans="2:2" x14ac:dyDescent="0.2">
      <c r="B36" s="43"/>
    </row>
    <row r="37" spans="2:2" x14ac:dyDescent="0.2">
      <c r="B37" s="43"/>
    </row>
    <row r="38" spans="2:2" x14ac:dyDescent="0.2">
      <c r="B38" s="43"/>
    </row>
    <row r="39" spans="2:2" x14ac:dyDescent="0.2">
      <c r="B39" s="43"/>
    </row>
    <row r="40" spans="2:2" x14ac:dyDescent="0.2">
      <c r="B40" s="43"/>
    </row>
    <row r="41" spans="2:2" x14ac:dyDescent="0.2">
      <c r="B41" s="43"/>
    </row>
    <row r="42" spans="2:2" x14ac:dyDescent="0.2">
      <c r="B42" s="43"/>
    </row>
    <row r="43" spans="2:2" x14ac:dyDescent="0.2">
      <c r="B43" s="43"/>
    </row>
    <row r="44" spans="2:2" x14ac:dyDescent="0.2">
      <c r="B44" s="43"/>
    </row>
    <row r="45" spans="2:2" x14ac:dyDescent="0.2">
      <c r="B45" s="43"/>
    </row>
    <row r="46" spans="2:2" x14ac:dyDescent="0.2">
      <c r="B46" s="43"/>
    </row>
    <row r="47" spans="2:2" x14ac:dyDescent="0.2">
      <c r="B47" s="43"/>
    </row>
    <row r="48" spans="2:2" x14ac:dyDescent="0.2">
      <c r="B48" s="43"/>
    </row>
    <row r="49" spans="2:2" x14ac:dyDescent="0.2">
      <c r="B49" s="43"/>
    </row>
    <row r="50" spans="2:2" x14ac:dyDescent="0.2">
      <c r="B50" s="43"/>
    </row>
    <row r="51" spans="2:2" x14ac:dyDescent="0.2">
      <c r="B51" s="43"/>
    </row>
    <row r="52" spans="2:2" x14ac:dyDescent="0.2">
      <c r="B52" s="43"/>
    </row>
    <row r="53" spans="2:2" x14ac:dyDescent="0.2">
      <c r="B53" s="43"/>
    </row>
    <row r="54" spans="2:2" x14ac:dyDescent="0.2">
      <c r="B54" s="43"/>
    </row>
    <row r="55" spans="2:2" x14ac:dyDescent="0.2">
      <c r="B55" s="43"/>
    </row>
    <row r="56" spans="2:2" x14ac:dyDescent="0.2">
      <c r="B56" s="43"/>
    </row>
    <row r="57" spans="2:2" x14ac:dyDescent="0.2">
      <c r="B57" s="43"/>
    </row>
    <row r="58" spans="2:2" x14ac:dyDescent="0.2">
      <c r="B58" s="43"/>
    </row>
    <row r="59" spans="2:2" x14ac:dyDescent="0.2">
      <c r="B59" s="43"/>
    </row>
    <row r="60" spans="2:2" x14ac:dyDescent="0.2">
      <c r="B60" s="43"/>
    </row>
    <row r="61" spans="2:2" x14ac:dyDescent="0.2">
      <c r="B61" s="43"/>
    </row>
    <row r="62" spans="2:2" x14ac:dyDescent="0.2">
      <c r="B62" s="43"/>
    </row>
    <row r="63" spans="2:2" x14ac:dyDescent="0.2">
      <c r="B63" s="43"/>
    </row>
    <row r="64" spans="2:2" x14ac:dyDescent="0.2">
      <c r="B64" s="43"/>
    </row>
    <row r="65" spans="2:2" x14ac:dyDescent="0.2">
      <c r="B65" s="43"/>
    </row>
    <row r="66" spans="2:2" x14ac:dyDescent="0.2">
      <c r="B66" s="43"/>
    </row>
    <row r="67" spans="2:2" x14ac:dyDescent="0.2">
      <c r="B67" s="43"/>
    </row>
    <row r="68" spans="2:2" x14ac:dyDescent="0.2">
      <c r="B68" s="43"/>
    </row>
    <row r="69" spans="2:2" x14ac:dyDescent="0.2">
      <c r="B69" s="43"/>
    </row>
    <row r="70" spans="2:2" x14ac:dyDescent="0.2">
      <c r="B70" s="43"/>
    </row>
    <row r="71" spans="2:2" x14ac:dyDescent="0.2">
      <c r="B71" s="43"/>
    </row>
    <row r="72" spans="2:2" x14ac:dyDescent="0.2">
      <c r="B72" s="43"/>
    </row>
    <row r="73" spans="2:2" x14ac:dyDescent="0.2">
      <c r="B73" s="43"/>
    </row>
    <row r="74" spans="2:2" x14ac:dyDescent="0.2">
      <c r="B74" s="43"/>
    </row>
    <row r="75" spans="2:2" x14ac:dyDescent="0.2">
      <c r="B75" s="43"/>
    </row>
    <row r="76" spans="2:2" x14ac:dyDescent="0.2">
      <c r="B76" s="43"/>
    </row>
    <row r="77" spans="2:2" x14ac:dyDescent="0.2">
      <c r="B77" s="43"/>
    </row>
    <row r="78" spans="2:2" x14ac:dyDescent="0.2">
      <c r="B78" s="43"/>
    </row>
    <row r="79" spans="2:2" x14ac:dyDescent="0.2">
      <c r="B79" s="43"/>
    </row>
    <row r="80" spans="2:2" x14ac:dyDescent="0.2">
      <c r="B80" s="43"/>
    </row>
    <row r="81" spans="2:2" x14ac:dyDescent="0.2">
      <c r="B81" s="43"/>
    </row>
    <row r="82" spans="2:2" x14ac:dyDescent="0.2">
      <c r="B82" s="43"/>
    </row>
    <row r="83" spans="2:2" x14ac:dyDescent="0.2">
      <c r="B83" s="43"/>
    </row>
    <row r="84" spans="2:2" x14ac:dyDescent="0.2">
      <c r="B84" s="43"/>
    </row>
    <row r="85" spans="2:2" x14ac:dyDescent="0.2">
      <c r="B85" s="43"/>
    </row>
    <row r="86" spans="2:2" x14ac:dyDescent="0.2">
      <c r="B86" s="43"/>
    </row>
    <row r="87" spans="2:2" x14ac:dyDescent="0.2">
      <c r="B87" s="43"/>
    </row>
    <row r="88" spans="2:2" x14ac:dyDescent="0.2">
      <c r="B88" s="43"/>
    </row>
    <row r="89" spans="2:2" x14ac:dyDescent="0.2">
      <c r="B89" s="43"/>
    </row>
    <row r="90" spans="2:2" x14ac:dyDescent="0.2">
      <c r="B90" s="43"/>
    </row>
    <row r="91" spans="2:2" x14ac:dyDescent="0.2">
      <c r="B91" s="43"/>
    </row>
    <row r="92" spans="2:2" x14ac:dyDescent="0.2">
      <c r="B92" s="43"/>
    </row>
    <row r="93" spans="2:2" x14ac:dyDescent="0.2">
      <c r="B93" s="43"/>
    </row>
    <row r="94" spans="2:2" x14ac:dyDescent="0.2">
      <c r="B94" s="43"/>
    </row>
    <row r="95" spans="2:2" x14ac:dyDescent="0.2">
      <c r="B95" s="43"/>
    </row>
    <row r="96" spans="2:2" x14ac:dyDescent="0.2">
      <c r="B96" s="43"/>
    </row>
    <row r="97" spans="2:2" x14ac:dyDescent="0.2">
      <c r="B97" s="43"/>
    </row>
    <row r="98" spans="2:2" x14ac:dyDescent="0.2">
      <c r="B98" s="43"/>
    </row>
    <row r="99" spans="2:2" x14ac:dyDescent="0.2">
      <c r="B99" s="43"/>
    </row>
    <row r="100" spans="2:2" x14ac:dyDescent="0.2">
      <c r="B100" s="43"/>
    </row>
    <row r="101" spans="2:2" x14ac:dyDescent="0.2">
      <c r="B101" s="43"/>
    </row>
    <row r="102" spans="2:2" x14ac:dyDescent="0.2">
      <c r="B102" s="43"/>
    </row>
    <row r="103" spans="2:2" x14ac:dyDescent="0.2">
      <c r="B103" s="43"/>
    </row>
    <row r="104" spans="2:2" x14ac:dyDescent="0.2">
      <c r="B104" s="43"/>
    </row>
    <row r="105" spans="2:2" x14ac:dyDescent="0.2">
      <c r="B105" s="43"/>
    </row>
    <row r="106" spans="2:2" x14ac:dyDescent="0.2">
      <c r="B106" s="43"/>
    </row>
    <row r="107" spans="2:2" x14ac:dyDescent="0.2">
      <c r="B107" s="43"/>
    </row>
    <row r="108" spans="2:2" x14ac:dyDescent="0.2">
      <c r="B108" s="43"/>
    </row>
    <row r="109" spans="2:2" x14ac:dyDescent="0.2">
      <c r="B109" s="43"/>
    </row>
    <row r="110" spans="2:2" x14ac:dyDescent="0.2">
      <c r="B110" s="43"/>
    </row>
    <row r="111" spans="2:2" x14ac:dyDescent="0.2">
      <c r="B111" s="43"/>
    </row>
    <row r="112" spans="2:2" x14ac:dyDescent="0.2">
      <c r="B112" s="43"/>
    </row>
    <row r="113" spans="2:2" x14ac:dyDescent="0.2">
      <c r="B113" s="43"/>
    </row>
    <row r="114" spans="2:2" x14ac:dyDescent="0.2">
      <c r="B114" s="43"/>
    </row>
    <row r="115" spans="2:2" x14ac:dyDescent="0.2">
      <c r="B115" s="43"/>
    </row>
    <row r="116" spans="2:2" x14ac:dyDescent="0.2">
      <c r="B116" s="43"/>
    </row>
    <row r="117" spans="2:2" x14ac:dyDescent="0.2">
      <c r="B117" s="43"/>
    </row>
    <row r="118" spans="2:2" x14ac:dyDescent="0.2">
      <c r="B118" s="43"/>
    </row>
    <row r="119" spans="2:2" x14ac:dyDescent="0.2">
      <c r="B119" s="43"/>
    </row>
    <row r="120" spans="2:2" x14ac:dyDescent="0.2">
      <c r="B120" s="43"/>
    </row>
    <row r="121" spans="2:2" x14ac:dyDescent="0.2">
      <c r="B121" s="43"/>
    </row>
    <row r="122" spans="2:2" x14ac:dyDescent="0.2">
      <c r="B122" s="43"/>
    </row>
    <row r="123" spans="2:2" x14ac:dyDescent="0.2">
      <c r="B123" s="43"/>
    </row>
    <row r="124" spans="2:2" x14ac:dyDescent="0.2">
      <c r="B124" s="43"/>
    </row>
    <row r="125" spans="2:2" x14ac:dyDescent="0.2">
      <c r="B125" s="43"/>
    </row>
    <row r="126" spans="2:2" x14ac:dyDescent="0.2">
      <c r="B126" s="43"/>
    </row>
    <row r="127" spans="2:2" x14ac:dyDescent="0.2">
      <c r="B127" s="43"/>
    </row>
    <row r="128" spans="2:2" x14ac:dyDescent="0.2">
      <c r="B128" s="43"/>
    </row>
    <row r="129" spans="2:2" x14ac:dyDescent="0.2">
      <c r="B129" s="43"/>
    </row>
    <row r="130" spans="2:2" x14ac:dyDescent="0.2">
      <c r="B130" s="43"/>
    </row>
    <row r="131" spans="2:2" x14ac:dyDescent="0.2">
      <c r="B131" s="43"/>
    </row>
    <row r="132" spans="2:2" x14ac:dyDescent="0.2">
      <c r="B132" s="43"/>
    </row>
    <row r="133" spans="2:2" x14ac:dyDescent="0.2">
      <c r="B133" s="43"/>
    </row>
    <row r="134" spans="2:2" x14ac:dyDescent="0.2">
      <c r="B134" s="43"/>
    </row>
    <row r="135" spans="2:2" x14ac:dyDescent="0.2">
      <c r="B135" s="43"/>
    </row>
    <row r="136" spans="2:2" x14ac:dyDescent="0.2">
      <c r="B136" s="43"/>
    </row>
    <row r="137" spans="2:2" x14ac:dyDescent="0.2">
      <c r="B137" s="43"/>
    </row>
    <row r="138" spans="2:2" x14ac:dyDescent="0.2">
      <c r="B138" s="43"/>
    </row>
    <row r="139" spans="2:2" x14ac:dyDescent="0.2">
      <c r="B139" s="43"/>
    </row>
    <row r="140" spans="2:2" x14ac:dyDescent="0.2">
      <c r="B140" s="43"/>
    </row>
    <row r="141" spans="2:2" x14ac:dyDescent="0.2">
      <c r="B141" s="43"/>
    </row>
    <row r="142" spans="2:2" x14ac:dyDescent="0.2">
      <c r="B142" s="43"/>
    </row>
    <row r="143" spans="2:2" x14ac:dyDescent="0.2">
      <c r="B143" s="43"/>
    </row>
    <row r="144" spans="2:2" x14ac:dyDescent="0.2">
      <c r="B144" s="43"/>
    </row>
    <row r="145" spans="2:2" x14ac:dyDescent="0.2">
      <c r="B145" s="43"/>
    </row>
    <row r="146" spans="2:2" x14ac:dyDescent="0.2">
      <c r="B146" s="43"/>
    </row>
    <row r="147" spans="2:2" x14ac:dyDescent="0.2">
      <c r="B147" s="43"/>
    </row>
    <row r="148" spans="2:2" x14ac:dyDescent="0.2">
      <c r="B148" s="43"/>
    </row>
    <row r="149" spans="2:2" x14ac:dyDescent="0.2">
      <c r="B149" s="43"/>
    </row>
    <row r="150" spans="2:2" x14ac:dyDescent="0.2">
      <c r="B150" s="43"/>
    </row>
    <row r="151" spans="2:2" x14ac:dyDescent="0.2">
      <c r="B151" s="43"/>
    </row>
    <row r="152" spans="2:2" x14ac:dyDescent="0.2">
      <c r="B152" s="43"/>
    </row>
    <row r="153" spans="2:2" x14ac:dyDescent="0.2">
      <c r="B153" s="43"/>
    </row>
    <row r="154" spans="2:2" x14ac:dyDescent="0.2">
      <c r="B154" s="43"/>
    </row>
    <row r="155" spans="2:2" x14ac:dyDescent="0.2">
      <c r="B155" s="43"/>
    </row>
    <row r="156" spans="2:2" x14ac:dyDescent="0.2">
      <c r="B156" s="43"/>
    </row>
    <row r="157" spans="2:2" x14ac:dyDescent="0.2">
      <c r="B157" s="43"/>
    </row>
    <row r="158" spans="2:2" x14ac:dyDescent="0.2">
      <c r="B158" s="43"/>
    </row>
    <row r="159" spans="2:2" x14ac:dyDescent="0.2">
      <c r="B159" s="43"/>
    </row>
    <row r="160" spans="2:2" x14ac:dyDescent="0.2">
      <c r="B160" s="43"/>
    </row>
    <row r="161" spans="2:2" x14ac:dyDescent="0.2">
      <c r="B161" s="43"/>
    </row>
    <row r="162" spans="2:2" x14ac:dyDescent="0.2">
      <c r="B162" s="43"/>
    </row>
    <row r="163" spans="2:2" x14ac:dyDescent="0.2">
      <c r="B163" s="43"/>
    </row>
    <row r="164" spans="2:2" x14ac:dyDescent="0.2">
      <c r="B164" s="43"/>
    </row>
    <row r="165" spans="2:2" x14ac:dyDescent="0.2">
      <c r="B165" s="43"/>
    </row>
    <row r="166" spans="2:2" x14ac:dyDescent="0.2">
      <c r="B166" s="43"/>
    </row>
    <row r="167" spans="2:2" x14ac:dyDescent="0.2">
      <c r="B167" s="43"/>
    </row>
    <row r="168" spans="2:2" x14ac:dyDescent="0.2">
      <c r="B168" s="43"/>
    </row>
    <row r="169" spans="2:2" x14ac:dyDescent="0.2">
      <c r="B169" s="43"/>
    </row>
    <row r="170" spans="2:2" x14ac:dyDescent="0.2">
      <c r="B170" s="43"/>
    </row>
    <row r="171" spans="2:2" x14ac:dyDescent="0.2">
      <c r="B171" s="43"/>
    </row>
    <row r="172" spans="2:2" x14ac:dyDescent="0.2">
      <c r="B172" s="43"/>
    </row>
    <row r="173" spans="2:2" x14ac:dyDescent="0.2">
      <c r="B173" s="43"/>
    </row>
    <row r="174" spans="2:2" x14ac:dyDescent="0.2">
      <c r="B174" s="43"/>
    </row>
    <row r="175" spans="2:2" x14ac:dyDescent="0.2">
      <c r="B175" s="43"/>
    </row>
    <row r="176" spans="2:2" x14ac:dyDescent="0.2">
      <c r="B176" s="43"/>
    </row>
    <row r="177" spans="2:2" x14ac:dyDescent="0.2">
      <c r="B177" s="43"/>
    </row>
    <row r="178" spans="2:2" x14ac:dyDescent="0.2">
      <c r="B178" s="43"/>
    </row>
    <row r="179" spans="2:2" x14ac:dyDescent="0.2">
      <c r="B179" s="43"/>
    </row>
    <row r="180" spans="2:2" x14ac:dyDescent="0.2">
      <c r="B180" s="43"/>
    </row>
    <row r="181" spans="2:2" x14ac:dyDescent="0.2">
      <c r="B181" s="43"/>
    </row>
    <row r="182" spans="2:2" x14ac:dyDescent="0.2">
      <c r="B182" s="43"/>
    </row>
    <row r="183" spans="2:2" x14ac:dyDescent="0.2">
      <c r="B183" s="43"/>
    </row>
    <row r="184" spans="2:2" x14ac:dyDescent="0.2">
      <c r="B184" s="43"/>
    </row>
    <row r="185" spans="2:2" x14ac:dyDescent="0.2">
      <c r="B185" s="43"/>
    </row>
    <row r="186" spans="2:2" x14ac:dyDescent="0.2">
      <c r="B186" s="43"/>
    </row>
    <row r="187" spans="2:2" x14ac:dyDescent="0.2">
      <c r="B187" s="43"/>
    </row>
    <row r="188" spans="2:2" x14ac:dyDescent="0.2">
      <c r="B188" s="43"/>
    </row>
    <row r="189" spans="2:2" x14ac:dyDescent="0.2">
      <c r="B189" s="43"/>
    </row>
    <row r="190" spans="2:2" x14ac:dyDescent="0.2">
      <c r="B190" s="43"/>
    </row>
    <row r="191" spans="2:2" x14ac:dyDescent="0.2">
      <c r="B191" s="43"/>
    </row>
    <row r="192" spans="2:2" x14ac:dyDescent="0.2">
      <c r="B192" s="43"/>
    </row>
    <row r="193" spans="2:2" x14ac:dyDescent="0.2">
      <c r="B193" s="43"/>
    </row>
    <row r="194" spans="2:2" x14ac:dyDescent="0.2">
      <c r="B194" s="43"/>
    </row>
    <row r="195" spans="2:2" x14ac:dyDescent="0.2">
      <c r="B195" s="43"/>
    </row>
    <row r="196" spans="2:2" x14ac:dyDescent="0.2">
      <c r="B196" s="43"/>
    </row>
    <row r="197" spans="2:2" x14ac:dyDescent="0.2">
      <c r="B197" s="43"/>
    </row>
    <row r="198" spans="2:2" x14ac:dyDescent="0.2">
      <c r="B198" s="43"/>
    </row>
    <row r="199" spans="2:2" x14ac:dyDescent="0.2">
      <c r="B199" s="43"/>
    </row>
    <row r="200" spans="2:2" x14ac:dyDescent="0.2">
      <c r="B200" s="43"/>
    </row>
    <row r="201" spans="2:2" x14ac:dyDescent="0.2">
      <c r="B201" s="43"/>
    </row>
    <row r="202" spans="2:2" x14ac:dyDescent="0.2">
      <c r="B202" s="43"/>
    </row>
    <row r="203" spans="2:2" x14ac:dyDescent="0.2">
      <c r="B203" s="43"/>
    </row>
    <row r="204" spans="2:2" x14ac:dyDescent="0.2">
      <c r="B204" s="43"/>
    </row>
    <row r="205" spans="2:2" x14ac:dyDescent="0.2">
      <c r="B205" s="43"/>
    </row>
    <row r="206" spans="2:2" x14ac:dyDescent="0.2">
      <c r="B206" s="43"/>
    </row>
    <row r="207" spans="2:2" x14ac:dyDescent="0.2">
      <c r="B207" s="43"/>
    </row>
    <row r="208" spans="2:2" x14ac:dyDescent="0.2">
      <c r="B208" s="43"/>
    </row>
    <row r="209" spans="2:2" x14ac:dyDescent="0.2">
      <c r="B209" s="43"/>
    </row>
    <row r="210" spans="2:2" x14ac:dyDescent="0.2">
      <c r="B210" s="43"/>
    </row>
    <row r="211" spans="2:2" x14ac:dyDescent="0.2">
      <c r="B211" s="43"/>
    </row>
    <row r="212" spans="2:2" x14ac:dyDescent="0.2">
      <c r="B212" s="43"/>
    </row>
    <row r="213" spans="2:2" x14ac:dyDescent="0.2">
      <c r="B213" s="43"/>
    </row>
    <row r="214" spans="2:2" x14ac:dyDescent="0.2">
      <c r="B214" s="43"/>
    </row>
    <row r="215" spans="2:2" x14ac:dyDescent="0.2">
      <c r="B215" s="43"/>
    </row>
    <row r="216" spans="2:2" x14ac:dyDescent="0.2">
      <c r="B216" s="43"/>
    </row>
    <row r="217" spans="2:2" x14ac:dyDescent="0.2">
      <c r="B217" s="43"/>
    </row>
    <row r="218" spans="2:2" x14ac:dyDescent="0.2">
      <c r="B218" s="43"/>
    </row>
    <row r="219" spans="2:2" x14ac:dyDescent="0.2">
      <c r="B219" s="43"/>
    </row>
    <row r="220" spans="2:2" x14ac:dyDescent="0.2">
      <c r="B220" s="43"/>
    </row>
    <row r="221" spans="2:2" x14ac:dyDescent="0.2">
      <c r="B221" s="43"/>
    </row>
    <row r="222" spans="2:2" x14ac:dyDescent="0.2">
      <c r="B222" s="43"/>
    </row>
    <row r="223" spans="2:2" x14ac:dyDescent="0.2">
      <c r="B223" s="43"/>
    </row>
    <row r="224" spans="2:2" x14ac:dyDescent="0.2">
      <c r="B224" s="43"/>
    </row>
    <row r="225" spans="2:2" x14ac:dyDescent="0.2">
      <c r="B225" s="43"/>
    </row>
    <row r="226" spans="2:2" x14ac:dyDescent="0.2">
      <c r="B226" s="43"/>
    </row>
    <row r="227" spans="2:2" x14ac:dyDescent="0.2">
      <c r="B227" s="43"/>
    </row>
    <row r="228" spans="2:2" x14ac:dyDescent="0.2">
      <c r="B228" s="43"/>
    </row>
    <row r="229" spans="2:2" x14ac:dyDescent="0.2">
      <c r="B229" s="43"/>
    </row>
    <row r="230" spans="2:2" x14ac:dyDescent="0.2">
      <c r="B230" s="43"/>
    </row>
    <row r="231" spans="2:2" x14ac:dyDescent="0.2">
      <c r="B231" s="43"/>
    </row>
    <row r="232" spans="2:2" x14ac:dyDescent="0.2">
      <c r="B232" s="43"/>
    </row>
    <row r="233" spans="2:2" x14ac:dyDescent="0.2">
      <c r="B233" s="43"/>
    </row>
    <row r="234" spans="2:2" x14ac:dyDescent="0.2">
      <c r="B234" s="43"/>
    </row>
    <row r="235" spans="2:2" x14ac:dyDescent="0.2">
      <c r="B235" s="43"/>
    </row>
    <row r="236" spans="2:2" x14ac:dyDescent="0.2">
      <c r="B236" s="43"/>
    </row>
    <row r="237" spans="2:2" x14ac:dyDescent="0.2">
      <c r="B237" s="43"/>
    </row>
    <row r="238" spans="2:2" x14ac:dyDescent="0.2">
      <c r="B238" s="43"/>
    </row>
    <row r="239" spans="2:2" x14ac:dyDescent="0.2">
      <c r="B239" s="43"/>
    </row>
    <row r="240" spans="2:2" x14ac:dyDescent="0.2">
      <c r="B240" s="43"/>
    </row>
    <row r="241" spans="2:2" x14ac:dyDescent="0.2">
      <c r="B241" s="43"/>
    </row>
    <row r="242" spans="2:2" x14ac:dyDescent="0.2">
      <c r="B242" s="43"/>
    </row>
    <row r="243" spans="2:2" x14ac:dyDescent="0.2">
      <c r="B243" s="43"/>
    </row>
    <row r="244" spans="2:2" x14ac:dyDescent="0.2">
      <c r="B244" s="43"/>
    </row>
    <row r="245" spans="2:2" x14ac:dyDescent="0.2">
      <c r="B245" s="43"/>
    </row>
    <row r="246" spans="2:2" x14ac:dyDescent="0.2">
      <c r="B246" s="43"/>
    </row>
    <row r="247" spans="2:2" x14ac:dyDescent="0.2">
      <c r="B247" s="43"/>
    </row>
    <row r="248" spans="2:2" x14ac:dyDescent="0.2">
      <c r="B248" s="43"/>
    </row>
    <row r="249" spans="2:2" x14ac:dyDescent="0.2">
      <c r="B249" s="43"/>
    </row>
    <row r="250" spans="2:2" x14ac:dyDescent="0.2">
      <c r="B250" s="43"/>
    </row>
    <row r="251" spans="2:2" x14ac:dyDescent="0.2">
      <c r="B251" s="43"/>
    </row>
    <row r="252" spans="2:2" x14ac:dyDescent="0.2">
      <c r="B252" s="43"/>
    </row>
    <row r="253" spans="2:2" x14ac:dyDescent="0.2">
      <c r="B253" s="43"/>
    </row>
    <row r="254" spans="2:2" x14ac:dyDescent="0.2">
      <c r="B254" s="43"/>
    </row>
    <row r="255" spans="2:2" x14ac:dyDescent="0.2">
      <c r="B255" s="43"/>
    </row>
    <row r="256" spans="2:2" x14ac:dyDescent="0.2">
      <c r="B256" s="43"/>
    </row>
    <row r="257" spans="2:2" x14ac:dyDescent="0.2">
      <c r="B257" s="43"/>
    </row>
    <row r="258" spans="2:2" x14ac:dyDescent="0.2">
      <c r="B258" s="43"/>
    </row>
    <row r="259" spans="2:2" x14ac:dyDescent="0.2">
      <c r="B259" s="43"/>
    </row>
    <row r="260" spans="2:2" x14ac:dyDescent="0.2">
      <c r="B260" s="43"/>
    </row>
    <row r="261" spans="2:2" x14ac:dyDescent="0.2">
      <c r="B261" s="43"/>
    </row>
    <row r="262" spans="2:2" x14ac:dyDescent="0.2">
      <c r="B262" s="43"/>
    </row>
    <row r="263" spans="2:2" x14ac:dyDescent="0.2">
      <c r="B263" s="43"/>
    </row>
    <row r="264" spans="2:2" x14ac:dyDescent="0.2">
      <c r="B264" s="43"/>
    </row>
    <row r="265" spans="2:2" x14ac:dyDescent="0.2">
      <c r="B265" s="43"/>
    </row>
    <row r="266" spans="2:2" x14ac:dyDescent="0.2">
      <c r="B266" s="43"/>
    </row>
    <row r="267" spans="2:2" x14ac:dyDescent="0.2">
      <c r="B267" s="43"/>
    </row>
    <row r="268" spans="2:2" x14ac:dyDescent="0.2">
      <c r="B268" s="43"/>
    </row>
    <row r="269" spans="2:2" x14ac:dyDescent="0.2">
      <c r="B269" s="43"/>
    </row>
    <row r="270" spans="2:2" x14ac:dyDescent="0.2">
      <c r="B270" s="43"/>
    </row>
    <row r="271" spans="2:2" x14ac:dyDescent="0.2">
      <c r="B271" s="43"/>
    </row>
    <row r="272" spans="2:2" x14ac:dyDescent="0.2">
      <c r="B272" s="43"/>
    </row>
    <row r="273" spans="2:2" x14ac:dyDescent="0.2">
      <c r="B273" s="43"/>
    </row>
    <row r="274" spans="2:2" x14ac:dyDescent="0.2">
      <c r="B274" s="43"/>
    </row>
    <row r="275" spans="2:2" x14ac:dyDescent="0.2">
      <c r="B275" s="43"/>
    </row>
    <row r="276" spans="2:2" x14ac:dyDescent="0.2">
      <c r="B276" s="43"/>
    </row>
    <row r="277" spans="2:2" x14ac:dyDescent="0.2">
      <c r="B277" s="43"/>
    </row>
    <row r="278" spans="2:2" x14ac:dyDescent="0.2">
      <c r="B278" s="43"/>
    </row>
    <row r="279" spans="2:2" x14ac:dyDescent="0.2">
      <c r="B279" s="43"/>
    </row>
    <row r="280" spans="2:2" x14ac:dyDescent="0.2">
      <c r="B280" s="43"/>
    </row>
    <row r="281" spans="2:2" x14ac:dyDescent="0.2">
      <c r="B281" s="43"/>
    </row>
    <row r="282" spans="2:2" x14ac:dyDescent="0.2">
      <c r="B282" s="43"/>
    </row>
    <row r="283" spans="2:2" x14ac:dyDescent="0.2">
      <c r="B283" s="43"/>
    </row>
    <row r="284" spans="2:2" x14ac:dyDescent="0.2">
      <c r="B284" s="43"/>
    </row>
    <row r="285" spans="2:2" x14ac:dyDescent="0.2">
      <c r="B285" s="43"/>
    </row>
    <row r="286" spans="2:2" x14ac:dyDescent="0.2">
      <c r="B286" s="43"/>
    </row>
    <row r="287" spans="2:2" x14ac:dyDescent="0.2">
      <c r="B287" s="43"/>
    </row>
    <row r="288" spans="2:2" x14ac:dyDescent="0.2">
      <c r="B288" s="43"/>
    </row>
    <row r="289" spans="2:2" x14ac:dyDescent="0.2">
      <c r="B289" s="43"/>
    </row>
    <row r="290" spans="2:2" x14ac:dyDescent="0.2">
      <c r="B290" s="43"/>
    </row>
    <row r="291" spans="2:2" x14ac:dyDescent="0.2">
      <c r="B291" s="43"/>
    </row>
    <row r="292" spans="2:2" x14ac:dyDescent="0.2">
      <c r="B292" s="43"/>
    </row>
    <row r="293" spans="2:2" x14ac:dyDescent="0.2">
      <c r="B293" s="43"/>
    </row>
    <row r="294" spans="2:2" x14ac:dyDescent="0.2">
      <c r="B294" s="43"/>
    </row>
    <row r="295" spans="2:2" x14ac:dyDescent="0.2">
      <c r="B295" s="43"/>
    </row>
    <row r="296" spans="2:2" x14ac:dyDescent="0.2">
      <c r="B296" s="43"/>
    </row>
    <row r="297" spans="2:2" x14ac:dyDescent="0.2">
      <c r="B297" s="43"/>
    </row>
    <row r="298" spans="2:2" x14ac:dyDescent="0.2">
      <c r="B298" s="43"/>
    </row>
    <row r="299" spans="2:2" x14ac:dyDescent="0.2">
      <c r="B299" s="43"/>
    </row>
    <row r="300" spans="2:2" x14ac:dyDescent="0.2">
      <c r="B300" s="43"/>
    </row>
    <row r="301" spans="2:2" x14ac:dyDescent="0.2">
      <c r="B301" s="43"/>
    </row>
    <row r="302" spans="2:2" x14ac:dyDescent="0.2">
      <c r="B302" s="43"/>
    </row>
    <row r="303" spans="2:2" x14ac:dyDescent="0.2">
      <c r="B303" s="43"/>
    </row>
    <row r="304" spans="2:2" x14ac:dyDescent="0.2">
      <c r="B304" s="43"/>
    </row>
    <row r="305" spans="2:2" x14ac:dyDescent="0.2">
      <c r="B305" s="43"/>
    </row>
    <row r="306" spans="2:2" x14ac:dyDescent="0.2">
      <c r="B306" s="43"/>
    </row>
    <row r="307" spans="2:2" x14ac:dyDescent="0.2">
      <c r="B307" s="43"/>
    </row>
    <row r="308" spans="2:2" x14ac:dyDescent="0.2">
      <c r="B308" s="43"/>
    </row>
    <row r="309" spans="2:2" x14ac:dyDescent="0.2">
      <c r="B309" s="43"/>
    </row>
    <row r="310" spans="2:2" x14ac:dyDescent="0.2">
      <c r="B310" s="43"/>
    </row>
    <row r="311" spans="2:2" x14ac:dyDescent="0.2">
      <c r="B311" s="43"/>
    </row>
    <row r="312" spans="2:2" x14ac:dyDescent="0.2">
      <c r="B312" s="43"/>
    </row>
    <row r="313" spans="2:2" x14ac:dyDescent="0.2">
      <c r="B313" s="43"/>
    </row>
    <row r="314" spans="2:2" x14ac:dyDescent="0.2">
      <c r="B314" s="43"/>
    </row>
    <row r="315" spans="2:2" x14ac:dyDescent="0.2">
      <c r="B315" s="43"/>
    </row>
    <row r="316" spans="2:2" x14ac:dyDescent="0.2">
      <c r="B316" s="43"/>
    </row>
    <row r="317" spans="2:2" x14ac:dyDescent="0.2">
      <c r="B317" s="43"/>
    </row>
    <row r="318" spans="2:2" x14ac:dyDescent="0.2">
      <c r="B318" s="43"/>
    </row>
    <row r="319" spans="2:2" x14ac:dyDescent="0.2">
      <c r="B319" s="43"/>
    </row>
    <row r="320" spans="2:2" x14ac:dyDescent="0.2">
      <c r="B320" s="43"/>
    </row>
    <row r="321" spans="2:2" x14ac:dyDescent="0.2">
      <c r="B321" s="43"/>
    </row>
    <row r="322" spans="2:2" x14ac:dyDescent="0.2">
      <c r="B322" s="43"/>
    </row>
    <row r="323" spans="2:2" x14ac:dyDescent="0.2">
      <c r="B323" s="43"/>
    </row>
    <row r="324" spans="2:2" x14ac:dyDescent="0.2">
      <c r="B324" s="43"/>
    </row>
    <row r="325" spans="2:2" x14ac:dyDescent="0.2">
      <c r="B325" s="43"/>
    </row>
    <row r="326" spans="2:2" x14ac:dyDescent="0.2">
      <c r="B326" s="43"/>
    </row>
    <row r="327" spans="2:2" x14ac:dyDescent="0.2">
      <c r="B327" s="43"/>
    </row>
    <row r="328" spans="2:2" x14ac:dyDescent="0.2">
      <c r="B328" s="43"/>
    </row>
    <row r="329" spans="2:2" x14ac:dyDescent="0.2">
      <c r="B329" s="43"/>
    </row>
    <row r="330" spans="2:2" x14ac:dyDescent="0.2">
      <c r="B330" s="43"/>
    </row>
    <row r="331" spans="2:2" x14ac:dyDescent="0.2">
      <c r="B331" s="43"/>
    </row>
    <row r="332" spans="2:2" x14ac:dyDescent="0.2">
      <c r="B332" s="43"/>
    </row>
    <row r="333" spans="2:2" x14ac:dyDescent="0.2">
      <c r="B333" s="43"/>
    </row>
    <row r="334" spans="2:2" x14ac:dyDescent="0.2">
      <c r="B334" s="43"/>
    </row>
    <row r="335" spans="2:2" x14ac:dyDescent="0.2">
      <c r="B335" s="43"/>
    </row>
    <row r="336" spans="2:2" x14ac:dyDescent="0.2">
      <c r="B336" s="43"/>
    </row>
    <row r="337" spans="2:2" x14ac:dyDescent="0.2">
      <c r="B337" s="43"/>
    </row>
    <row r="338" spans="2:2" x14ac:dyDescent="0.2">
      <c r="B338" s="43"/>
    </row>
    <row r="339" spans="2:2" x14ac:dyDescent="0.2">
      <c r="B339" s="43"/>
    </row>
    <row r="340" spans="2:2" x14ac:dyDescent="0.2">
      <c r="B340" s="43"/>
    </row>
    <row r="341" spans="2:2" x14ac:dyDescent="0.2">
      <c r="B341" s="43"/>
    </row>
    <row r="342" spans="2:2" x14ac:dyDescent="0.2">
      <c r="B342" s="43"/>
    </row>
    <row r="343" spans="2:2" x14ac:dyDescent="0.2">
      <c r="B343" s="43"/>
    </row>
    <row r="344" spans="2:2" x14ac:dyDescent="0.2">
      <c r="B344" s="43"/>
    </row>
    <row r="345" spans="2:2" x14ac:dyDescent="0.2">
      <c r="B345" s="43"/>
    </row>
    <row r="346" spans="2:2" x14ac:dyDescent="0.2">
      <c r="B346" s="43"/>
    </row>
    <row r="347" spans="2:2" x14ac:dyDescent="0.2">
      <c r="B347" s="43"/>
    </row>
    <row r="348" spans="2:2" x14ac:dyDescent="0.2">
      <c r="B348" s="43"/>
    </row>
    <row r="349" spans="2:2" x14ac:dyDescent="0.2">
      <c r="B349" s="43"/>
    </row>
    <row r="350" spans="2:2" x14ac:dyDescent="0.2">
      <c r="B350" s="43"/>
    </row>
    <row r="351" spans="2:2" x14ac:dyDescent="0.2">
      <c r="B351" s="43"/>
    </row>
    <row r="352" spans="2:2" x14ac:dyDescent="0.2">
      <c r="B352" s="43"/>
    </row>
    <row r="353" spans="2:2" x14ac:dyDescent="0.2">
      <c r="B353" s="43"/>
    </row>
    <row r="354" spans="2:2" x14ac:dyDescent="0.2">
      <c r="B354" s="43"/>
    </row>
    <row r="355" spans="2:2" x14ac:dyDescent="0.2">
      <c r="B355" s="43"/>
    </row>
    <row r="356" spans="2:2" x14ac:dyDescent="0.2">
      <c r="B356" s="43"/>
    </row>
    <row r="357" spans="2:2" x14ac:dyDescent="0.2">
      <c r="B357" s="43"/>
    </row>
    <row r="358" spans="2:2" x14ac:dyDescent="0.2">
      <c r="B358" s="43"/>
    </row>
    <row r="359" spans="2:2" x14ac:dyDescent="0.2">
      <c r="B359" s="43"/>
    </row>
    <row r="360" spans="2:2" x14ac:dyDescent="0.2">
      <c r="B360" s="43"/>
    </row>
    <row r="361" spans="2:2" x14ac:dyDescent="0.2">
      <c r="B361" s="43"/>
    </row>
    <row r="362" spans="2:2" x14ac:dyDescent="0.2">
      <c r="B362" s="43"/>
    </row>
    <row r="363" spans="2:2" x14ac:dyDescent="0.2">
      <c r="B363" s="43"/>
    </row>
    <row r="364" spans="2:2" x14ac:dyDescent="0.2">
      <c r="B364" s="43"/>
    </row>
    <row r="365" spans="2:2" x14ac:dyDescent="0.2">
      <c r="B365" s="43"/>
    </row>
    <row r="366" spans="2:2" x14ac:dyDescent="0.2">
      <c r="B366" s="43"/>
    </row>
    <row r="367" spans="2:2" x14ac:dyDescent="0.2">
      <c r="B367" s="43"/>
    </row>
    <row r="368" spans="2:2" x14ac:dyDescent="0.2">
      <c r="B368" s="43"/>
    </row>
    <row r="369" spans="2:2" x14ac:dyDescent="0.2">
      <c r="B369" s="43"/>
    </row>
    <row r="370" spans="2:2" x14ac:dyDescent="0.2">
      <c r="B370" s="43"/>
    </row>
    <row r="371" spans="2:2" x14ac:dyDescent="0.2">
      <c r="B371" s="43"/>
    </row>
    <row r="372" spans="2:2" x14ac:dyDescent="0.2">
      <c r="B372" s="43"/>
    </row>
    <row r="373" spans="2:2" x14ac:dyDescent="0.2">
      <c r="B373" s="43"/>
    </row>
    <row r="374" spans="2:2" x14ac:dyDescent="0.2">
      <c r="B374" s="43"/>
    </row>
    <row r="375" spans="2:2" x14ac:dyDescent="0.2">
      <c r="B375" s="43"/>
    </row>
    <row r="376" spans="2:2" x14ac:dyDescent="0.2">
      <c r="B376" s="43"/>
    </row>
    <row r="377" spans="2:2" x14ac:dyDescent="0.2">
      <c r="B377" s="43"/>
    </row>
    <row r="378" spans="2:2" x14ac:dyDescent="0.2">
      <c r="B378" s="43"/>
    </row>
    <row r="379" spans="2:2" x14ac:dyDescent="0.2">
      <c r="B379" s="43"/>
    </row>
    <row r="380" spans="2:2" x14ac:dyDescent="0.2">
      <c r="B380" s="43"/>
    </row>
    <row r="381" spans="2:2" x14ac:dyDescent="0.2">
      <c r="B381" s="43"/>
    </row>
    <row r="382" spans="2:2" x14ac:dyDescent="0.2">
      <c r="B382" s="43"/>
    </row>
    <row r="383" spans="2:2" x14ac:dyDescent="0.2">
      <c r="B383" s="43"/>
    </row>
    <row r="384" spans="2:2" x14ac:dyDescent="0.2">
      <c r="B384" s="43"/>
    </row>
    <row r="385" spans="2:2" x14ac:dyDescent="0.2">
      <c r="B385" s="43"/>
    </row>
    <row r="386" spans="2:2" x14ac:dyDescent="0.2">
      <c r="B386" s="43"/>
    </row>
    <row r="387" spans="2:2" x14ac:dyDescent="0.2">
      <c r="B387" s="43"/>
    </row>
    <row r="388" spans="2:2" x14ac:dyDescent="0.2">
      <c r="B388" s="43"/>
    </row>
    <row r="389" spans="2:2" x14ac:dyDescent="0.2">
      <c r="B389" s="43"/>
    </row>
    <row r="390" spans="2:2" x14ac:dyDescent="0.2">
      <c r="B390" s="43"/>
    </row>
    <row r="391" spans="2:2" x14ac:dyDescent="0.2">
      <c r="B391" s="43"/>
    </row>
    <row r="392" spans="2:2" x14ac:dyDescent="0.2">
      <c r="B392" s="43"/>
    </row>
    <row r="393" spans="2:2" x14ac:dyDescent="0.2">
      <c r="B393" s="43"/>
    </row>
    <row r="394" spans="2:2" x14ac:dyDescent="0.2">
      <c r="B394" s="43"/>
    </row>
    <row r="395" spans="2:2" x14ac:dyDescent="0.2">
      <c r="B395" s="43"/>
    </row>
    <row r="396" spans="2:2" x14ac:dyDescent="0.2">
      <c r="B396" s="43"/>
    </row>
    <row r="397" spans="2:2" x14ac:dyDescent="0.2">
      <c r="B397" s="43"/>
    </row>
    <row r="398" spans="2:2" x14ac:dyDescent="0.2">
      <c r="B398" s="43"/>
    </row>
    <row r="399" spans="2:2" x14ac:dyDescent="0.2">
      <c r="B399" s="43"/>
    </row>
    <row r="400" spans="2:2" x14ac:dyDescent="0.2">
      <c r="B400" s="43"/>
    </row>
    <row r="401" spans="2:2" x14ac:dyDescent="0.2">
      <c r="B401" s="43"/>
    </row>
    <row r="402" spans="2:2" x14ac:dyDescent="0.2">
      <c r="B402" s="43"/>
    </row>
    <row r="403" spans="2:2" x14ac:dyDescent="0.2">
      <c r="B403" s="43"/>
    </row>
    <row r="404" spans="2:2" x14ac:dyDescent="0.2">
      <c r="B404" s="43"/>
    </row>
    <row r="405" spans="2:2" x14ac:dyDescent="0.2">
      <c r="B405" s="43"/>
    </row>
    <row r="406" spans="2:2" x14ac:dyDescent="0.2">
      <c r="B406" s="43"/>
    </row>
    <row r="407" spans="2:2" x14ac:dyDescent="0.2">
      <c r="B407" s="43"/>
    </row>
    <row r="408" spans="2:2" x14ac:dyDescent="0.2">
      <c r="B408" s="43"/>
    </row>
    <row r="409" spans="2:2" x14ac:dyDescent="0.2">
      <c r="B409" s="43"/>
    </row>
    <row r="410" spans="2:2" x14ac:dyDescent="0.2">
      <c r="B410" s="43"/>
    </row>
    <row r="411" spans="2:2" x14ac:dyDescent="0.2">
      <c r="B411" s="43"/>
    </row>
    <row r="412" spans="2:2" x14ac:dyDescent="0.2">
      <c r="B412" s="43"/>
    </row>
    <row r="413" spans="2:2" x14ac:dyDescent="0.2">
      <c r="B413" s="43"/>
    </row>
    <row r="414" spans="2:2" x14ac:dyDescent="0.2">
      <c r="B414" s="43"/>
    </row>
    <row r="415" spans="2:2" x14ac:dyDescent="0.2">
      <c r="B415" s="43"/>
    </row>
    <row r="416" spans="2:2" x14ac:dyDescent="0.2">
      <c r="B416" s="43"/>
    </row>
    <row r="417" spans="2:2" x14ac:dyDescent="0.2">
      <c r="B417" s="43"/>
    </row>
    <row r="418" spans="2:2" x14ac:dyDescent="0.2">
      <c r="B418" s="43"/>
    </row>
    <row r="419" spans="2:2" x14ac:dyDescent="0.2">
      <c r="B419" s="43"/>
    </row>
    <row r="420" spans="2:2" x14ac:dyDescent="0.2">
      <c r="B420" s="43"/>
    </row>
    <row r="421" spans="2:2" x14ac:dyDescent="0.2">
      <c r="B421" s="43"/>
    </row>
    <row r="422" spans="2:2" x14ac:dyDescent="0.2">
      <c r="B422" s="43"/>
    </row>
    <row r="423" spans="2:2" x14ac:dyDescent="0.2">
      <c r="B423" s="43"/>
    </row>
    <row r="424" spans="2:2" x14ac:dyDescent="0.2">
      <c r="B424" s="43"/>
    </row>
    <row r="425" spans="2:2" x14ac:dyDescent="0.2">
      <c r="B425" s="43"/>
    </row>
    <row r="426" spans="2:2" x14ac:dyDescent="0.2">
      <c r="B426" s="43"/>
    </row>
    <row r="427" spans="2:2" x14ac:dyDescent="0.2">
      <c r="B427" s="43"/>
    </row>
    <row r="428" spans="2:2" x14ac:dyDescent="0.2">
      <c r="B428" s="43"/>
    </row>
    <row r="429" spans="2:2" x14ac:dyDescent="0.2">
      <c r="B429" s="43"/>
    </row>
    <row r="430" spans="2:2" x14ac:dyDescent="0.2">
      <c r="B430" s="43"/>
    </row>
    <row r="431" spans="2:2" x14ac:dyDescent="0.2">
      <c r="B431" s="43"/>
    </row>
    <row r="432" spans="2:2" x14ac:dyDescent="0.2">
      <c r="B432" s="43"/>
    </row>
    <row r="433" spans="2:2" x14ac:dyDescent="0.2">
      <c r="B433" s="43"/>
    </row>
    <row r="434" spans="2:2" x14ac:dyDescent="0.2">
      <c r="B434" s="43"/>
    </row>
    <row r="435" spans="2:2" x14ac:dyDescent="0.2">
      <c r="B435" s="43"/>
    </row>
    <row r="436" spans="2:2" x14ac:dyDescent="0.2">
      <c r="B436" s="43"/>
    </row>
    <row r="437" spans="2:2" x14ac:dyDescent="0.2">
      <c r="B437" s="43"/>
    </row>
    <row r="438" spans="2:2" x14ac:dyDescent="0.2">
      <c r="B438" s="43"/>
    </row>
    <row r="439" spans="2:2" x14ac:dyDescent="0.2">
      <c r="B439" s="43"/>
    </row>
    <row r="440" spans="2:2" x14ac:dyDescent="0.2">
      <c r="B440" s="43"/>
    </row>
    <row r="441" spans="2:2" x14ac:dyDescent="0.2">
      <c r="B441" s="43"/>
    </row>
    <row r="442" spans="2:2" x14ac:dyDescent="0.2">
      <c r="B442" s="43"/>
    </row>
    <row r="443" spans="2:2" x14ac:dyDescent="0.2">
      <c r="B443" s="43"/>
    </row>
    <row r="444" spans="2:2" x14ac:dyDescent="0.2">
      <c r="B444" s="43"/>
    </row>
    <row r="445" spans="2:2" x14ac:dyDescent="0.2">
      <c r="B445" s="43"/>
    </row>
    <row r="446" spans="2:2" x14ac:dyDescent="0.2">
      <c r="B446" s="43"/>
    </row>
    <row r="447" spans="2:2" x14ac:dyDescent="0.2">
      <c r="B447" s="43"/>
    </row>
    <row r="448" spans="2:2" x14ac:dyDescent="0.2">
      <c r="B448" s="43"/>
    </row>
    <row r="449" spans="2:2" x14ac:dyDescent="0.2">
      <c r="B449" s="43"/>
    </row>
    <row r="450" spans="2:2" x14ac:dyDescent="0.2">
      <c r="B450" s="43"/>
    </row>
    <row r="451" spans="2:2" x14ac:dyDescent="0.2">
      <c r="B451" s="43"/>
    </row>
    <row r="452" spans="2:2" x14ac:dyDescent="0.2">
      <c r="B452" s="43"/>
    </row>
    <row r="453" spans="2:2" x14ac:dyDescent="0.2">
      <c r="B453" s="43"/>
    </row>
    <row r="454" spans="2:2" x14ac:dyDescent="0.2">
      <c r="B454" s="43"/>
    </row>
    <row r="455" spans="2:2" x14ac:dyDescent="0.2">
      <c r="B455" s="43"/>
    </row>
    <row r="456" spans="2:2" x14ac:dyDescent="0.2">
      <c r="B456" s="43"/>
    </row>
    <row r="457" spans="2:2" x14ac:dyDescent="0.2">
      <c r="B457" s="43"/>
    </row>
    <row r="458" spans="2:2" x14ac:dyDescent="0.2">
      <c r="B458" s="43"/>
    </row>
    <row r="459" spans="2:2" x14ac:dyDescent="0.2">
      <c r="B459" s="43"/>
    </row>
    <row r="460" spans="2:2" x14ac:dyDescent="0.2">
      <c r="B460" s="43"/>
    </row>
    <row r="461" spans="2:2" x14ac:dyDescent="0.2">
      <c r="B461" s="43"/>
    </row>
    <row r="462" spans="2:2" x14ac:dyDescent="0.2">
      <c r="B462" s="43"/>
    </row>
    <row r="463" spans="2:2" x14ac:dyDescent="0.2">
      <c r="B463" s="43"/>
    </row>
    <row r="464" spans="2:2" x14ac:dyDescent="0.2">
      <c r="B464" s="43"/>
    </row>
    <row r="465" spans="2:2" x14ac:dyDescent="0.2">
      <c r="B465" s="43"/>
    </row>
    <row r="466" spans="2:2" x14ac:dyDescent="0.2">
      <c r="B466" s="43"/>
    </row>
    <row r="467" spans="2:2" x14ac:dyDescent="0.2">
      <c r="B467" s="43"/>
    </row>
    <row r="468" spans="2:2" x14ac:dyDescent="0.2">
      <c r="B468" s="43"/>
    </row>
    <row r="469" spans="2:2" x14ac:dyDescent="0.2">
      <c r="B469" s="43"/>
    </row>
    <row r="470" spans="2:2" x14ac:dyDescent="0.2">
      <c r="B470" s="43"/>
    </row>
    <row r="471" spans="2:2" x14ac:dyDescent="0.2">
      <c r="B471" s="43"/>
    </row>
    <row r="472" spans="2:2" x14ac:dyDescent="0.2">
      <c r="B472" s="43"/>
    </row>
    <row r="473" spans="2:2" x14ac:dyDescent="0.2">
      <c r="B473" s="43"/>
    </row>
    <row r="474" spans="2:2" x14ac:dyDescent="0.2">
      <c r="B474" s="43"/>
    </row>
    <row r="475" spans="2:2" x14ac:dyDescent="0.2">
      <c r="B475" s="43"/>
    </row>
    <row r="476" spans="2:2" x14ac:dyDescent="0.2">
      <c r="B476" s="43"/>
    </row>
    <row r="477" spans="2:2" x14ac:dyDescent="0.2">
      <c r="B477" s="43"/>
    </row>
    <row r="478" spans="2:2" x14ac:dyDescent="0.2">
      <c r="B478" s="43"/>
    </row>
    <row r="479" spans="2:2" x14ac:dyDescent="0.2">
      <c r="B479" s="43"/>
    </row>
    <row r="480" spans="2:2" x14ac:dyDescent="0.2">
      <c r="B480" s="43"/>
    </row>
    <row r="481" spans="2:2" x14ac:dyDescent="0.2">
      <c r="B481" s="43"/>
    </row>
    <row r="482" spans="2:2" x14ac:dyDescent="0.2">
      <c r="B482" s="43"/>
    </row>
    <row r="483" spans="2:2" x14ac:dyDescent="0.2">
      <c r="B483" s="43"/>
    </row>
    <row r="484" spans="2:2" x14ac:dyDescent="0.2">
      <c r="B484" s="43"/>
    </row>
    <row r="485" spans="2:2" x14ac:dyDescent="0.2">
      <c r="B485" s="43"/>
    </row>
    <row r="486" spans="2:2" x14ac:dyDescent="0.2">
      <c r="B486" s="43"/>
    </row>
    <row r="487" spans="2:2" x14ac:dyDescent="0.2">
      <c r="B487" s="43"/>
    </row>
    <row r="488" spans="2:2" x14ac:dyDescent="0.2">
      <c r="B488" s="43"/>
    </row>
    <row r="489" spans="2:2" x14ac:dyDescent="0.2">
      <c r="B489" s="43"/>
    </row>
    <row r="490" spans="2:2" x14ac:dyDescent="0.2">
      <c r="B490" s="43"/>
    </row>
    <row r="491" spans="2:2" x14ac:dyDescent="0.2">
      <c r="B491" s="43"/>
    </row>
    <row r="492" spans="2:2" x14ac:dyDescent="0.2">
      <c r="B492" s="43"/>
    </row>
    <row r="493" spans="2:2" x14ac:dyDescent="0.2">
      <c r="B493" s="43"/>
    </row>
    <row r="494" spans="2:2" x14ac:dyDescent="0.2">
      <c r="B494" s="43"/>
    </row>
    <row r="495" spans="2:2" x14ac:dyDescent="0.2">
      <c r="B495" s="43"/>
    </row>
    <row r="496" spans="2:2" x14ac:dyDescent="0.2">
      <c r="B496" s="43"/>
    </row>
    <row r="497" spans="2:2" x14ac:dyDescent="0.2">
      <c r="B497" s="43"/>
    </row>
    <row r="498" spans="2:2" x14ac:dyDescent="0.2">
      <c r="B498" s="43"/>
    </row>
    <row r="499" spans="2:2" x14ac:dyDescent="0.2">
      <c r="B499" s="43"/>
    </row>
    <row r="500" spans="2:2" x14ac:dyDescent="0.2">
      <c r="B500" s="43"/>
    </row>
    <row r="501" spans="2:2" x14ac:dyDescent="0.2">
      <c r="B501" s="43"/>
    </row>
    <row r="502" spans="2:2" x14ac:dyDescent="0.2">
      <c r="B502" s="43"/>
    </row>
    <row r="503" spans="2:2" x14ac:dyDescent="0.2">
      <c r="B503" s="43"/>
    </row>
    <row r="504" spans="2:2" x14ac:dyDescent="0.2">
      <c r="B504" s="43"/>
    </row>
    <row r="505" spans="2:2" x14ac:dyDescent="0.2">
      <c r="B505" s="43"/>
    </row>
    <row r="506" spans="2:2" x14ac:dyDescent="0.2">
      <c r="B506" s="43"/>
    </row>
    <row r="507" spans="2:2" x14ac:dyDescent="0.2">
      <c r="B507" s="43"/>
    </row>
    <row r="508" spans="2:2" x14ac:dyDescent="0.2">
      <c r="B508" s="43"/>
    </row>
    <row r="509" spans="2:2" x14ac:dyDescent="0.2">
      <c r="B509" s="43"/>
    </row>
    <row r="510" spans="2:2" x14ac:dyDescent="0.2">
      <c r="B510" s="43"/>
    </row>
    <row r="511" spans="2:2" x14ac:dyDescent="0.2">
      <c r="B511" s="43"/>
    </row>
    <row r="512" spans="2:2" x14ac:dyDescent="0.2">
      <c r="B512" s="43"/>
    </row>
    <row r="513" spans="2:2" x14ac:dyDescent="0.2">
      <c r="B513" s="43"/>
    </row>
    <row r="514" spans="2:2" x14ac:dyDescent="0.2">
      <c r="B514" s="43"/>
    </row>
    <row r="515" spans="2:2" x14ac:dyDescent="0.2">
      <c r="B515" s="43"/>
    </row>
    <row r="516" spans="2:2" x14ac:dyDescent="0.2">
      <c r="B516" s="43"/>
    </row>
    <row r="517" spans="2:2" x14ac:dyDescent="0.2">
      <c r="B517" s="43"/>
    </row>
    <row r="518" spans="2:2" x14ac:dyDescent="0.2">
      <c r="B518" s="43"/>
    </row>
    <row r="519" spans="2:2" x14ac:dyDescent="0.2">
      <c r="B519" s="43"/>
    </row>
    <row r="520" spans="2:2" x14ac:dyDescent="0.2">
      <c r="B520" s="43"/>
    </row>
    <row r="521" spans="2:2" x14ac:dyDescent="0.2">
      <c r="B521" s="43"/>
    </row>
    <row r="522" spans="2:2" x14ac:dyDescent="0.2">
      <c r="B522" s="43"/>
    </row>
    <row r="523" spans="2:2" x14ac:dyDescent="0.2">
      <c r="B523" s="43"/>
    </row>
    <row r="524" spans="2:2" x14ac:dyDescent="0.2">
      <c r="B524" s="43"/>
    </row>
    <row r="525" spans="2:2" x14ac:dyDescent="0.2">
      <c r="B525" s="43"/>
    </row>
    <row r="526" spans="2:2" x14ac:dyDescent="0.2">
      <c r="B526" s="43"/>
    </row>
    <row r="527" spans="2:2" x14ac:dyDescent="0.2">
      <c r="B527" s="43"/>
    </row>
    <row r="528" spans="2:2" x14ac:dyDescent="0.2">
      <c r="B528" s="43"/>
    </row>
    <row r="529" spans="2:2" x14ac:dyDescent="0.2">
      <c r="B529" s="43"/>
    </row>
    <row r="530" spans="2:2" x14ac:dyDescent="0.2">
      <c r="B530" s="43"/>
    </row>
    <row r="531" spans="2:2" x14ac:dyDescent="0.2">
      <c r="B531" s="43"/>
    </row>
    <row r="532" spans="2:2" x14ac:dyDescent="0.2">
      <c r="B532" s="43"/>
    </row>
    <row r="533" spans="2:2" x14ac:dyDescent="0.2">
      <c r="B533" s="43"/>
    </row>
    <row r="534" spans="2:2" x14ac:dyDescent="0.2">
      <c r="B534" s="43"/>
    </row>
    <row r="535" spans="2:2" x14ac:dyDescent="0.2">
      <c r="B535" s="43"/>
    </row>
    <row r="536" spans="2:2" x14ac:dyDescent="0.2">
      <c r="B536" s="43"/>
    </row>
    <row r="537" spans="2:2" x14ac:dyDescent="0.2">
      <c r="B537" s="43"/>
    </row>
    <row r="538" spans="2:2" x14ac:dyDescent="0.2">
      <c r="B538" s="43"/>
    </row>
    <row r="539" spans="2:2" x14ac:dyDescent="0.2">
      <c r="B539" s="43"/>
    </row>
    <row r="540" spans="2:2" x14ac:dyDescent="0.2">
      <c r="B540" s="43"/>
    </row>
    <row r="541" spans="2:2" x14ac:dyDescent="0.2">
      <c r="B541" s="43"/>
    </row>
    <row r="542" spans="2:2" x14ac:dyDescent="0.2">
      <c r="B542" s="43"/>
    </row>
    <row r="543" spans="2:2" x14ac:dyDescent="0.2">
      <c r="B543" s="43"/>
    </row>
    <row r="544" spans="2:2" x14ac:dyDescent="0.2">
      <c r="B544" s="43"/>
    </row>
    <row r="545" spans="2:2" x14ac:dyDescent="0.2">
      <c r="B545" s="43"/>
    </row>
    <row r="546" spans="2:2" x14ac:dyDescent="0.2">
      <c r="B546" s="43"/>
    </row>
    <row r="547" spans="2:2" x14ac:dyDescent="0.2">
      <c r="B547" s="43"/>
    </row>
    <row r="548" spans="2:2" x14ac:dyDescent="0.2">
      <c r="B548" s="43"/>
    </row>
    <row r="549" spans="2:2" x14ac:dyDescent="0.2">
      <c r="B549" s="43"/>
    </row>
    <row r="550" spans="2:2" x14ac:dyDescent="0.2">
      <c r="B550" s="43"/>
    </row>
    <row r="551" spans="2:2" x14ac:dyDescent="0.2">
      <c r="B551" s="43"/>
    </row>
    <row r="552" spans="2:2" x14ac:dyDescent="0.2">
      <c r="B552" s="43"/>
    </row>
    <row r="553" spans="2:2" x14ac:dyDescent="0.2">
      <c r="B553" s="43"/>
    </row>
    <row r="554" spans="2:2" x14ac:dyDescent="0.2">
      <c r="B554" s="43"/>
    </row>
    <row r="555" spans="2:2" x14ac:dyDescent="0.2">
      <c r="B555" s="43"/>
    </row>
    <row r="556" spans="2:2" x14ac:dyDescent="0.2">
      <c r="B556" s="43"/>
    </row>
    <row r="557" spans="2:2" x14ac:dyDescent="0.2">
      <c r="B557" s="43"/>
    </row>
    <row r="558" spans="2:2" x14ac:dyDescent="0.2">
      <c r="B558" s="43"/>
    </row>
    <row r="559" spans="2:2" x14ac:dyDescent="0.2">
      <c r="B559" s="43"/>
    </row>
    <row r="560" spans="2:2" x14ac:dyDescent="0.2">
      <c r="B560" s="43"/>
    </row>
    <row r="561" spans="2:2" x14ac:dyDescent="0.2">
      <c r="B561" s="43"/>
    </row>
    <row r="562" spans="2:2" x14ac:dyDescent="0.2">
      <c r="B562" s="43"/>
    </row>
    <row r="563" spans="2:2" x14ac:dyDescent="0.2">
      <c r="B563" s="43"/>
    </row>
    <row r="564" spans="2:2" x14ac:dyDescent="0.2">
      <c r="B564" s="43"/>
    </row>
    <row r="565" spans="2:2" x14ac:dyDescent="0.2">
      <c r="B565" s="43"/>
    </row>
    <row r="566" spans="2:2" x14ac:dyDescent="0.2">
      <c r="B566" s="43"/>
    </row>
    <row r="567" spans="2:2" x14ac:dyDescent="0.2">
      <c r="B567" s="43"/>
    </row>
    <row r="568" spans="2:2" x14ac:dyDescent="0.2">
      <c r="B568" s="43"/>
    </row>
    <row r="569" spans="2:2" x14ac:dyDescent="0.2">
      <c r="B569" s="43"/>
    </row>
    <row r="570" spans="2:2" x14ac:dyDescent="0.2">
      <c r="B570" s="43"/>
    </row>
    <row r="571" spans="2:2" x14ac:dyDescent="0.2">
      <c r="B571" s="43"/>
    </row>
    <row r="572" spans="2:2" x14ac:dyDescent="0.2">
      <c r="B572" s="43"/>
    </row>
    <row r="573" spans="2:2" x14ac:dyDescent="0.2">
      <c r="B573" s="43"/>
    </row>
    <row r="574" spans="2:2" x14ac:dyDescent="0.2">
      <c r="B574" s="43"/>
    </row>
    <row r="575" spans="2:2" x14ac:dyDescent="0.2">
      <c r="B575" s="43"/>
    </row>
    <row r="576" spans="2:2" x14ac:dyDescent="0.2">
      <c r="B576" s="43"/>
    </row>
    <row r="577" spans="2:2" x14ac:dyDescent="0.2">
      <c r="B577" s="43"/>
    </row>
    <row r="578" spans="2:2" x14ac:dyDescent="0.2">
      <c r="B578" s="43"/>
    </row>
    <row r="579" spans="2:2" x14ac:dyDescent="0.2">
      <c r="B579" s="43"/>
    </row>
    <row r="580" spans="2:2" x14ac:dyDescent="0.2">
      <c r="B580" s="43"/>
    </row>
    <row r="581" spans="2:2" x14ac:dyDescent="0.2">
      <c r="B581" s="43"/>
    </row>
    <row r="582" spans="2:2" x14ac:dyDescent="0.2">
      <c r="B582" s="43"/>
    </row>
    <row r="583" spans="2:2" x14ac:dyDescent="0.2">
      <c r="B583" s="43"/>
    </row>
    <row r="584" spans="2:2" x14ac:dyDescent="0.2">
      <c r="B584" s="43"/>
    </row>
    <row r="585" spans="2:2" x14ac:dyDescent="0.2">
      <c r="B585" s="43"/>
    </row>
    <row r="586" spans="2:2" x14ac:dyDescent="0.2">
      <c r="B586" s="43"/>
    </row>
    <row r="587" spans="2:2" x14ac:dyDescent="0.2">
      <c r="B587" s="43"/>
    </row>
    <row r="588" spans="2:2" x14ac:dyDescent="0.2">
      <c r="B588" s="43"/>
    </row>
    <row r="589" spans="2:2" x14ac:dyDescent="0.2">
      <c r="B589" s="43"/>
    </row>
    <row r="590" spans="2:2" x14ac:dyDescent="0.2">
      <c r="B590" s="43"/>
    </row>
    <row r="591" spans="2:2" x14ac:dyDescent="0.2">
      <c r="B591" s="43"/>
    </row>
    <row r="592" spans="2:2" x14ac:dyDescent="0.2">
      <c r="B592" s="43"/>
    </row>
    <row r="593" spans="2:2" x14ac:dyDescent="0.2">
      <c r="B593" s="43"/>
    </row>
    <row r="594" spans="2:2" x14ac:dyDescent="0.2">
      <c r="B594" s="43"/>
    </row>
    <row r="595" spans="2:2" x14ac:dyDescent="0.2">
      <c r="B595" s="43"/>
    </row>
    <row r="596" spans="2:2" x14ac:dyDescent="0.2">
      <c r="B596" s="43"/>
    </row>
    <row r="597" spans="2:2" x14ac:dyDescent="0.2">
      <c r="B597" s="43"/>
    </row>
    <row r="598" spans="2:2" x14ac:dyDescent="0.2">
      <c r="B598" s="43"/>
    </row>
    <row r="599" spans="2:2" x14ac:dyDescent="0.2">
      <c r="B599" s="43"/>
    </row>
    <row r="600" spans="2:2" x14ac:dyDescent="0.2">
      <c r="B600" s="43"/>
    </row>
    <row r="601" spans="2:2" x14ac:dyDescent="0.2">
      <c r="B601" s="43"/>
    </row>
    <row r="602" spans="2:2" x14ac:dyDescent="0.2">
      <c r="B602" s="43"/>
    </row>
    <row r="603" spans="2:2" x14ac:dyDescent="0.2">
      <c r="B603" s="43"/>
    </row>
    <row r="604" spans="2:2" x14ac:dyDescent="0.2">
      <c r="B604" s="43"/>
    </row>
    <row r="605" spans="2:2" x14ac:dyDescent="0.2">
      <c r="B605" s="43"/>
    </row>
    <row r="606" spans="2:2" x14ac:dyDescent="0.2">
      <c r="B606" s="43"/>
    </row>
    <row r="607" spans="2:2" x14ac:dyDescent="0.2">
      <c r="B607" s="43"/>
    </row>
    <row r="608" spans="2:2" x14ac:dyDescent="0.2">
      <c r="B608" s="43"/>
    </row>
    <row r="609" spans="2:2" x14ac:dyDescent="0.2">
      <c r="B609" s="43"/>
    </row>
    <row r="610" spans="2:2" x14ac:dyDescent="0.2">
      <c r="B610" s="43"/>
    </row>
    <row r="611" spans="2:2" x14ac:dyDescent="0.2">
      <c r="B611" s="43"/>
    </row>
    <row r="612" spans="2:2" x14ac:dyDescent="0.2">
      <c r="B612" s="43"/>
    </row>
    <row r="613" spans="2:2" x14ac:dyDescent="0.2">
      <c r="B613" s="43"/>
    </row>
    <row r="614" spans="2:2" x14ac:dyDescent="0.2">
      <c r="B614" s="43"/>
    </row>
    <row r="615" spans="2:2" x14ac:dyDescent="0.2">
      <c r="B615" s="43"/>
    </row>
    <row r="616" spans="2:2" x14ac:dyDescent="0.2">
      <c r="B616" s="43"/>
    </row>
    <row r="617" spans="2:2" x14ac:dyDescent="0.2">
      <c r="B617" s="43"/>
    </row>
    <row r="618" spans="2:2" x14ac:dyDescent="0.2">
      <c r="B618" s="43"/>
    </row>
    <row r="619" spans="2:2" x14ac:dyDescent="0.2">
      <c r="B619" s="43"/>
    </row>
    <row r="620" spans="2:2" x14ac:dyDescent="0.2">
      <c r="B620" s="43"/>
    </row>
    <row r="621" spans="2:2" x14ac:dyDescent="0.2">
      <c r="B621" s="43"/>
    </row>
    <row r="622" spans="2:2" x14ac:dyDescent="0.2">
      <c r="B622" s="43"/>
    </row>
    <row r="623" spans="2:2" x14ac:dyDescent="0.2">
      <c r="B623" s="43"/>
    </row>
    <row r="624" spans="2:2" x14ac:dyDescent="0.2">
      <c r="B624" s="43"/>
    </row>
    <row r="625" spans="2:2" x14ac:dyDescent="0.2">
      <c r="B625" s="43"/>
    </row>
    <row r="626" spans="2:2" x14ac:dyDescent="0.2">
      <c r="B626" s="43"/>
    </row>
    <row r="627" spans="2:2" x14ac:dyDescent="0.2">
      <c r="B627" s="43"/>
    </row>
    <row r="628" spans="2:2" x14ac:dyDescent="0.2">
      <c r="B628" s="43"/>
    </row>
    <row r="629" spans="2:2" x14ac:dyDescent="0.2">
      <c r="B629" s="43"/>
    </row>
    <row r="630" spans="2:2" x14ac:dyDescent="0.2">
      <c r="B630" s="43"/>
    </row>
    <row r="631" spans="2:2" x14ac:dyDescent="0.2">
      <c r="B631" s="43"/>
    </row>
    <row r="632" spans="2:2" x14ac:dyDescent="0.2">
      <c r="B632" s="43"/>
    </row>
    <row r="633" spans="2:2" x14ac:dyDescent="0.2">
      <c r="B633" s="43"/>
    </row>
    <row r="634" spans="2:2" x14ac:dyDescent="0.2">
      <c r="B634" s="43"/>
    </row>
    <row r="635" spans="2:2" x14ac:dyDescent="0.2">
      <c r="B635" s="43"/>
    </row>
    <row r="636" spans="2:2" x14ac:dyDescent="0.2">
      <c r="B636" s="43"/>
    </row>
    <row r="637" spans="2:2" x14ac:dyDescent="0.2">
      <c r="B637" s="43"/>
    </row>
    <row r="638" spans="2:2" x14ac:dyDescent="0.2">
      <c r="B638" s="43"/>
    </row>
    <row r="639" spans="2:2" x14ac:dyDescent="0.2">
      <c r="B639" s="43"/>
    </row>
    <row r="640" spans="2:2" x14ac:dyDescent="0.2">
      <c r="B640" s="43"/>
    </row>
    <row r="641" spans="2:2" x14ac:dyDescent="0.2">
      <c r="B641" s="43"/>
    </row>
    <row r="642" spans="2:2" x14ac:dyDescent="0.2">
      <c r="B642" s="43"/>
    </row>
    <row r="643" spans="2:2" x14ac:dyDescent="0.2">
      <c r="B643" s="43"/>
    </row>
    <row r="644" spans="2:2" x14ac:dyDescent="0.2">
      <c r="B644" s="43"/>
    </row>
    <row r="645" spans="2:2" x14ac:dyDescent="0.2">
      <c r="B645" s="43"/>
    </row>
    <row r="646" spans="2:2" x14ac:dyDescent="0.2">
      <c r="B646" s="43"/>
    </row>
    <row r="647" spans="2:2" x14ac:dyDescent="0.2">
      <c r="B647" s="43"/>
    </row>
    <row r="648" spans="2:2" x14ac:dyDescent="0.2">
      <c r="B648" s="43"/>
    </row>
    <row r="649" spans="2:2" x14ac:dyDescent="0.2">
      <c r="B649" s="43"/>
    </row>
    <row r="650" spans="2:2" x14ac:dyDescent="0.2">
      <c r="B650" s="43"/>
    </row>
    <row r="651" spans="2:2" x14ac:dyDescent="0.2">
      <c r="B651" s="43"/>
    </row>
    <row r="652" spans="2:2" x14ac:dyDescent="0.2">
      <c r="B652" s="43"/>
    </row>
    <row r="653" spans="2:2" x14ac:dyDescent="0.2">
      <c r="B653" s="43"/>
    </row>
    <row r="654" spans="2:2" x14ac:dyDescent="0.2">
      <c r="B654" s="43"/>
    </row>
    <row r="655" spans="2:2" x14ac:dyDescent="0.2">
      <c r="B655" s="43"/>
    </row>
    <row r="656" spans="2:2" x14ac:dyDescent="0.2">
      <c r="B656" s="43"/>
    </row>
    <row r="657" spans="2:2" x14ac:dyDescent="0.2">
      <c r="B657" s="43"/>
    </row>
    <row r="658" spans="2:2" x14ac:dyDescent="0.2">
      <c r="B658" s="43"/>
    </row>
    <row r="659" spans="2:2" x14ac:dyDescent="0.2">
      <c r="B659" s="43"/>
    </row>
    <row r="660" spans="2:2" x14ac:dyDescent="0.2">
      <c r="B660" s="43"/>
    </row>
    <row r="661" spans="2:2" x14ac:dyDescent="0.2">
      <c r="B661" s="43"/>
    </row>
    <row r="662" spans="2:2" x14ac:dyDescent="0.2">
      <c r="B662" s="43"/>
    </row>
    <row r="663" spans="2:2" x14ac:dyDescent="0.2">
      <c r="B663" s="43"/>
    </row>
    <row r="664" spans="2:2" x14ac:dyDescent="0.2">
      <c r="B664" s="43"/>
    </row>
    <row r="665" spans="2:2" x14ac:dyDescent="0.2">
      <c r="B665" s="43"/>
    </row>
    <row r="666" spans="2:2" x14ac:dyDescent="0.2">
      <c r="B666" s="43"/>
    </row>
    <row r="667" spans="2:2" x14ac:dyDescent="0.2">
      <c r="B667" s="43"/>
    </row>
    <row r="668" spans="2:2" x14ac:dyDescent="0.2">
      <c r="B668" s="43"/>
    </row>
    <row r="669" spans="2:2" x14ac:dyDescent="0.2">
      <c r="B669" s="43"/>
    </row>
    <row r="670" spans="2:2" x14ac:dyDescent="0.2">
      <c r="B670" s="43"/>
    </row>
    <row r="671" spans="2:2" x14ac:dyDescent="0.2">
      <c r="B671" s="43"/>
    </row>
    <row r="672" spans="2:2" x14ac:dyDescent="0.2">
      <c r="B672" s="43"/>
    </row>
    <row r="673" spans="2:2" x14ac:dyDescent="0.2">
      <c r="B673" s="43"/>
    </row>
    <row r="674" spans="2:2" x14ac:dyDescent="0.2">
      <c r="B674" s="43"/>
    </row>
    <row r="675" spans="2:2" x14ac:dyDescent="0.2">
      <c r="B675" s="43"/>
    </row>
    <row r="676" spans="2:2" x14ac:dyDescent="0.2">
      <c r="B676" s="43"/>
    </row>
    <row r="677" spans="2:2" x14ac:dyDescent="0.2">
      <c r="B677" s="43"/>
    </row>
    <row r="678" spans="2:2" x14ac:dyDescent="0.2">
      <c r="B678" s="43"/>
    </row>
    <row r="679" spans="2:2" x14ac:dyDescent="0.2">
      <c r="B679" s="43"/>
    </row>
    <row r="680" spans="2:2" x14ac:dyDescent="0.2">
      <c r="B680" s="43"/>
    </row>
    <row r="681" spans="2:2" x14ac:dyDescent="0.2">
      <c r="B681" s="43"/>
    </row>
    <row r="682" spans="2:2" x14ac:dyDescent="0.2">
      <c r="B682" s="43"/>
    </row>
    <row r="683" spans="2:2" x14ac:dyDescent="0.2">
      <c r="B683" s="43"/>
    </row>
    <row r="684" spans="2:2" x14ac:dyDescent="0.2">
      <c r="B684" s="43"/>
    </row>
    <row r="685" spans="2:2" x14ac:dyDescent="0.2">
      <c r="B685" s="43"/>
    </row>
    <row r="686" spans="2:2" x14ac:dyDescent="0.2">
      <c r="B686" s="43"/>
    </row>
    <row r="687" spans="2:2" x14ac:dyDescent="0.2">
      <c r="B687" s="43"/>
    </row>
    <row r="688" spans="2:2" x14ac:dyDescent="0.2">
      <c r="B688" s="43"/>
    </row>
    <row r="689" spans="2:2" x14ac:dyDescent="0.2">
      <c r="B689" s="43"/>
    </row>
    <row r="690" spans="2:2" x14ac:dyDescent="0.2">
      <c r="B690" s="43"/>
    </row>
    <row r="691" spans="2:2" x14ac:dyDescent="0.2">
      <c r="B691" s="43"/>
    </row>
    <row r="692" spans="2:2" x14ac:dyDescent="0.2">
      <c r="B692" s="43"/>
    </row>
    <row r="693" spans="2:2" x14ac:dyDescent="0.2">
      <c r="B693" s="43"/>
    </row>
    <row r="694" spans="2:2" x14ac:dyDescent="0.2">
      <c r="B694" s="43"/>
    </row>
    <row r="695" spans="2:2" x14ac:dyDescent="0.2">
      <c r="B695" s="43"/>
    </row>
    <row r="696" spans="2:2" x14ac:dyDescent="0.2">
      <c r="B696" s="43"/>
    </row>
    <row r="697" spans="2:2" x14ac:dyDescent="0.2">
      <c r="B697" s="43"/>
    </row>
    <row r="698" spans="2:2" x14ac:dyDescent="0.2">
      <c r="B698" s="43"/>
    </row>
    <row r="699" spans="2:2" x14ac:dyDescent="0.2">
      <c r="B699" s="43"/>
    </row>
    <row r="700" spans="2:2" x14ac:dyDescent="0.2">
      <c r="B700" s="43"/>
    </row>
    <row r="701" spans="2:2" x14ac:dyDescent="0.2">
      <c r="B701" s="43"/>
    </row>
    <row r="702" spans="2:2" x14ac:dyDescent="0.2">
      <c r="B702" s="43"/>
    </row>
    <row r="703" spans="2:2" x14ac:dyDescent="0.2">
      <c r="B703" s="43"/>
    </row>
    <row r="704" spans="2:2" x14ac:dyDescent="0.2">
      <c r="B704" s="43"/>
    </row>
    <row r="705" spans="2:2" x14ac:dyDescent="0.2">
      <c r="B705" s="43"/>
    </row>
    <row r="706" spans="2:2" x14ac:dyDescent="0.2">
      <c r="B706" s="43"/>
    </row>
    <row r="707" spans="2:2" x14ac:dyDescent="0.2">
      <c r="B707" s="43"/>
    </row>
    <row r="708" spans="2:2" x14ac:dyDescent="0.2">
      <c r="B708" s="43"/>
    </row>
    <row r="709" spans="2:2" x14ac:dyDescent="0.2">
      <c r="B709" s="43"/>
    </row>
    <row r="710" spans="2:2" x14ac:dyDescent="0.2">
      <c r="B710" s="43"/>
    </row>
    <row r="711" spans="2:2" x14ac:dyDescent="0.2">
      <c r="B711" s="43"/>
    </row>
    <row r="712" spans="2:2" x14ac:dyDescent="0.2">
      <c r="B712" s="43"/>
    </row>
    <row r="713" spans="2:2" x14ac:dyDescent="0.2">
      <c r="B713" s="43"/>
    </row>
    <row r="714" spans="2:2" x14ac:dyDescent="0.2">
      <c r="B714" s="43"/>
    </row>
    <row r="715" spans="2:2" x14ac:dyDescent="0.2">
      <c r="B715" s="43"/>
    </row>
    <row r="716" spans="2:2" x14ac:dyDescent="0.2">
      <c r="B716" s="43"/>
    </row>
    <row r="717" spans="2:2" x14ac:dyDescent="0.2">
      <c r="B717" s="43"/>
    </row>
    <row r="718" spans="2:2" x14ac:dyDescent="0.2">
      <c r="B718" s="43"/>
    </row>
    <row r="719" spans="2:2" x14ac:dyDescent="0.2">
      <c r="B719" s="43"/>
    </row>
    <row r="720" spans="2:2" x14ac:dyDescent="0.2">
      <c r="B720" s="43"/>
    </row>
    <row r="721" spans="2:2" x14ac:dyDescent="0.2">
      <c r="B721" s="43"/>
    </row>
    <row r="722" spans="2:2" x14ac:dyDescent="0.2">
      <c r="B722" s="43"/>
    </row>
    <row r="723" spans="2:2" x14ac:dyDescent="0.2">
      <c r="B723" s="43"/>
    </row>
    <row r="724" spans="2:2" x14ac:dyDescent="0.2">
      <c r="B724" s="43"/>
    </row>
    <row r="725" spans="2:2" x14ac:dyDescent="0.2">
      <c r="B725" s="43"/>
    </row>
    <row r="726" spans="2:2" x14ac:dyDescent="0.2">
      <c r="B726" s="43"/>
    </row>
    <row r="727" spans="2:2" x14ac:dyDescent="0.2">
      <c r="B727" s="43"/>
    </row>
    <row r="728" spans="2:2" x14ac:dyDescent="0.2">
      <c r="B728" s="43"/>
    </row>
    <row r="729" spans="2:2" x14ac:dyDescent="0.2">
      <c r="B729" s="43"/>
    </row>
    <row r="730" spans="2:2" x14ac:dyDescent="0.2">
      <c r="B730" s="43"/>
    </row>
    <row r="731" spans="2:2" x14ac:dyDescent="0.2">
      <c r="B731" s="43"/>
    </row>
    <row r="732" spans="2:2" x14ac:dyDescent="0.2">
      <c r="B732" s="43"/>
    </row>
    <row r="733" spans="2:2" x14ac:dyDescent="0.2">
      <c r="B733" s="43"/>
    </row>
    <row r="734" spans="2:2" x14ac:dyDescent="0.2">
      <c r="B734" s="43"/>
    </row>
    <row r="735" spans="2:2" x14ac:dyDescent="0.2">
      <c r="B735" s="43"/>
    </row>
    <row r="736" spans="2:2" x14ac:dyDescent="0.2">
      <c r="B736" s="43"/>
    </row>
    <row r="737" spans="2:2" x14ac:dyDescent="0.2">
      <c r="B737" s="43"/>
    </row>
    <row r="738" spans="2:2" x14ac:dyDescent="0.2">
      <c r="B738" s="43"/>
    </row>
    <row r="739" spans="2:2" x14ac:dyDescent="0.2">
      <c r="B739" s="43"/>
    </row>
    <row r="740" spans="2:2" x14ac:dyDescent="0.2">
      <c r="B740" s="43"/>
    </row>
    <row r="741" spans="2:2" x14ac:dyDescent="0.2">
      <c r="B741" s="43"/>
    </row>
    <row r="742" spans="2:2" x14ac:dyDescent="0.2">
      <c r="B742" s="43"/>
    </row>
    <row r="743" spans="2:2" x14ac:dyDescent="0.2">
      <c r="B743" s="43"/>
    </row>
    <row r="744" spans="2:2" x14ac:dyDescent="0.2">
      <c r="B744" s="43"/>
    </row>
    <row r="745" spans="2:2" x14ac:dyDescent="0.2">
      <c r="B745" s="43"/>
    </row>
    <row r="746" spans="2:2" x14ac:dyDescent="0.2">
      <c r="B746" s="43"/>
    </row>
    <row r="747" spans="2:2" x14ac:dyDescent="0.2">
      <c r="B747" s="43"/>
    </row>
    <row r="748" spans="2:2" x14ac:dyDescent="0.2">
      <c r="B748" s="43"/>
    </row>
    <row r="749" spans="2:2" x14ac:dyDescent="0.2">
      <c r="B749" s="43"/>
    </row>
    <row r="750" spans="2:2" x14ac:dyDescent="0.2">
      <c r="B750" s="43"/>
    </row>
    <row r="751" spans="2:2" x14ac:dyDescent="0.2">
      <c r="B751" s="43"/>
    </row>
    <row r="752" spans="2:2" x14ac:dyDescent="0.2">
      <c r="B752" s="43"/>
    </row>
    <row r="753" spans="2:2" x14ac:dyDescent="0.2">
      <c r="B753" s="43"/>
    </row>
    <row r="754" spans="2:2" x14ac:dyDescent="0.2">
      <c r="B754" s="43"/>
    </row>
    <row r="755" spans="2:2" x14ac:dyDescent="0.2">
      <c r="B755" s="43"/>
    </row>
    <row r="756" spans="2:2" x14ac:dyDescent="0.2">
      <c r="B756" s="43"/>
    </row>
    <row r="757" spans="2:2" x14ac:dyDescent="0.2">
      <c r="B757" s="43"/>
    </row>
    <row r="758" spans="2:2" x14ac:dyDescent="0.2">
      <c r="B758" s="43"/>
    </row>
    <row r="759" spans="2:2" x14ac:dyDescent="0.2">
      <c r="B759" s="43"/>
    </row>
    <row r="760" spans="2:2" x14ac:dyDescent="0.2">
      <c r="B760" s="43"/>
    </row>
    <row r="761" spans="2:2" x14ac:dyDescent="0.2">
      <c r="B761" s="43"/>
    </row>
    <row r="762" spans="2:2" x14ac:dyDescent="0.2">
      <c r="B762" s="43"/>
    </row>
    <row r="763" spans="2:2" x14ac:dyDescent="0.2">
      <c r="B763" s="43"/>
    </row>
    <row r="764" spans="2:2" x14ac:dyDescent="0.2">
      <c r="B764" s="43"/>
    </row>
    <row r="765" spans="2:2" x14ac:dyDescent="0.2">
      <c r="B765" s="43"/>
    </row>
    <row r="766" spans="2:2" x14ac:dyDescent="0.2">
      <c r="B766" s="43"/>
    </row>
    <row r="767" spans="2:2" x14ac:dyDescent="0.2">
      <c r="B767" s="43"/>
    </row>
    <row r="768" spans="2:2" x14ac:dyDescent="0.2">
      <c r="B768" s="43"/>
    </row>
    <row r="769" spans="2:2" x14ac:dyDescent="0.2">
      <c r="B769" s="43"/>
    </row>
    <row r="770" spans="2:2" x14ac:dyDescent="0.2">
      <c r="B770" s="43"/>
    </row>
    <row r="771" spans="2:2" x14ac:dyDescent="0.2">
      <c r="B771" s="43"/>
    </row>
    <row r="772" spans="2:2" x14ac:dyDescent="0.2">
      <c r="B772" s="43"/>
    </row>
    <row r="773" spans="2:2" x14ac:dyDescent="0.2">
      <c r="B773" s="43"/>
    </row>
    <row r="774" spans="2:2" x14ac:dyDescent="0.2">
      <c r="B774" s="43"/>
    </row>
    <row r="775" spans="2:2" x14ac:dyDescent="0.2">
      <c r="B775" s="43"/>
    </row>
    <row r="776" spans="2:2" x14ac:dyDescent="0.2">
      <c r="B776" s="43"/>
    </row>
    <row r="777" spans="2:2" x14ac:dyDescent="0.2">
      <c r="B777" s="43"/>
    </row>
    <row r="778" spans="2:2" x14ac:dyDescent="0.2">
      <c r="B778" s="43"/>
    </row>
    <row r="779" spans="2:2" x14ac:dyDescent="0.2">
      <c r="B779" s="43"/>
    </row>
    <row r="780" spans="2:2" x14ac:dyDescent="0.2">
      <c r="B780" s="43"/>
    </row>
    <row r="781" spans="2:2" x14ac:dyDescent="0.2">
      <c r="B781" s="43"/>
    </row>
    <row r="782" spans="2:2" x14ac:dyDescent="0.2">
      <c r="B782" s="43"/>
    </row>
    <row r="783" spans="2:2" x14ac:dyDescent="0.2">
      <c r="B783" s="43"/>
    </row>
    <row r="784" spans="2:2" x14ac:dyDescent="0.2">
      <c r="B784" s="43"/>
    </row>
    <row r="785" spans="2:2" x14ac:dyDescent="0.2">
      <c r="B785" s="43"/>
    </row>
    <row r="786" spans="2:2" x14ac:dyDescent="0.2">
      <c r="B786" s="43"/>
    </row>
    <row r="787" spans="2:2" x14ac:dyDescent="0.2">
      <c r="B787" s="43"/>
    </row>
    <row r="788" spans="2:2" x14ac:dyDescent="0.2">
      <c r="B788" s="43"/>
    </row>
    <row r="789" spans="2:2" x14ac:dyDescent="0.2">
      <c r="B789" s="43"/>
    </row>
    <row r="790" spans="2:2" x14ac:dyDescent="0.2">
      <c r="B790" s="43"/>
    </row>
    <row r="791" spans="2:2" x14ac:dyDescent="0.2">
      <c r="B791" s="43"/>
    </row>
    <row r="792" spans="2:2" x14ac:dyDescent="0.2">
      <c r="B792" s="43"/>
    </row>
    <row r="793" spans="2:2" x14ac:dyDescent="0.2">
      <c r="B793" s="43"/>
    </row>
    <row r="794" spans="2:2" x14ac:dyDescent="0.2">
      <c r="B794" s="43"/>
    </row>
    <row r="795" spans="2:2" x14ac:dyDescent="0.2">
      <c r="B795" s="43"/>
    </row>
    <row r="796" spans="2:2" x14ac:dyDescent="0.2">
      <c r="B796" s="43"/>
    </row>
    <row r="797" spans="2:2" x14ac:dyDescent="0.2">
      <c r="B797" s="43"/>
    </row>
    <row r="798" spans="2:2" x14ac:dyDescent="0.2">
      <c r="B798" s="43"/>
    </row>
    <row r="799" spans="2:2" x14ac:dyDescent="0.2">
      <c r="B799" s="43"/>
    </row>
    <row r="800" spans="2:2" x14ac:dyDescent="0.2">
      <c r="B800" s="43"/>
    </row>
    <row r="801" spans="2:2" x14ac:dyDescent="0.2">
      <c r="B801" s="43"/>
    </row>
    <row r="802" spans="2:2" x14ac:dyDescent="0.2">
      <c r="B802" s="43"/>
    </row>
    <row r="803" spans="2:2" x14ac:dyDescent="0.2">
      <c r="B803" s="43"/>
    </row>
    <row r="804" spans="2:2" x14ac:dyDescent="0.2">
      <c r="B804" s="43"/>
    </row>
    <row r="805" spans="2:2" x14ac:dyDescent="0.2">
      <c r="B805" s="43"/>
    </row>
    <row r="806" spans="2:2" x14ac:dyDescent="0.2">
      <c r="B806" s="43"/>
    </row>
    <row r="807" spans="2:2" x14ac:dyDescent="0.2">
      <c r="B807" s="43"/>
    </row>
    <row r="808" spans="2:2" x14ac:dyDescent="0.2">
      <c r="B808" s="43"/>
    </row>
    <row r="809" spans="2:2" x14ac:dyDescent="0.2">
      <c r="B809" s="43"/>
    </row>
    <row r="810" spans="2:2" x14ac:dyDescent="0.2">
      <c r="B810" s="43"/>
    </row>
    <row r="811" spans="2:2" x14ac:dyDescent="0.2">
      <c r="B811" s="43"/>
    </row>
    <row r="812" spans="2:2" x14ac:dyDescent="0.2">
      <c r="B812" s="43"/>
    </row>
    <row r="813" spans="2:2" x14ac:dyDescent="0.2">
      <c r="B813" s="43"/>
    </row>
    <row r="814" spans="2:2" x14ac:dyDescent="0.2">
      <c r="B814" s="43"/>
    </row>
    <row r="815" spans="2:2" x14ac:dyDescent="0.2">
      <c r="B815" s="43"/>
    </row>
    <row r="816" spans="2:2" x14ac:dyDescent="0.2">
      <c r="B816" s="43"/>
    </row>
    <row r="817" spans="2:2" x14ac:dyDescent="0.2">
      <c r="B817" s="43"/>
    </row>
    <row r="818" spans="2:2" x14ac:dyDescent="0.2">
      <c r="B818" s="43"/>
    </row>
    <row r="819" spans="2:2" x14ac:dyDescent="0.2">
      <c r="B819" s="43"/>
    </row>
    <row r="820" spans="2:2" x14ac:dyDescent="0.2">
      <c r="B820" s="43"/>
    </row>
    <row r="821" spans="2:2" x14ac:dyDescent="0.2">
      <c r="B821" s="43"/>
    </row>
    <row r="822" spans="2:2" x14ac:dyDescent="0.2">
      <c r="B822" s="43"/>
    </row>
    <row r="823" spans="2:2" x14ac:dyDescent="0.2">
      <c r="B823" s="43"/>
    </row>
    <row r="824" spans="2:2" x14ac:dyDescent="0.2">
      <c r="B824" s="43"/>
    </row>
    <row r="825" spans="2:2" x14ac:dyDescent="0.2">
      <c r="B825" s="43"/>
    </row>
    <row r="826" spans="2:2" x14ac:dyDescent="0.2">
      <c r="B826" s="43"/>
    </row>
    <row r="827" spans="2:2" x14ac:dyDescent="0.2">
      <c r="B827" s="43"/>
    </row>
    <row r="828" spans="2:2" x14ac:dyDescent="0.2">
      <c r="B828" s="43"/>
    </row>
    <row r="829" spans="2:2" x14ac:dyDescent="0.2">
      <c r="B829" s="43"/>
    </row>
    <row r="830" spans="2:2" x14ac:dyDescent="0.2">
      <c r="B830" s="43"/>
    </row>
    <row r="831" spans="2:2" x14ac:dyDescent="0.2">
      <c r="B831" s="43"/>
    </row>
    <row r="832" spans="2:2" x14ac:dyDescent="0.2">
      <c r="B832" s="43"/>
    </row>
    <row r="833" spans="2:2" x14ac:dyDescent="0.2">
      <c r="B833" s="43"/>
    </row>
    <row r="834" spans="2:2" x14ac:dyDescent="0.2">
      <c r="B834" s="43"/>
    </row>
    <row r="835" spans="2:2" x14ac:dyDescent="0.2">
      <c r="B835" s="43"/>
    </row>
    <row r="836" spans="2:2" x14ac:dyDescent="0.2">
      <c r="B836" s="43"/>
    </row>
    <row r="837" spans="2:2" x14ac:dyDescent="0.2">
      <c r="B837" s="43"/>
    </row>
    <row r="838" spans="2:2" x14ac:dyDescent="0.2">
      <c r="B838" s="43"/>
    </row>
    <row r="839" spans="2:2" x14ac:dyDescent="0.2">
      <c r="B839" s="43"/>
    </row>
    <row r="840" spans="2:2" x14ac:dyDescent="0.2">
      <c r="B840" s="43"/>
    </row>
    <row r="841" spans="2:2" x14ac:dyDescent="0.2">
      <c r="B841" s="43"/>
    </row>
    <row r="842" spans="2:2" x14ac:dyDescent="0.2">
      <c r="B842" s="43"/>
    </row>
    <row r="843" spans="2:2" x14ac:dyDescent="0.2">
      <c r="B843" s="43"/>
    </row>
    <row r="844" spans="2:2" x14ac:dyDescent="0.2">
      <c r="B844" s="43"/>
    </row>
    <row r="845" spans="2:2" x14ac:dyDescent="0.2">
      <c r="B845" s="43"/>
    </row>
    <row r="846" spans="2:2" x14ac:dyDescent="0.2">
      <c r="B846" s="43"/>
    </row>
    <row r="847" spans="2:2" x14ac:dyDescent="0.2">
      <c r="B847" s="43"/>
    </row>
    <row r="848" spans="2:2" x14ac:dyDescent="0.2">
      <c r="B848" s="43"/>
    </row>
    <row r="849" spans="2:2" x14ac:dyDescent="0.2">
      <c r="B849" s="43"/>
    </row>
    <row r="850" spans="2:2" x14ac:dyDescent="0.2">
      <c r="B850" s="43"/>
    </row>
    <row r="851" spans="2:2" x14ac:dyDescent="0.2">
      <c r="B851" s="43"/>
    </row>
    <row r="852" spans="2:2" x14ac:dyDescent="0.2">
      <c r="B852" s="43"/>
    </row>
    <row r="853" spans="2:2" x14ac:dyDescent="0.2">
      <c r="B853" s="43"/>
    </row>
    <row r="854" spans="2:2" x14ac:dyDescent="0.2">
      <c r="B854" s="43"/>
    </row>
    <row r="855" spans="2:2" x14ac:dyDescent="0.2">
      <c r="B855" s="43"/>
    </row>
    <row r="856" spans="2:2" x14ac:dyDescent="0.2">
      <c r="B856" s="43"/>
    </row>
    <row r="857" spans="2:2" x14ac:dyDescent="0.2">
      <c r="B857" s="43"/>
    </row>
    <row r="858" spans="2:2" x14ac:dyDescent="0.2">
      <c r="B858" s="43"/>
    </row>
    <row r="859" spans="2:2" x14ac:dyDescent="0.2">
      <c r="B859" s="43"/>
    </row>
    <row r="860" spans="2:2" x14ac:dyDescent="0.2">
      <c r="B860" s="43"/>
    </row>
    <row r="861" spans="2:2" x14ac:dyDescent="0.2">
      <c r="B861" s="43"/>
    </row>
    <row r="862" spans="2:2" x14ac:dyDescent="0.2">
      <c r="B862" s="43"/>
    </row>
    <row r="863" spans="2:2" x14ac:dyDescent="0.2">
      <c r="B863" s="43"/>
    </row>
    <row r="864" spans="2:2" x14ac:dyDescent="0.2">
      <c r="B864" s="43"/>
    </row>
    <row r="865" spans="2:2" x14ac:dyDescent="0.2">
      <c r="B865" s="43"/>
    </row>
    <row r="866" spans="2:2" x14ac:dyDescent="0.2">
      <c r="B866" s="43"/>
    </row>
    <row r="867" spans="2:2" x14ac:dyDescent="0.2">
      <c r="B867" s="43"/>
    </row>
    <row r="868" spans="2:2" x14ac:dyDescent="0.2">
      <c r="B868" s="43"/>
    </row>
    <row r="869" spans="2:2" x14ac:dyDescent="0.2">
      <c r="B869" s="43"/>
    </row>
    <row r="870" spans="2:2" x14ac:dyDescent="0.2">
      <c r="B870" s="43"/>
    </row>
    <row r="871" spans="2:2" x14ac:dyDescent="0.2">
      <c r="B871" s="43"/>
    </row>
    <row r="872" spans="2:2" x14ac:dyDescent="0.2">
      <c r="B872" s="43"/>
    </row>
    <row r="873" spans="2:2" x14ac:dyDescent="0.2">
      <c r="B873" s="43"/>
    </row>
    <row r="874" spans="2:2" x14ac:dyDescent="0.2">
      <c r="B874" s="43"/>
    </row>
    <row r="875" spans="2:2" x14ac:dyDescent="0.2">
      <c r="B875" s="43"/>
    </row>
    <row r="876" spans="2:2" x14ac:dyDescent="0.2">
      <c r="B876" s="43"/>
    </row>
    <row r="877" spans="2:2" x14ac:dyDescent="0.2">
      <c r="B877" s="43"/>
    </row>
    <row r="878" spans="2:2" x14ac:dyDescent="0.2">
      <c r="B878" s="43"/>
    </row>
    <row r="879" spans="2:2" x14ac:dyDescent="0.2">
      <c r="B879" s="43"/>
    </row>
    <row r="880" spans="2:2" x14ac:dyDescent="0.2">
      <c r="B880" s="43"/>
    </row>
    <row r="881" spans="2:2" x14ac:dyDescent="0.2">
      <c r="B881" s="43"/>
    </row>
    <row r="882" spans="2:2" x14ac:dyDescent="0.2">
      <c r="B882" s="43"/>
    </row>
    <row r="883" spans="2:2" x14ac:dyDescent="0.2">
      <c r="B883" s="43"/>
    </row>
    <row r="884" spans="2:2" x14ac:dyDescent="0.2">
      <c r="B884" s="43"/>
    </row>
    <row r="885" spans="2:2" x14ac:dyDescent="0.2">
      <c r="B885" s="43"/>
    </row>
    <row r="886" spans="2:2" x14ac:dyDescent="0.2">
      <c r="B886" s="43"/>
    </row>
    <row r="887" spans="2:2" x14ac:dyDescent="0.2">
      <c r="B887" s="43"/>
    </row>
    <row r="888" spans="2:2" x14ac:dyDescent="0.2">
      <c r="B888" s="43"/>
    </row>
    <row r="889" spans="2:2" x14ac:dyDescent="0.2">
      <c r="B889" s="43"/>
    </row>
    <row r="890" spans="2:2" x14ac:dyDescent="0.2">
      <c r="B890" s="43"/>
    </row>
    <row r="891" spans="2:2" x14ac:dyDescent="0.2">
      <c r="B891" s="43"/>
    </row>
    <row r="892" spans="2:2" x14ac:dyDescent="0.2">
      <c r="B892" s="43"/>
    </row>
    <row r="893" spans="2:2" x14ac:dyDescent="0.2">
      <c r="B893" s="43"/>
    </row>
    <row r="894" spans="2:2" x14ac:dyDescent="0.2">
      <c r="B894" s="43"/>
    </row>
    <row r="895" spans="2:2" x14ac:dyDescent="0.2">
      <c r="B895" s="43"/>
    </row>
    <row r="896" spans="2:2" x14ac:dyDescent="0.2">
      <c r="B896" s="43"/>
    </row>
    <row r="897" spans="2:2" x14ac:dyDescent="0.2">
      <c r="B897" s="43"/>
    </row>
    <row r="898" spans="2:2" x14ac:dyDescent="0.2">
      <c r="B898" s="43"/>
    </row>
    <row r="899" spans="2:2" x14ac:dyDescent="0.2">
      <c r="B899" s="43"/>
    </row>
    <row r="900" spans="2:2" x14ac:dyDescent="0.2">
      <c r="B900" s="43"/>
    </row>
    <row r="901" spans="2:2" x14ac:dyDescent="0.2">
      <c r="B901" s="43"/>
    </row>
    <row r="902" spans="2:2" x14ac:dyDescent="0.2">
      <c r="B902" s="43"/>
    </row>
    <row r="903" spans="2:2" x14ac:dyDescent="0.2">
      <c r="B903" s="43"/>
    </row>
    <row r="904" spans="2:2" x14ac:dyDescent="0.2">
      <c r="B904" s="43"/>
    </row>
    <row r="905" spans="2:2" x14ac:dyDescent="0.2">
      <c r="B905" s="43"/>
    </row>
    <row r="906" spans="2:2" x14ac:dyDescent="0.2">
      <c r="B906" s="43"/>
    </row>
    <row r="907" spans="2:2" x14ac:dyDescent="0.2">
      <c r="B907" s="43"/>
    </row>
    <row r="908" spans="2:2" x14ac:dyDescent="0.2">
      <c r="B908" s="43"/>
    </row>
    <row r="909" spans="2:2" x14ac:dyDescent="0.2">
      <c r="B909" s="43"/>
    </row>
    <row r="910" spans="2:2" x14ac:dyDescent="0.2">
      <c r="B910" s="43"/>
    </row>
    <row r="911" spans="2:2" x14ac:dyDescent="0.2">
      <c r="B911" s="43"/>
    </row>
    <row r="912" spans="2:2" x14ac:dyDescent="0.2">
      <c r="B912" s="43"/>
    </row>
    <row r="913" spans="2:2" x14ac:dyDescent="0.2">
      <c r="B913" s="43"/>
    </row>
    <row r="914" spans="2:2" x14ac:dyDescent="0.2">
      <c r="B914" s="43"/>
    </row>
    <row r="915" spans="2:2" x14ac:dyDescent="0.2">
      <c r="B915" s="43"/>
    </row>
    <row r="916" spans="2:2" x14ac:dyDescent="0.2">
      <c r="B916" s="43"/>
    </row>
    <row r="917" spans="2:2" x14ac:dyDescent="0.2">
      <c r="B917" s="43"/>
    </row>
    <row r="918" spans="2:2" x14ac:dyDescent="0.2">
      <c r="B918" s="43"/>
    </row>
    <row r="919" spans="2:2" x14ac:dyDescent="0.2">
      <c r="B919" s="43"/>
    </row>
    <row r="920" spans="2:2" x14ac:dyDescent="0.2">
      <c r="B920" s="43"/>
    </row>
    <row r="921" spans="2:2" x14ac:dyDescent="0.2">
      <c r="B921" s="43"/>
    </row>
    <row r="922" spans="2:2" x14ac:dyDescent="0.2">
      <c r="B922" s="43"/>
    </row>
    <row r="923" spans="2:2" x14ac:dyDescent="0.2">
      <c r="B923" s="43"/>
    </row>
    <row r="924" spans="2:2" x14ac:dyDescent="0.2">
      <c r="B924" s="43"/>
    </row>
    <row r="925" spans="2:2" x14ac:dyDescent="0.2">
      <c r="B925" s="43"/>
    </row>
    <row r="926" spans="2:2" x14ac:dyDescent="0.2">
      <c r="B926" s="43"/>
    </row>
    <row r="927" spans="2:2" x14ac:dyDescent="0.2">
      <c r="B927" s="43"/>
    </row>
    <row r="928" spans="2:2" x14ac:dyDescent="0.2">
      <c r="B928" s="43"/>
    </row>
    <row r="929" spans="2:2" x14ac:dyDescent="0.2">
      <c r="B929" s="43"/>
    </row>
    <row r="930" spans="2:2" x14ac:dyDescent="0.2">
      <c r="B930" s="43"/>
    </row>
    <row r="931" spans="2:2" x14ac:dyDescent="0.2">
      <c r="B931" s="43"/>
    </row>
    <row r="932" spans="2:2" x14ac:dyDescent="0.2">
      <c r="B932" s="43"/>
    </row>
    <row r="933" spans="2:2" x14ac:dyDescent="0.2">
      <c r="B933" s="43"/>
    </row>
    <row r="934" spans="2:2" x14ac:dyDescent="0.2">
      <c r="B934" s="43"/>
    </row>
    <row r="935" spans="2:2" x14ac:dyDescent="0.2">
      <c r="B935" s="43"/>
    </row>
    <row r="936" spans="2:2" x14ac:dyDescent="0.2">
      <c r="B936" s="43"/>
    </row>
    <row r="937" spans="2:2" x14ac:dyDescent="0.2">
      <c r="B937" s="43"/>
    </row>
    <row r="938" spans="2:2" x14ac:dyDescent="0.2">
      <c r="B938" s="43"/>
    </row>
    <row r="939" spans="2:2" x14ac:dyDescent="0.2">
      <c r="B939" s="43"/>
    </row>
    <row r="940" spans="2:2" x14ac:dyDescent="0.2">
      <c r="B940" s="43"/>
    </row>
    <row r="941" spans="2:2" x14ac:dyDescent="0.2">
      <c r="B941" s="43"/>
    </row>
    <row r="942" spans="2:2" x14ac:dyDescent="0.2">
      <c r="B942" s="43"/>
    </row>
    <row r="943" spans="2:2" x14ac:dyDescent="0.2">
      <c r="B943" s="43"/>
    </row>
    <row r="944" spans="2:2" x14ac:dyDescent="0.2">
      <c r="B944" s="43"/>
    </row>
    <row r="945" spans="2:2" x14ac:dyDescent="0.2">
      <c r="B945" s="43"/>
    </row>
    <row r="946" spans="2:2" x14ac:dyDescent="0.2">
      <c r="B946" s="43"/>
    </row>
    <row r="947" spans="2:2" x14ac:dyDescent="0.2">
      <c r="B947" s="43"/>
    </row>
    <row r="948" spans="2:2" x14ac:dyDescent="0.2">
      <c r="B948" s="43"/>
    </row>
    <row r="949" spans="2:2" x14ac:dyDescent="0.2">
      <c r="B949" s="43"/>
    </row>
    <row r="950" spans="2:2" x14ac:dyDescent="0.2">
      <c r="B950" s="43"/>
    </row>
    <row r="951" spans="2:2" x14ac:dyDescent="0.2">
      <c r="B951" s="43"/>
    </row>
    <row r="952" spans="2:2" x14ac:dyDescent="0.2">
      <c r="B952" s="43"/>
    </row>
    <row r="953" spans="2:2" x14ac:dyDescent="0.2">
      <c r="B953" s="43"/>
    </row>
    <row r="954" spans="2:2" x14ac:dyDescent="0.2">
      <c r="B954" s="43"/>
    </row>
    <row r="955" spans="2:2" x14ac:dyDescent="0.2">
      <c r="B955" s="43"/>
    </row>
    <row r="956" spans="2:2" x14ac:dyDescent="0.2">
      <c r="B956" s="43"/>
    </row>
    <row r="957" spans="2:2" x14ac:dyDescent="0.2">
      <c r="B957" s="43"/>
    </row>
    <row r="958" spans="2:2" x14ac:dyDescent="0.2">
      <c r="B958" s="43"/>
    </row>
    <row r="959" spans="2:2" x14ac:dyDescent="0.2">
      <c r="B959" s="43"/>
    </row>
    <row r="960" spans="2:2" x14ac:dyDescent="0.2">
      <c r="B960" s="43"/>
    </row>
    <row r="961" spans="2:2" x14ac:dyDescent="0.2">
      <c r="B961" s="43"/>
    </row>
    <row r="962" spans="2:2" x14ac:dyDescent="0.2">
      <c r="B962" s="43"/>
    </row>
    <row r="963" spans="2:2" x14ac:dyDescent="0.2">
      <c r="B963" s="43"/>
    </row>
    <row r="964" spans="2:2" x14ac:dyDescent="0.2">
      <c r="B964" s="43"/>
    </row>
    <row r="965" spans="2:2" x14ac:dyDescent="0.2">
      <c r="B965" s="43"/>
    </row>
    <row r="966" spans="2:2" x14ac:dyDescent="0.2">
      <c r="B966" s="43"/>
    </row>
    <row r="967" spans="2:2" x14ac:dyDescent="0.2">
      <c r="B967" s="43"/>
    </row>
    <row r="968" spans="2:2" x14ac:dyDescent="0.2">
      <c r="B968" s="43"/>
    </row>
    <row r="969" spans="2:2" x14ac:dyDescent="0.2">
      <c r="B969" s="43"/>
    </row>
    <row r="970" spans="2:2" x14ac:dyDescent="0.2">
      <c r="B970" s="43"/>
    </row>
    <row r="971" spans="2:2" x14ac:dyDescent="0.2">
      <c r="B971" s="43"/>
    </row>
    <row r="972" spans="2:2" x14ac:dyDescent="0.2">
      <c r="B972" s="43"/>
    </row>
    <row r="973" spans="2:2" x14ac:dyDescent="0.2">
      <c r="B973" s="43"/>
    </row>
    <row r="974" spans="2:2" x14ac:dyDescent="0.2">
      <c r="B974" s="43"/>
    </row>
    <row r="975" spans="2:2" x14ac:dyDescent="0.2">
      <c r="B975" s="43"/>
    </row>
    <row r="976" spans="2:2" x14ac:dyDescent="0.2">
      <c r="B976" s="43"/>
    </row>
    <row r="977" spans="2:2" x14ac:dyDescent="0.2">
      <c r="B977" s="43"/>
    </row>
    <row r="978" spans="2:2" x14ac:dyDescent="0.2">
      <c r="B978" s="43"/>
    </row>
    <row r="979" spans="2:2" x14ac:dyDescent="0.2">
      <c r="B979" s="43"/>
    </row>
    <row r="980" spans="2:2" x14ac:dyDescent="0.2">
      <c r="B980" s="43"/>
    </row>
    <row r="981" spans="2:2" x14ac:dyDescent="0.2">
      <c r="B981" s="43"/>
    </row>
    <row r="982" spans="2:2" x14ac:dyDescent="0.2">
      <c r="B982" s="43"/>
    </row>
    <row r="983" spans="2:2" x14ac:dyDescent="0.2">
      <c r="B983" s="43"/>
    </row>
    <row r="984" spans="2:2" x14ac:dyDescent="0.2">
      <c r="B984" s="43"/>
    </row>
    <row r="985" spans="2:2" x14ac:dyDescent="0.2">
      <c r="B985" s="43"/>
    </row>
    <row r="986" spans="2:2" x14ac:dyDescent="0.2">
      <c r="B986" s="43"/>
    </row>
    <row r="987" spans="2:2" x14ac:dyDescent="0.2">
      <c r="B987" s="43"/>
    </row>
    <row r="988" spans="2:2" x14ac:dyDescent="0.2">
      <c r="B988" s="43"/>
    </row>
    <row r="989" spans="2:2" x14ac:dyDescent="0.2">
      <c r="B989" s="43"/>
    </row>
    <row r="990" spans="2:2" x14ac:dyDescent="0.2">
      <c r="B990" s="43"/>
    </row>
    <row r="991" spans="2:2" x14ac:dyDescent="0.2">
      <c r="B991" s="43"/>
    </row>
    <row r="992" spans="2:2" x14ac:dyDescent="0.2">
      <c r="B992" s="43"/>
    </row>
    <row r="993" spans="2:2" x14ac:dyDescent="0.2">
      <c r="B993" s="43"/>
    </row>
    <row r="994" spans="2:2" x14ac:dyDescent="0.2">
      <c r="B994" s="43"/>
    </row>
    <row r="995" spans="2:2" x14ac:dyDescent="0.2">
      <c r="B995" s="43"/>
    </row>
    <row r="996" spans="2:2" x14ac:dyDescent="0.2">
      <c r="B996" s="43"/>
    </row>
    <row r="997" spans="2:2" x14ac:dyDescent="0.2">
      <c r="B997" s="43"/>
    </row>
    <row r="998" spans="2:2" x14ac:dyDescent="0.2">
      <c r="B998" s="43"/>
    </row>
    <row r="999" spans="2:2" x14ac:dyDescent="0.2">
      <c r="B999" s="43"/>
    </row>
    <row r="1000" spans="2:2" x14ac:dyDescent="0.2">
      <c r="B1000" s="43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E412F-1736-4B84-8C3B-9115A1335DCB}">
  <dimension ref="A1:O92"/>
  <sheetViews>
    <sheetView workbookViewId="0">
      <selection activeCell="C2" sqref="C2:P92"/>
    </sheetView>
  </sheetViews>
  <sheetFormatPr defaultRowHeight="12.75" x14ac:dyDescent="0.2"/>
  <cols>
    <col min="1" max="1" width="38.5703125" customWidth="1"/>
    <col min="2" max="2" width="14.140625" style="73" bestFit="1" customWidth="1"/>
  </cols>
  <sheetData>
    <row r="1" spans="1:15" ht="21" x14ac:dyDescent="0.35">
      <c r="C1" s="55" t="s">
        <v>314</v>
      </c>
      <c r="D1" s="55" t="s">
        <v>315</v>
      </c>
      <c r="E1" s="77" t="s">
        <v>316</v>
      </c>
      <c r="F1" s="55" t="s">
        <v>317</v>
      </c>
      <c r="G1" s="55" t="s">
        <v>2086</v>
      </c>
      <c r="H1" s="55" t="s">
        <v>318</v>
      </c>
      <c r="I1" s="55" t="s">
        <v>319</v>
      </c>
      <c r="J1" s="58" t="s">
        <v>320</v>
      </c>
      <c r="K1" s="58" t="s">
        <v>2087</v>
      </c>
      <c r="L1" s="55" t="s">
        <v>321</v>
      </c>
      <c r="M1" s="55" t="s">
        <v>322</v>
      </c>
      <c r="N1" s="55" t="s">
        <v>323</v>
      </c>
      <c r="O1" s="55"/>
    </row>
    <row r="2" spans="1:15" ht="15" x14ac:dyDescent="0.25">
      <c r="A2" t="s">
        <v>2181</v>
      </c>
      <c r="B2" s="73" t="s">
        <v>2180</v>
      </c>
      <c r="C2" s="12">
        <v>16.27</v>
      </c>
      <c r="D2" s="88">
        <v>0.9</v>
      </c>
      <c r="E2" s="89" t="e">
        <f>IFERROR(
_xlfn.XLOOKUP(
B2,#REF!,#REF!
),
_xlfn.XLOOKUP(
A2,#REF!,#REF!
)
)</f>
        <v>#REF!</v>
      </c>
      <c r="F2" s="88" t="str">
        <f>IFERROR(
VLOOKUP(
B2,#REF!,
6,
FALSE
),
""
)</f>
        <v/>
      </c>
      <c r="G2" s="88">
        <v>0</v>
      </c>
      <c r="H2" s="88">
        <v>24</v>
      </c>
      <c r="I2" s="90" t="e">
        <f t="shared" ref="I2" si="0">C2+D2+E2</f>
        <v>#REF!</v>
      </c>
      <c r="J2" s="91" t="e">
        <f>(I2+G2) / (1 - F2/100 - (1 - 1/(1 + H2/100)))</f>
        <v>#REF!</v>
      </c>
      <c r="K2" s="91">
        <v>29.75</v>
      </c>
      <c r="L2" s="88" t="e">
        <f t="shared" ref="L2" si="1">J2 * F2 / 100</f>
        <v>#REF!</v>
      </c>
      <c r="M2" s="88" t="e">
        <f t="shared" ref="M2" si="2">J2 - (J2 / (1 + H2/100))</f>
        <v>#REF!</v>
      </c>
      <c r="N2" s="88" t="e">
        <f t="shared" ref="N2" si="3">J2 - L2 - M2</f>
        <v>#REF!</v>
      </c>
      <c r="O2" s="88"/>
    </row>
    <row r="3" spans="1:15" ht="15" x14ac:dyDescent="0.25">
      <c r="C3" s="12">
        <v>16.27</v>
      </c>
      <c r="D3" s="88">
        <v>0.9</v>
      </c>
      <c r="E3" s="89" t="e">
        <f>IFERROR(
_xlfn.XLOOKUP(
B3,#REF!,#REF!
),
_xlfn.XLOOKUP(
A3,#REF!,#REF!
)
)</f>
        <v>#REF!</v>
      </c>
      <c r="F3" s="88" t="str">
        <f>IFERROR(
VLOOKUP(
B3,#REF!,
6,
FALSE
),
""
)</f>
        <v/>
      </c>
      <c r="G3" s="88">
        <v>0</v>
      </c>
      <c r="H3" s="88">
        <v>24</v>
      </c>
      <c r="I3" s="90" t="e">
        <f t="shared" ref="I3:I66" si="4">C3+D3+E3</f>
        <v>#REF!</v>
      </c>
      <c r="J3" s="91" t="e">
        <f t="shared" ref="J3:J66" si="5">(I3+G3) / (1 - F3/100 - (1 - 1/(1 + H3/100)))</f>
        <v>#REF!</v>
      </c>
      <c r="K3" s="91">
        <v>30.75</v>
      </c>
      <c r="L3" s="88" t="e">
        <f t="shared" ref="L3:L66" si="6">J3 * F3 / 100</f>
        <v>#REF!</v>
      </c>
      <c r="M3" s="88" t="e">
        <f t="shared" ref="M3:M66" si="7">J3 - (J3 / (1 + H3/100))</f>
        <v>#REF!</v>
      </c>
      <c r="N3" s="88" t="e">
        <f t="shared" ref="N3:N66" si="8">J3 - L3 - M3</f>
        <v>#REF!</v>
      </c>
      <c r="O3" s="88"/>
    </row>
    <row r="4" spans="1:15" ht="15" x14ac:dyDescent="0.25">
      <c r="C4" s="12">
        <v>16.27</v>
      </c>
      <c r="D4" s="88">
        <v>0.9</v>
      </c>
      <c r="E4" s="89" t="e">
        <f>IFERROR(
_xlfn.XLOOKUP(
B4,#REF!,#REF!
),
_xlfn.XLOOKUP(
A4,#REF!,#REF!
)
)</f>
        <v>#REF!</v>
      </c>
      <c r="F4" s="88" t="str">
        <f>IFERROR(
VLOOKUP(
B4,#REF!,
6,
FALSE
),
""
)</f>
        <v/>
      </c>
      <c r="G4" s="88">
        <v>0</v>
      </c>
      <c r="H4" s="88">
        <v>24</v>
      </c>
      <c r="I4" s="90" t="e">
        <f t="shared" si="4"/>
        <v>#REF!</v>
      </c>
      <c r="J4" s="91" t="e">
        <f t="shared" si="5"/>
        <v>#REF!</v>
      </c>
      <c r="K4" s="91">
        <v>31.75</v>
      </c>
      <c r="L4" s="88" t="e">
        <f t="shared" si="6"/>
        <v>#REF!</v>
      </c>
      <c r="M4" s="88" t="e">
        <f t="shared" si="7"/>
        <v>#REF!</v>
      </c>
      <c r="N4" s="88" t="e">
        <f t="shared" si="8"/>
        <v>#REF!</v>
      </c>
      <c r="O4" s="88"/>
    </row>
    <row r="5" spans="1:15" ht="15" x14ac:dyDescent="0.25">
      <c r="C5" s="12">
        <v>16.27</v>
      </c>
      <c r="D5" s="88">
        <v>0.9</v>
      </c>
      <c r="E5" s="89" t="e">
        <f>IFERROR(
_xlfn.XLOOKUP(
B5,#REF!,#REF!
),
_xlfn.XLOOKUP(
A5,#REF!,#REF!
)
)</f>
        <v>#REF!</v>
      </c>
      <c r="F5" s="88" t="str">
        <f>IFERROR(
VLOOKUP(
B5,#REF!,
6,
FALSE
),
""
)</f>
        <v/>
      </c>
      <c r="G5" s="88">
        <v>0</v>
      </c>
      <c r="H5" s="88">
        <v>24</v>
      </c>
      <c r="I5" s="90" t="e">
        <f t="shared" si="4"/>
        <v>#REF!</v>
      </c>
      <c r="J5" s="91" t="e">
        <f t="shared" si="5"/>
        <v>#REF!</v>
      </c>
      <c r="K5" s="91">
        <v>32.75</v>
      </c>
      <c r="L5" s="88" t="e">
        <f t="shared" si="6"/>
        <v>#REF!</v>
      </c>
      <c r="M5" s="88" t="e">
        <f t="shared" si="7"/>
        <v>#REF!</v>
      </c>
      <c r="N5" s="88" t="e">
        <f t="shared" si="8"/>
        <v>#REF!</v>
      </c>
      <c r="O5" s="88"/>
    </row>
    <row r="6" spans="1:15" ht="15" x14ac:dyDescent="0.25">
      <c r="C6" s="12">
        <v>16.27</v>
      </c>
      <c r="D6" s="88">
        <v>0.9</v>
      </c>
      <c r="E6" s="89" t="e">
        <f>IFERROR(
_xlfn.XLOOKUP(
B6,#REF!,#REF!
),
_xlfn.XLOOKUP(
A6,#REF!,#REF!
)
)</f>
        <v>#REF!</v>
      </c>
      <c r="F6" s="88" t="str">
        <f>IFERROR(
VLOOKUP(
B6,#REF!,
6,
FALSE
),
""
)</f>
        <v/>
      </c>
      <c r="G6" s="88">
        <v>0</v>
      </c>
      <c r="H6" s="88">
        <v>24</v>
      </c>
      <c r="I6" s="90" t="e">
        <f t="shared" si="4"/>
        <v>#REF!</v>
      </c>
      <c r="J6" s="91" t="e">
        <f t="shared" si="5"/>
        <v>#REF!</v>
      </c>
      <c r="K6" s="91">
        <v>33.75</v>
      </c>
      <c r="L6" s="88" t="e">
        <f t="shared" si="6"/>
        <v>#REF!</v>
      </c>
      <c r="M6" s="88" t="e">
        <f t="shared" si="7"/>
        <v>#REF!</v>
      </c>
      <c r="N6" s="88" t="e">
        <f t="shared" si="8"/>
        <v>#REF!</v>
      </c>
      <c r="O6" s="88"/>
    </row>
    <row r="7" spans="1:15" ht="15" x14ac:dyDescent="0.25">
      <c r="C7" s="12">
        <v>16.27</v>
      </c>
      <c r="D7" s="88">
        <v>0.9</v>
      </c>
      <c r="E7" s="89" t="e">
        <f>IFERROR(
_xlfn.XLOOKUP(
B7,#REF!,#REF!
),
_xlfn.XLOOKUP(
A7,#REF!,#REF!
)
)</f>
        <v>#REF!</v>
      </c>
      <c r="F7" s="88" t="str">
        <f>IFERROR(
VLOOKUP(
B7,#REF!,
6,
FALSE
),
""
)</f>
        <v/>
      </c>
      <c r="G7" s="88">
        <v>0</v>
      </c>
      <c r="H7" s="88">
        <v>24</v>
      </c>
      <c r="I7" s="90" t="e">
        <f t="shared" si="4"/>
        <v>#REF!</v>
      </c>
      <c r="J7" s="91" t="e">
        <f t="shared" si="5"/>
        <v>#REF!</v>
      </c>
      <c r="K7" s="91">
        <v>34.75</v>
      </c>
      <c r="L7" s="88" t="e">
        <f t="shared" si="6"/>
        <v>#REF!</v>
      </c>
      <c r="M7" s="88" t="e">
        <f t="shared" si="7"/>
        <v>#REF!</v>
      </c>
      <c r="N7" s="88" t="e">
        <f t="shared" si="8"/>
        <v>#REF!</v>
      </c>
      <c r="O7" s="88"/>
    </row>
    <row r="8" spans="1:15" ht="15" x14ac:dyDescent="0.25">
      <c r="C8" s="12">
        <v>16.27</v>
      </c>
      <c r="D8" s="88">
        <v>0.9</v>
      </c>
      <c r="E8" s="89" t="e">
        <f>IFERROR(
_xlfn.XLOOKUP(
B8,#REF!,#REF!
),
_xlfn.XLOOKUP(
A8,#REF!,#REF!
)
)</f>
        <v>#REF!</v>
      </c>
      <c r="F8" s="88" t="str">
        <f>IFERROR(
VLOOKUP(
B8,#REF!,
6,
FALSE
),
""
)</f>
        <v/>
      </c>
      <c r="G8" s="88">
        <v>0</v>
      </c>
      <c r="H8" s="88">
        <v>24</v>
      </c>
      <c r="I8" s="90" t="e">
        <f t="shared" si="4"/>
        <v>#REF!</v>
      </c>
      <c r="J8" s="91" t="e">
        <f t="shared" si="5"/>
        <v>#REF!</v>
      </c>
      <c r="K8" s="91">
        <v>35.75</v>
      </c>
      <c r="L8" s="88" t="e">
        <f t="shared" si="6"/>
        <v>#REF!</v>
      </c>
      <c r="M8" s="88" t="e">
        <f t="shared" si="7"/>
        <v>#REF!</v>
      </c>
      <c r="N8" s="88" t="e">
        <f t="shared" si="8"/>
        <v>#REF!</v>
      </c>
      <c r="O8" s="88"/>
    </row>
    <row r="9" spans="1:15" ht="15" x14ac:dyDescent="0.25">
      <c r="C9" s="12">
        <v>16.27</v>
      </c>
      <c r="D9" s="88">
        <v>0.9</v>
      </c>
      <c r="E9" s="89" t="e">
        <f>IFERROR(
_xlfn.XLOOKUP(
B9,#REF!,#REF!
),
_xlfn.XLOOKUP(
A9,#REF!,#REF!
)
)</f>
        <v>#REF!</v>
      </c>
      <c r="F9" s="88" t="str">
        <f>IFERROR(
VLOOKUP(
B9,#REF!,
6,
FALSE
),
""
)</f>
        <v/>
      </c>
      <c r="G9" s="88">
        <v>0</v>
      </c>
      <c r="H9" s="88">
        <v>24</v>
      </c>
      <c r="I9" s="90" t="e">
        <f t="shared" si="4"/>
        <v>#REF!</v>
      </c>
      <c r="J9" s="91" t="e">
        <f t="shared" si="5"/>
        <v>#REF!</v>
      </c>
      <c r="K9" s="91">
        <v>36.75</v>
      </c>
      <c r="L9" s="88" t="e">
        <f t="shared" si="6"/>
        <v>#REF!</v>
      </c>
      <c r="M9" s="88" t="e">
        <f t="shared" si="7"/>
        <v>#REF!</v>
      </c>
      <c r="N9" s="88" t="e">
        <f t="shared" si="8"/>
        <v>#REF!</v>
      </c>
      <c r="O9" s="88"/>
    </row>
    <row r="10" spans="1:15" ht="15" x14ac:dyDescent="0.25">
      <c r="C10" s="12">
        <v>16.27</v>
      </c>
      <c r="D10" s="88">
        <v>0.9</v>
      </c>
      <c r="E10" s="89" t="e">
        <f>IFERROR(
_xlfn.XLOOKUP(
B10,#REF!,#REF!
),
_xlfn.XLOOKUP(
A10,#REF!,#REF!
)
)</f>
        <v>#REF!</v>
      </c>
      <c r="F10" s="88" t="str">
        <f>IFERROR(
VLOOKUP(
B10,#REF!,
6,
FALSE
),
""
)</f>
        <v/>
      </c>
      <c r="G10" s="88">
        <v>0</v>
      </c>
      <c r="H10" s="88">
        <v>24</v>
      </c>
      <c r="I10" s="90" t="e">
        <f t="shared" si="4"/>
        <v>#REF!</v>
      </c>
      <c r="J10" s="91" t="e">
        <f t="shared" si="5"/>
        <v>#REF!</v>
      </c>
      <c r="K10" s="91">
        <v>37.75</v>
      </c>
      <c r="L10" s="88" t="e">
        <f t="shared" si="6"/>
        <v>#REF!</v>
      </c>
      <c r="M10" s="88" t="e">
        <f t="shared" si="7"/>
        <v>#REF!</v>
      </c>
      <c r="N10" s="88" t="e">
        <f t="shared" si="8"/>
        <v>#REF!</v>
      </c>
      <c r="O10" s="88"/>
    </row>
    <row r="11" spans="1:15" ht="15" x14ac:dyDescent="0.25">
      <c r="C11" s="12">
        <v>16.27</v>
      </c>
      <c r="D11" s="88">
        <v>0.9</v>
      </c>
      <c r="E11" s="89" t="e">
        <f>IFERROR(
_xlfn.XLOOKUP(
B11,#REF!,#REF!
),
_xlfn.XLOOKUP(
A11,#REF!,#REF!
)
)</f>
        <v>#REF!</v>
      </c>
      <c r="F11" s="88" t="str">
        <f>IFERROR(
VLOOKUP(
B11,#REF!,
6,
FALSE
),
""
)</f>
        <v/>
      </c>
      <c r="G11" s="88">
        <v>0</v>
      </c>
      <c r="H11" s="88">
        <v>24</v>
      </c>
      <c r="I11" s="90" t="e">
        <f t="shared" si="4"/>
        <v>#REF!</v>
      </c>
      <c r="J11" s="91" t="e">
        <f t="shared" si="5"/>
        <v>#REF!</v>
      </c>
      <c r="K11" s="91">
        <v>38.75</v>
      </c>
      <c r="L11" s="88" t="e">
        <f t="shared" si="6"/>
        <v>#REF!</v>
      </c>
      <c r="M11" s="88" t="e">
        <f t="shared" si="7"/>
        <v>#REF!</v>
      </c>
      <c r="N11" s="88" t="e">
        <f t="shared" si="8"/>
        <v>#REF!</v>
      </c>
      <c r="O11" s="88"/>
    </row>
    <row r="12" spans="1:15" ht="15" x14ac:dyDescent="0.25">
      <c r="C12" s="12">
        <v>16.27</v>
      </c>
      <c r="D12" s="88">
        <v>0.9</v>
      </c>
      <c r="E12" s="89" t="e">
        <f>IFERROR(
_xlfn.XLOOKUP(
B12,#REF!,#REF!
),
_xlfn.XLOOKUP(
A12,#REF!,#REF!
)
)</f>
        <v>#REF!</v>
      </c>
      <c r="F12" s="88" t="str">
        <f>IFERROR(
VLOOKUP(
B12,#REF!,
6,
FALSE
),
""
)</f>
        <v/>
      </c>
      <c r="G12" s="88">
        <v>0</v>
      </c>
      <c r="H12" s="88">
        <v>24</v>
      </c>
      <c r="I12" s="90" t="e">
        <f t="shared" si="4"/>
        <v>#REF!</v>
      </c>
      <c r="J12" s="91" t="e">
        <f t="shared" si="5"/>
        <v>#REF!</v>
      </c>
      <c r="K12" s="91">
        <v>39.75</v>
      </c>
      <c r="L12" s="88" t="e">
        <f t="shared" si="6"/>
        <v>#REF!</v>
      </c>
      <c r="M12" s="88" t="e">
        <f t="shared" si="7"/>
        <v>#REF!</v>
      </c>
      <c r="N12" s="88" t="e">
        <f t="shared" si="8"/>
        <v>#REF!</v>
      </c>
      <c r="O12" s="88"/>
    </row>
    <row r="13" spans="1:15" ht="15" x14ac:dyDescent="0.25">
      <c r="C13" s="12">
        <v>16.27</v>
      </c>
      <c r="D13" s="88">
        <v>0.9</v>
      </c>
      <c r="E13" s="89" t="e">
        <f>IFERROR(
_xlfn.XLOOKUP(
B13,#REF!,#REF!
),
_xlfn.XLOOKUP(
A13,#REF!,#REF!
)
)</f>
        <v>#REF!</v>
      </c>
      <c r="F13" s="88" t="str">
        <f>IFERROR(
VLOOKUP(
B13,#REF!,
6,
FALSE
),
""
)</f>
        <v/>
      </c>
      <c r="G13" s="88">
        <v>0</v>
      </c>
      <c r="H13" s="88">
        <v>24</v>
      </c>
      <c r="I13" s="90" t="e">
        <f t="shared" si="4"/>
        <v>#REF!</v>
      </c>
      <c r="J13" s="91" t="e">
        <f t="shared" si="5"/>
        <v>#REF!</v>
      </c>
      <c r="K13" s="91">
        <v>40.75</v>
      </c>
      <c r="L13" s="88" t="e">
        <f t="shared" si="6"/>
        <v>#REF!</v>
      </c>
      <c r="M13" s="88" t="e">
        <f t="shared" si="7"/>
        <v>#REF!</v>
      </c>
      <c r="N13" s="88" t="e">
        <f t="shared" si="8"/>
        <v>#REF!</v>
      </c>
      <c r="O13" s="88"/>
    </row>
    <row r="14" spans="1:15" ht="15" x14ac:dyDescent="0.25">
      <c r="C14" s="12">
        <v>16.27</v>
      </c>
      <c r="D14" s="88">
        <v>0.9</v>
      </c>
      <c r="E14" s="89" t="e">
        <f>IFERROR(
_xlfn.XLOOKUP(
B14,#REF!,#REF!
),
_xlfn.XLOOKUP(
A14,#REF!,#REF!
)
)</f>
        <v>#REF!</v>
      </c>
      <c r="F14" s="88" t="str">
        <f>IFERROR(
VLOOKUP(
B14,#REF!,
6,
FALSE
),
""
)</f>
        <v/>
      </c>
      <c r="G14" s="88">
        <v>0</v>
      </c>
      <c r="H14" s="88">
        <v>24</v>
      </c>
      <c r="I14" s="90" t="e">
        <f t="shared" si="4"/>
        <v>#REF!</v>
      </c>
      <c r="J14" s="91" t="e">
        <f t="shared" si="5"/>
        <v>#REF!</v>
      </c>
      <c r="K14" s="91">
        <v>41.75</v>
      </c>
      <c r="L14" s="88" t="e">
        <f t="shared" si="6"/>
        <v>#REF!</v>
      </c>
      <c r="M14" s="88" t="e">
        <f t="shared" si="7"/>
        <v>#REF!</v>
      </c>
      <c r="N14" s="88" t="e">
        <f t="shared" si="8"/>
        <v>#REF!</v>
      </c>
      <c r="O14" s="88"/>
    </row>
    <row r="15" spans="1:15" ht="15" x14ac:dyDescent="0.25">
      <c r="C15" s="12">
        <v>16.27</v>
      </c>
      <c r="D15" s="88">
        <v>0.9</v>
      </c>
      <c r="E15" s="89" t="e">
        <f>IFERROR(
_xlfn.XLOOKUP(
B15,#REF!,#REF!
),
_xlfn.XLOOKUP(
A15,#REF!,#REF!
)
)</f>
        <v>#REF!</v>
      </c>
      <c r="F15" s="88" t="str">
        <f>IFERROR(
VLOOKUP(
B15,#REF!,
6,
FALSE
),
""
)</f>
        <v/>
      </c>
      <c r="G15" s="88">
        <v>0</v>
      </c>
      <c r="H15" s="88">
        <v>24</v>
      </c>
      <c r="I15" s="90" t="e">
        <f t="shared" si="4"/>
        <v>#REF!</v>
      </c>
      <c r="J15" s="91" t="e">
        <f t="shared" si="5"/>
        <v>#REF!</v>
      </c>
      <c r="K15" s="91">
        <v>42.75</v>
      </c>
      <c r="L15" s="88" t="e">
        <f t="shared" si="6"/>
        <v>#REF!</v>
      </c>
      <c r="M15" s="88" t="e">
        <f t="shared" si="7"/>
        <v>#REF!</v>
      </c>
      <c r="N15" s="88" t="e">
        <f t="shared" si="8"/>
        <v>#REF!</v>
      </c>
      <c r="O15" s="88"/>
    </row>
    <row r="16" spans="1:15" ht="15" x14ac:dyDescent="0.25">
      <c r="C16" s="12">
        <v>16.27</v>
      </c>
      <c r="D16" s="88">
        <v>0.9</v>
      </c>
      <c r="E16" s="89" t="e">
        <f>IFERROR(
_xlfn.XLOOKUP(
B16,#REF!,#REF!
),
_xlfn.XLOOKUP(
A16,#REF!,#REF!
)
)</f>
        <v>#REF!</v>
      </c>
      <c r="F16" s="88" t="str">
        <f>IFERROR(
VLOOKUP(
B16,#REF!,
6,
FALSE
),
""
)</f>
        <v/>
      </c>
      <c r="G16" s="88">
        <v>0</v>
      </c>
      <c r="H16" s="88">
        <v>24</v>
      </c>
      <c r="I16" s="90" t="e">
        <f t="shared" si="4"/>
        <v>#REF!</v>
      </c>
      <c r="J16" s="91" t="e">
        <f t="shared" si="5"/>
        <v>#REF!</v>
      </c>
      <c r="K16" s="91">
        <v>43.75</v>
      </c>
      <c r="L16" s="88" t="e">
        <f t="shared" si="6"/>
        <v>#REF!</v>
      </c>
      <c r="M16" s="88" t="e">
        <f t="shared" si="7"/>
        <v>#REF!</v>
      </c>
      <c r="N16" s="88" t="e">
        <f t="shared" si="8"/>
        <v>#REF!</v>
      </c>
      <c r="O16" s="88"/>
    </row>
    <row r="17" spans="3:15" ht="15" x14ac:dyDescent="0.25">
      <c r="C17" s="12">
        <v>16.27</v>
      </c>
      <c r="D17" s="88">
        <v>0.9</v>
      </c>
      <c r="E17" s="89" t="e">
        <f>IFERROR(
_xlfn.XLOOKUP(
B17,#REF!,#REF!
),
_xlfn.XLOOKUP(
A17,#REF!,#REF!
)
)</f>
        <v>#REF!</v>
      </c>
      <c r="F17" s="88" t="str">
        <f>IFERROR(
VLOOKUP(
B17,#REF!,
6,
FALSE
),
""
)</f>
        <v/>
      </c>
      <c r="G17" s="88">
        <v>0</v>
      </c>
      <c r="H17" s="88">
        <v>24</v>
      </c>
      <c r="I17" s="90" t="e">
        <f t="shared" si="4"/>
        <v>#REF!</v>
      </c>
      <c r="J17" s="91" t="e">
        <f t="shared" si="5"/>
        <v>#REF!</v>
      </c>
      <c r="K17" s="91">
        <v>44.75</v>
      </c>
      <c r="L17" s="88" t="e">
        <f t="shared" si="6"/>
        <v>#REF!</v>
      </c>
      <c r="M17" s="88" t="e">
        <f t="shared" si="7"/>
        <v>#REF!</v>
      </c>
      <c r="N17" s="88" t="e">
        <f t="shared" si="8"/>
        <v>#REF!</v>
      </c>
      <c r="O17" s="88"/>
    </row>
    <row r="18" spans="3:15" ht="15" x14ac:dyDescent="0.25">
      <c r="C18" s="12">
        <v>16.27</v>
      </c>
      <c r="D18" s="88">
        <v>0.9</v>
      </c>
      <c r="E18" s="89" t="e">
        <f>IFERROR(
_xlfn.XLOOKUP(
B18,#REF!,#REF!
),
_xlfn.XLOOKUP(
A18,#REF!,#REF!
)
)</f>
        <v>#REF!</v>
      </c>
      <c r="F18" s="88" t="str">
        <f>IFERROR(
VLOOKUP(
B18,#REF!,
6,
FALSE
),
""
)</f>
        <v/>
      </c>
      <c r="G18" s="88">
        <v>0</v>
      </c>
      <c r="H18" s="88">
        <v>24</v>
      </c>
      <c r="I18" s="90" t="e">
        <f t="shared" si="4"/>
        <v>#REF!</v>
      </c>
      <c r="J18" s="91" t="e">
        <f t="shared" si="5"/>
        <v>#REF!</v>
      </c>
      <c r="K18" s="91">
        <v>45.75</v>
      </c>
      <c r="L18" s="88" t="e">
        <f t="shared" si="6"/>
        <v>#REF!</v>
      </c>
      <c r="M18" s="88" t="e">
        <f t="shared" si="7"/>
        <v>#REF!</v>
      </c>
      <c r="N18" s="88" t="e">
        <f t="shared" si="8"/>
        <v>#REF!</v>
      </c>
      <c r="O18" s="88"/>
    </row>
    <row r="19" spans="3:15" ht="15" x14ac:dyDescent="0.25">
      <c r="C19" s="12">
        <v>16.27</v>
      </c>
      <c r="D19" s="88">
        <v>0.9</v>
      </c>
      <c r="E19" s="89" t="e">
        <f>IFERROR(
_xlfn.XLOOKUP(
B19,#REF!,#REF!
),
_xlfn.XLOOKUP(
A19,#REF!,#REF!
)
)</f>
        <v>#REF!</v>
      </c>
      <c r="F19" s="88" t="str">
        <f>IFERROR(
VLOOKUP(
B19,#REF!,
6,
FALSE
),
""
)</f>
        <v/>
      </c>
      <c r="G19" s="88">
        <v>0</v>
      </c>
      <c r="H19" s="88">
        <v>24</v>
      </c>
      <c r="I19" s="90" t="e">
        <f t="shared" si="4"/>
        <v>#REF!</v>
      </c>
      <c r="J19" s="91" t="e">
        <f t="shared" si="5"/>
        <v>#REF!</v>
      </c>
      <c r="K19" s="91">
        <v>46.75</v>
      </c>
      <c r="L19" s="88" t="e">
        <f t="shared" si="6"/>
        <v>#REF!</v>
      </c>
      <c r="M19" s="88" t="e">
        <f t="shared" si="7"/>
        <v>#REF!</v>
      </c>
      <c r="N19" s="88" t="e">
        <f t="shared" si="8"/>
        <v>#REF!</v>
      </c>
      <c r="O19" s="88"/>
    </row>
    <row r="20" spans="3:15" ht="15" x14ac:dyDescent="0.25">
      <c r="C20" s="12">
        <v>16.27</v>
      </c>
      <c r="D20" s="88">
        <v>0.9</v>
      </c>
      <c r="E20" s="89" t="e">
        <f>IFERROR(
_xlfn.XLOOKUP(
B20,#REF!,#REF!
),
_xlfn.XLOOKUP(
A20,#REF!,#REF!
)
)</f>
        <v>#REF!</v>
      </c>
      <c r="F20" s="88" t="str">
        <f>IFERROR(
VLOOKUP(
B20,#REF!,
6,
FALSE
),
""
)</f>
        <v/>
      </c>
      <c r="G20" s="88">
        <v>0</v>
      </c>
      <c r="H20" s="88">
        <v>24</v>
      </c>
      <c r="I20" s="90" t="e">
        <f t="shared" si="4"/>
        <v>#REF!</v>
      </c>
      <c r="J20" s="91" t="e">
        <f t="shared" si="5"/>
        <v>#REF!</v>
      </c>
      <c r="K20" s="91">
        <v>47.75</v>
      </c>
      <c r="L20" s="88" t="e">
        <f t="shared" si="6"/>
        <v>#REF!</v>
      </c>
      <c r="M20" s="88" t="e">
        <f t="shared" si="7"/>
        <v>#REF!</v>
      </c>
      <c r="N20" s="88" t="e">
        <f t="shared" si="8"/>
        <v>#REF!</v>
      </c>
      <c r="O20" s="88"/>
    </row>
    <row r="21" spans="3:15" ht="15" x14ac:dyDescent="0.25">
      <c r="C21" s="12">
        <v>16.27</v>
      </c>
      <c r="D21" s="88">
        <v>0.9</v>
      </c>
      <c r="E21" s="89" t="e">
        <f>IFERROR(
_xlfn.XLOOKUP(
B21,#REF!,#REF!
),
_xlfn.XLOOKUP(
A21,#REF!,#REF!
)
)</f>
        <v>#REF!</v>
      </c>
      <c r="F21" s="88" t="str">
        <f>IFERROR(
VLOOKUP(
B21,#REF!,
6,
FALSE
),
""
)</f>
        <v/>
      </c>
      <c r="G21" s="88">
        <v>0</v>
      </c>
      <c r="H21" s="88">
        <v>24</v>
      </c>
      <c r="I21" s="90" t="e">
        <f t="shared" si="4"/>
        <v>#REF!</v>
      </c>
      <c r="J21" s="91" t="e">
        <f t="shared" si="5"/>
        <v>#REF!</v>
      </c>
      <c r="K21" s="91">
        <v>48.75</v>
      </c>
      <c r="L21" s="88" t="e">
        <f t="shared" si="6"/>
        <v>#REF!</v>
      </c>
      <c r="M21" s="88" t="e">
        <f t="shared" si="7"/>
        <v>#REF!</v>
      </c>
      <c r="N21" s="88" t="e">
        <f t="shared" si="8"/>
        <v>#REF!</v>
      </c>
      <c r="O21" s="88"/>
    </row>
    <row r="22" spans="3:15" ht="15" x14ac:dyDescent="0.25">
      <c r="C22" s="12">
        <v>16.27</v>
      </c>
      <c r="D22" s="88">
        <v>0.9</v>
      </c>
      <c r="E22" s="89" t="e">
        <f>IFERROR(
_xlfn.XLOOKUP(
B22,#REF!,#REF!
),
_xlfn.XLOOKUP(
A22,#REF!,#REF!
)
)</f>
        <v>#REF!</v>
      </c>
      <c r="F22" s="88" t="str">
        <f>IFERROR(
VLOOKUP(
B22,#REF!,
6,
FALSE
),
""
)</f>
        <v/>
      </c>
      <c r="G22" s="88">
        <v>0</v>
      </c>
      <c r="H22" s="88">
        <v>24</v>
      </c>
      <c r="I22" s="90" t="e">
        <f t="shared" si="4"/>
        <v>#REF!</v>
      </c>
      <c r="J22" s="91" t="e">
        <f t="shared" si="5"/>
        <v>#REF!</v>
      </c>
      <c r="K22" s="91">
        <v>49.75</v>
      </c>
      <c r="L22" s="88" t="e">
        <f t="shared" si="6"/>
        <v>#REF!</v>
      </c>
      <c r="M22" s="88" t="e">
        <f t="shared" si="7"/>
        <v>#REF!</v>
      </c>
      <c r="N22" s="88" t="e">
        <f t="shared" si="8"/>
        <v>#REF!</v>
      </c>
      <c r="O22" s="88"/>
    </row>
    <row r="23" spans="3:15" ht="15" x14ac:dyDescent="0.25">
      <c r="C23" s="12">
        <v>16.27</v>
      </c>
      <c r="D23" s="88">
        <v>0.9</v>
      </c>
      <c r="E23" s="89" t="e">
        <f>IFERROR(
_xlfn.XLOOKUP(
B23,#REF!,#REF!
),
_xlfn.XLOOKUP(
A23,#REF!,#REF!
)
)</f>
        <v>#REF!</v>
      </c>
      <c r="F23" s="88" t="str">
        <f>IFERROR(
VLOOKUP(
B23,#REF!,
6,
FALSE
),
""
)</f>
        <v/>
      </c>
      <c r="G23" s="88">
        <v>0</v>
      </c>
      <c r="H23" s="88">
        <v>24</v>
      </c>
      <c r="I23" s="90" t="e">
        <f t="shared" si="4"/>
        <v>#REF!</v>
      </c>
      <c r="J23" s="91" t="e">
        <f t="shared" si="5"/>
        <v>#REF!</v>
      </c>
      <c r="K23" s="91">
        <v>50.75</v>
      </c>
      <c r="L23" s="88" t="e">
        <f t="shared" si="6"/>
        <v>#REF!</v>
      </c>
      <c r="M23" s="88" t="e">
        <f t="shared" si="7"/>
        <v>#REF!</v>
      </c>
      <c r="N23" s="88" t="e">
        <f t="shared" si="8"/>
        <v>#REF!</v>
      </c>
      <c r="O23" s="88"/>
    </row>
    <row r="24" spans="3:15" ht="15" x14ac:dyDescent="0.25">
      <c r="C24" s="12">
        <v>16.27</v>
      </c>
      <c r="D24" s="88">
        <v>0.9</v>
      </c>
      <c r="E24" s="89" t="e">
        <f>IFERROR(
_xlfn.XLOOKUP(
B24,#REF!,#REF!
),
_xlfn.XLOOKUP(
A24,#REF!,#REF!
)
)</f>
        <v>#REF!</v>
      </c>
      <c r="F24" s="88" t="str">
        <f>IFERROR(
VLOOKUP(
B24,#REF!,
6,
FALSE
),
""
)</f>
        <v/>
      </c>
      <c r="G24" s="88">
        <v>0</v>
      </c>
      <c r="H24" s="88">
        <v>24</v>
      </c>
      <c r="I24" s="90" t="e">
        <f t="shared" si="4"/>
        <v>#REF!</v>
      </c>
      <c r="J24" s="91" t="e">
        <f t="shared" si="5"/>
        <v>#REF!</v>
      </c>
      <c r="K24" s="91">
        <v>51.75</v>
      </c>
      <c r="L24" s="88" t="e">
        <f t="shared" si="6"/>
        <v>#REF!</v>
      </c>
      <c r="M24" s="88" t="e">
        <f t="shared" si="7"/>
        <v>#REF!</v>
      </c>
      <c r="N24" s="88" t="e">
        <f t="shared" si="8"/>
        <v>#REF!</v>
      </c>
      <c r="O24" s="88"/>
    </row>
    <row r="25" spans="3:15" ht="15" x14ac:dyDescent="0.25">
      <c r="C25" s="12">
        <v>16.27</v>
      </c>
      <c r="D25" s="88">
        <v>0.9</v>
      </c>
      <c r="E25" s="89" t="e">
        <f>IFERROR(
_xlfn.XLOOKUP(
B25,#REF!,#REF!
),
_xlfn.XLOOKUP(
A25,#REF!,#REF!
)
)</f>
        <v>#REF!</v>
      </c>
      <c r="F25" s="88" t="str">
        <f>IFERROR(
VLOOKUP(
B25,#REF!,
6,
FALSE
),
""
)</f>
        <v/>
      </c>
      <c r="G25" s="88">
        <v>0</v>
      </c>
      <c r="H25" s="88">
        <v>24</v>
      </c>
      <c r="I25" s="90" t="e">
        <f t="shared" si="4"/>
        <v>#REF!</v>
      </c>
      <c r="J25" s="91" t="e">
        <f t="shared" si="5"/>
        <v>#REF!</v>
      </c>
      <c r="K25" s="91">
        <v>52.75</v>
      </c>
      <c r="L25" s="88" t="e">
        <f t="shared" si="6"/>
        <v>#REF!</v>
      </c>
      <c r="M25" s="88" t="e">
        <f t="shared" si="7"/>
        <v>#REF!</v>
      </c>
      <c r="N25" s="88" t="e">
        <f t="shared" si="8"/>
        <v>#REF!</v>
      </c>
      <c r="O25" s="88"/>
    </row>
    <row r="26" spans="3:15" ht="15" x14ac:dyDescent="0.25">
      <c r="C26" s="12">
        <v>16.27</v>
      </c>
      <c r="D26" s="88">
        <v>0.9</v>
      </c>
      <c r="E26" s="89" t="e">
        <f>IFERROR(
_xlfn.XLOOKUP(
B26,#REF!,#REF!
),
_xlfn.XLOOKUP(
A26,#REF!,#REF!
)
)</f>
        <v>#REF!</v>
      </c>
      <c r="F26" s="88" t="str">
        <f>IFERROR(
VLOOKUP(
B26,#REF!,
6,
FALSE
),
""
)</f>
        <v/>
      </c>
      <c r="G26" s="88">
        <v>0</v>
      </c>
      <c r="H26" s="88">
        <v>24</v>
      </c>
      <c r="I26" s="90" t="e">
        <f t="shared" si="4"/>
        <v>#REF!</v>
      </c>
      <c r="J26" s="91" t="e">
        <f t="shared" si="5"/>
        <v>#REF!</v>
      </c>
      <c r="K26" s="91">
        <v>53.75</v>
      </c>
      <c r="L26" s="88" t="e">
        <f t="shared" si="6"/>
        <v>#REF!</v>
      </c>
      <c r="M26" s="88" t="e">
        <f t="shared" si="7"/>
        <v>#REF!</v>
      </c>
      <c r="N26" s="88" t="e">
        <f t="shared" si="8"/>
        <v>#REF!</v>
      </c>
      <c r="O26" s="88"/>
    </row>
    <row r="27" spans="3:15" ht="15" x14ac:dyDescent="0.25">
      <c r="C27" s="12">
        <v>16.27</v>
      </c>
      <c r="D27" s="88">
        <v>0.9</v>
      </c>
      <c r="E27" s="89" t="e">
        <f>IFERROR(
_xlfn.XLOOKUP(
B27,#REF!,#REF!
),
_xlfn.XLOOKUP(
A27,#REF!,#REF!
)
)</f>
        <v>#REF!</v>
      </c>
      <c r="F27" s="88" t="str">
        <f>IFERROR(
VLOOKUP(
B27,#REF!,
6,
FALSE
),
""
)</f>
        <v/>
      </c>
      <c r="G27" s="88">
        <v>0</v>
      </c>
      <c r="H27" s="88">
        <v>24</v>
      </c>
      <c r="I27" s="90" t="e">
        <f t="shared" si="4"/>
        <v>#REF!</v>
      </c>
      <c r="J27" s="91" t="e">
        <f t="shared" si="5"/>
        <v>#REF!</v>
      </c>
      <c r="K27" s="91">
        <v>54.75</v>
      </c>
      <c r="L27" s="88" t="e">
        <f t="shared" si="6"/>
        <v>#REF!</v>
      </c>
      <c r="M27" s="88" t="e">
        <f t="shared" si="7"/>
        <v>#REF!</v>
      </c>
      <c r="N27" s="88" t="e">
        <f t="shared" si="8"/>
        <v>#REF!</v>
      </c>
      <c r="O27" s="88"/>
    </row>
    <row r="28" spans="3:15" ht="15" x14ac:dyDescent="0.25">
      <c r="C28" s="12">
        <v>16.27</v>
      </c>
      <c r="D28" s="88">
        <v>0.9</v>
      </c>
      <c r="E28" s="89" t="e">
        <f>IFERROR(
_xlfn.XLOOKUP(
B28,#REF!,#REF!
),
_xlfn.XLOOKUP(
A28,#REF!,#REF!
)
)</f>
        <v>#REF!</v>
      </c>
      <c r="F28" s="88" t="str">
        <f>IFERROR(
VLOOKUP(
B28,#REF!,
6,
FALSE
),
""
)</f>
        <v/>
      </c>
      <c r="G28" s="88">
        <v>0</v>
      </c>
      <c r="H28" s="88">
        <v>24</v>
      </c>
      <c r="I28" s="90" t="e">
        <f t="shared" si="4"/>
        <v>#REF!</v>
      </c>
      <c r="J28" s="91" t="e">
        <f t="shared" si="5"/>
        <v>#REF!</v>
      </c>
      <c r="K28" s="91">
        <v>55.75</v>
      </c>
      <c r="L28" s="88" t="e">
        <f t="shared" si="6"/>
        <v>#REF!</v>
      </c>
      <c r="M28" s="88" t="e">
        <f t="shared" si="7"/>
        <v>#REF!</v>
      </c>
      <c r="N28" s="88" t="e">
        <f t="shared" si="8"/>
        <v>#REF!</v>
      </c>
      <c r="O28" s="88"/>
    </row>
    <row r="29" spans="3:15" ht="15" x14ac:dyDescent="0.25">
      <c r="C29" s="12">
        <v>16.27</v>
      </c>
      <c r="D29" s="88">
        <v>0.9</v>
      </c>
      <c r="E29" s="89" t="e">
        <f>IFERROR(
_xlfn.XLOOKUP(
B29,#REF!,#REF!
),
_xlfn.XLOOKUP(
A29,#REF!,#REF!
)
)</f>
        <v>#REF!</v>
      </c>
      <c r="F29" s="88" t="str">
        <f>IFERROR(
VLOOKUP(
B29,#REF!,
6,
FALSE
),
""
)</f>
        <v/>
      </c>
      <c r="G29" s="88">
        <v>0</v>
      </c>
      <c r="H29" s="88">
        <v>24</v>
      </c>
      <c r="I29" s="90" t="e">
        <f t="shared" si="4"/>
        <v>#REF!</v>
      </c>
      <c r="J29" s="91" t="e">
        <f t="shared" si="5"/>
        <v>#REF!</v>
      </c>
      <c r="K29" s="91">
        <v>56.75</v>
      </c>
      <c r="L29" s="88" t="e">
        <f t="shared" si="6"/>
        <v>#REF!</v>
      </c>
      <c r="M29" s="88" t="e">
        <f t="shared" si="7"/>
        <v>#REF!</v>
      </c>
      <c r="N29" s="88" t="e">
        <f t="shared" si="8"/>
        <v>#REF!</v>
      </c>
      <c r="O29" s="88"/>
    </row>
    <row r="30" spans="3:15" ht="15" x14ac:dyDescent="0.25">
      <c r="C30" s="12">
        <v>16.27</v>
      </c>
      <c r="D30" s="88">
        <v>0.9</v>
      </c>
      <c r="E30" s="89" t="e">
        <f>IFERROR(
_xlfn.XLOOKUP(
B30,#REF!,#REF!
),
_xlfn.XLOOKUP(
A30,#REF!,#REF!
)
)</f>
        <v>#REF!</v>
      </c>
      <c r="F30" s="88" t="str">
        <f>IFERROR(
VLOOKUP(
B30,#REF!,
6,
FALSE
),
""
)</f>
        <v/>
      </c>
      <c r="G30" s="88">
        <v>0</v>
      </c>
      <c r="H30" s="88">
        <v>24</v>
      </c>
      <c r="I30" s="90" t="e">
        <f t="shared" si="4"/>
        <v>#REF!</v>
      </c>
      <c r="J30" s="91" t="e">
        <f t="shared" si="5"/>
        <v>#REF!</v>
      </c>
      <c r="K30" s="91">
        <v>57.75</v>
      </c>
      <c r="L30" s="88" t="e">
        <f t="shared" si="6"/>
        <v>#REF!</v>
      </c>
      <c r="M30" s="88" t="e">
        <f t="shared" si="7"/>
        <v>#REF!</v>
      </c>
      <c r="N30" s="88" t="e">
        <f t="shared" si="8"/>
        <v>#REF!</v>
      </c>
      <c r="O30" s="88"/>
    </row>
    <row r="31" spans="3:15" ht="15" x14ac:dyDescent="0.25">
      <c r="C31" s="12">
        <v>16.27</v>
      </c>
      <c r="D31" s="88">
        <v>0.9</v>
      </c>
      <c r="E31" s="89" t="e">
        <f>IFERROR(
_xlfn.XLOOKUP(
B31,#REF!,#REF!
),
_xlfn.XLOOKUP(
A31,#REF!,#REF!
)
)</f>
        <v>#REF!</v>
      </c>
      <c r="F31" s="88" t="str">
        <f>IFERROR(
VLOOKUP(
B31,#REF!,
6,
FALSE
),
""
)</f>
        <v/>
      </c>
      <c r="G31" s="88">
        <v>0</v>
      </c>
      <c r="H31" s="88">
        <v>24</v>
      </c>
      <c r="I31" s="90" t="e">
        <f t="shared" si="4"/>
        <v>#REF!</v>
      </c>
      <c r="J31" s="91" t="e">
        <f t="shared" si="5"/>
        <v>#REF!</v>
      </c>
      <c r="K31" s="91">
        <v>58.75</v>
      </c>
      <c r="L31" s="88" t="e">
        <f t="shared" si="6"/>
        <v>#REF!</v>
      </c>
      <c r="M31" s="88" t="e">
        <f t="shared" si="7"/>
        <v>#REF!</v>
      </c>
      <c r="N31" s="88" t="e">
        <f t="shared" si="8"/>
        <v>#REF!</v>
      </c>
      <c r="O31" s="88"/>
    </row>
    <row r="32" spans="3:15" ht="15" x14ac:dyDescent="0.25">
      <c r="C32" s="12">
        <v>16.27</v>
      </c>
      <c r="D32" s="88">
        <v>0.9</v>
      </c>
      <c r="E32" s="89" t="e">
        <f>IFERROR(
_xlfn.XLOOKUP(
B32,#REF!,#REF!
),
_xlfn.XLOOKUP(
A32,#REF!,#REF!
)
)</f>
        <v>#REF!</v>
      </c>
      <c r="F32" s="88" t="str">
        <f>IFERROR(
VLOOKUP(
B32,#REF!,
6,
FALSE
),
""
)</f>
        <v/>
      </c>
      <c r="G32" s="88">
        <v>0</v>
      </c>
      <c r="H32" s="88">
        <v>24</v>
      </c>
      <c r="I32" s="90" t="e">
        <f t="shared" si="4"/>
        <v>#REF!</v>
      </c>
      <c r="J32" s="91" t="e">
        <f t="shared" si="5"/>
        <v>#REF!</v>
      </c>
      <c r="K32" s="91">
        <v>59.75</v>
      </c>
      <c r="L32" s="88" t="e">
        <f t="shared" si="6"/>
        <v>#REF!</v>
      </c>
      <c r="M32" s="88" t="e">
        <f t="shared" si="7"/>
        <v>#REF!</v>
      </c>
      <c r="N32" s="88" t="e">
        <f t="shared" si="8"/>
        <v>#REF!</v>
      </c>
      <c r="O32" s="88"/>
    </row>
    <row r="33" spans="3:15" ht="15" x14ac:dyDescent="0.25">
      <c r="C33" s="12">
        <v>16.27</v>
      </c>
      <c r="D33" s="88">
        <v>0.9</v>
      </c>
      <c r="E33" s="89" t="e">
        <f>IFERROR(
_xlfn.XLOOKUP(
B33,#REF!,#REF!
),
_xlfn.XLOOKUP(
A33,#REF!,#REF!
)
)</f>
        <v>#REF!</v>
      </c>
      <c r="F33" s="88" t="str">
        <f>IFERROR(
VLOOKUP(
B33,#REF!,
6,
FALSE
),
""
)</f>
        <v/>
      </c>
      <c r="G33" s="88">
        <v>0</v>
      </c>
      <c r="H33" s="88">
        <v>24</v>
      </c>
      <c r="I33" s="90" t="e">
        <f t="shared" si="4"/>
        <v>#REF!</v>
      </c>
      <c r="J33" s="91" t="e">
        <f t="shared" si="5"/>
        <v>#REF!</v>
      </c>
      <c r="K33" s="91">
        <v>60.75</v>
      </c>
      <c r="L33" s="88" t="e">
        <f t="shared" si="6"/>
        <v>#REF!</v>
      </c>
      <c r="M33" s="88" t="e">
        <f t="shared" si="7"/>
        <v>#REF!</v>
      </c>
      <c r="N33" s="88" t="e">
        <f t="shared" si="8"/>
        <v>#REF!</v>
      </c>
      <c r="O33" s="88"/>
    </row>
    <row r="34" spans="3:15" ht="15" x14ac:dyDescent="0.25">
      <c r="C34" s="12">
        <v>16.27</v>
      </c>
      <c r="D34" s="88">
        <v>0.9</v>
      </c>
      <c r="E34" s="89" t="e">
        <f>IFERROR(
_xlfn.XLOOKUP(
B34,#REF!,#REF!
),
_xlfn.XLOOKUP(
A34,#REF!,#REF!
)
)</f>
        <v>#REF!</v>
      </c>
      <c r="F34" s="88" t="str">
        <f>IFERROR(
VLOOKUP(
B34,#REF!,
6,
FALSE
),
""
)</f>
        <v/>
      </c>
      <c r="G34" s="88">
        <v>0</v>
      </c>
      <c r="H34" s="88">
        <v>24</v>
      </c>
      <c r="I34" s="90" t="e">
        <f t="shared" si="4"/>
        <v>#REF!</v>
      </c>
      <c r="J34" s="91" t="e">
        <f t="shared" si="5"/>
        <v>#REF!</v>
      </c>
      <c r="K34" s="91">
        <v>61.75</v>
      </c>
      <c r="L34" s="88" t="e">
        <f t="shared" si="6"/>
        <v>#REF!</v>
      </c>
      <c r="M34" s="88" t="e">
        <f t="shared" si="7"/>
        <v>#REF!</v>
      </c>
      <c r="N34" s="88" t="e">
        <f t="shared" si="8"/>
        <v>#REF!</v>
      </c>
      <c r="O34" s="88"/>
    </row>
    <row r="35" spans="3:15" ht="15" x14ac:dyDescent="0.25">
      <c r="C35" s="12">
        <v>16.27</v>
      </c>
      <c r="D35" s="88">
        <v>0.9</v>
      </c>
      <c r="E35" s="89" t="e">
        <f>IFERROR(
_xlfn.XLOOKUP(
B35,#REF!,#REF!
),
_xlfn.XLOOKUP(
A35,#REF!,#REF!
)
)</f>
        <v>#REF!</v>
      </c>
      <c r="F35" s="88" t="str">
        <f>IFERROR(
VLOOKUP(
B35,#REF!,
6,
FALSE
),
""
)</f>
        <v/>
      </c>
      <c r="G35" s="88">
        <v>0</v>
      </c>
      <c r="H35" s="88">
        <v>24</v>
      </c>
      <c r="I35" s="90" t="e">
        <f t="shared" si="4"/>
        <v>#REF!</v>
      </c>
      <c r="J35" s="91" t="e">
        <f t="shared" si="5"/>
        <v>#REF!</v>
      </c>
      <c r="K35" s="91">
        <v>62.75</v>
      </c>
      <c r="L35" s="88" t="e">
        <f t="shared" si="6"/>
        <v>#REF!</v>
      </c>
      <c r="M35" s="88" t="e">
        <f t="shared" si="7"/>
        <v>#REF!</v>
      </c>
      <c r="N35" s="88" t="e">
        <f t="shared" si="8"/>
        <v>#REF!</v>
      </c>
      <c r="O35" s="88"/>
    </row>
    <row r="36" spans="3:15" ht="15" x14ac:dyDescent="0.25">
      <c r="C36" s="12">
        <v>16.27</v>
      </c>
      <c r="D36" s="88">
        <v>0.9</v>
      </c>
      <c r="E36" s="89" t="e">
        <f>IFERROR(
_xlfn.XLOOKUP(
B36,#REF!,#REF!
),
_xlfn.XLOOKUP(
A36,#REF!,#REF!
)
)</f>
        <v>#REF!</v>
      </c>
      <c r="F36" s="88" t="str">
        <f>IFERROR(
VLOOKUP(
B36,#REF!,
6,
FALSE
),
""
)</f>
        <v/>
      </c>
      <c r="G36" s="88">
        <v>0</v>
      </c>
      <c r="H36" s="88">
        <v>24</v>
      </c>
      <c r="I36" s="90" t="e">
        <f t="shared" si="4"/>
        <v>#REF!</v>
      </c>
      <c r="J36" s="91" t="e">
        <f t="shared" si="5"/>
        <v>#REF!</v>
      </c>
      <c r="K36" s="91">
        <v>63.75</v>
      </c>
      <c r="L36" s="88" t="e">
        <f t="shared" si="6"/>
        <v>#REF!</v>
      </c>
      <c r="M36" s="88" t="e">
        <f t="shared" si="7"/>
        <v>#REF!</v>
      </c>
      <c r="N36" s="88" t="e">
        <f t="shared" si="8"/>
        <v>#REF!</v>
      </c>
      <c r="O36" s="88"/>
    </row>
    <row r="37" spans="3:15" ht="15" x14ac:dyDescent="0.25">
      <c r="C37" s="12">
        <v>16.27</v>
      </c>
      <c r="D37" s="88">
        <v>0.9</v>
      </c>
      <c r="E37" s="89" t="e">
        <f>IFERROR(
_xlfn.XLOOKUP(
B37,#REF!,#REF!
),
_xlfn.XLOOKUP(
A37,#REF!,#REF!
)
)</f>
        <v>#REF!</v>
      </c>
      <c r="F37" s="88" t="str">
        <f>IFERROR(
VLOOKUP(
B37,#REF!,
6,
FALSE
),
""
)</f>
        <v/>
      </c>
      <c r="G37" s="88">
        <v>0</v>
      </c>
      <c r="H37" s="88">
        <v>24</v>
      </c>
      <c r="I37" s="90" t="e">
        <f t="shared" si="4"/>
        <v>#REF!</v>
      </c>
      <c r="J37" s="91" t="e">
        <f t="shared" si="5"/>
        <v>#REF!</v>
      </c>
      <c r="K37" s="91">
        <v>64.75</v>
      </c>
      <c r="L37" s="88" t="e">
        <f t="shared" si="6"/>
        <v>#REF!</v>
      </c>
      <c r="M37" s="88" t="e">
        <f t="shared" si="7"/>
        <v>#REF!</v>
      </c>
      <c r="N37" s="88" t="e">
        <f t="shared" si="8"/>
        <v>#REF!</v>
      </c>
      <c r="O37" s="88"/>
    </row>
    <row r="38" spans="3:15" ht="15" x14ac:dyDescent="0.25">
      <c r="C38" s="12">
        <v>16.27</v>
      </c>
      <c r="D38" s="88">
        <v>0.9</v>
      </c>
      <c r="E38" s="89" t="e">
        <f>IFERROR(
_xlfn.XLOOKUP(
B38,#REF!,#REF!
),
_xlfn.XLOOKUP(
A38,#REF!,#REF!
)
)</f>
        <v>#REF!</v>
      </c>
      <c r="F38" s="88" t="str">
        <f>IFERROR(
VLOOKUP(
B38,#REF!,
6,
FALSE
),
""
)</f>
        <v/>
      </c>
      <c r="G38" s="88">
        <v>0</v>
      </c>
      <c r="H38" s="88">
        <v>24</v>
      </c>
      <c r="I38" s="90" t="e">
        <f t="shared" si="4"/>
        <v>#REF!</v>
      </c>
      <c r="J38" s="91" t="e">
        <f t="shared" si="5"/>
        <v>#REF!</v>
      </c>
      <c r="K38" s="91">
        <v>65.75</v>
      </c>
      <c r="L38" s="88" t="e">
        <f t="shared" si="6"/>
        <v>#REF!</v>
      </c>
      <c r="M38" s="88" t="e">
        <f t="shared" si="7"/>
        <v>#REF!</v>
      </c>
      <c r="N38" s="88" t="e">
        <f t="shared" si="8"/>
        <v>#REF!</v>
      </c>
      <c r="O38" s="88"/>
    </row>
    <row r="39" spans="3:15" ht="15" x14ac:dyDescent="0.25">
      <c r="C39" s="12">
        <v>16.27</v>
      </c>
      <c r="D39" s="88">
        <v>0.9</v>
      </c>
      <c r="E39" s="89" t="e">
        <f>IFERROR(
_xlfn.XLOOKUP(
B39,#REF!,#REF!
),
_xlfn.XLOOKUP(
A39,#REF!,#REF!
)
)</f>
        <v>#REF!</v>
      </c>
      <c r="F39" s="88" t="str">
        <f>IFERROR(
VLOOKUP(
B39,#REF!,
6,
FALSE
),
""
)</f>
        <v/>
      </c>
      <c r="G39" s="88">
        <v>0</v>
      </c>
      <c r="H39" s="88">
        <v>24</v>
      </c>
      <c r="I39" s="90" t="e">
        <f t="shared" si="4"/>
        <v>#REF!</v>
      </c>
      <c r="J39" s="91" t="e">
        <f t="shared" si="5"/>
        <v>#REF!</v>
      </c>
      <c r="K39" s="91">
        <v>66.75</v>
      </c>
      <c r="L39" s="88" t="e">
        <f t="shared" si="6"/>
        <v>#REF!</v>
      </c>
      <c r="M39" s="88" t="e">
        <f t="shared" si="7"/>
        <v>#REF!</v>
      </c>
      <c r="N39" s="88" t="e">
        <f t="shared" si="8"/>
        <v>#REF!</v>
      </c>
      <c r="O39" s="88"/>
    </row>
    <row r="40" spans="3:15" ht="15" x14ac:dyDescent="0.25">
      <c r="C40" s="12">
        <v>16.27</v>
      </c>
      <c r="D40" s="88">
        <v>0.9</v>
      </c>
      <c r="E40" s="89" t="e">
        <f>IFERROR(
_xlfn.XLOOKUP(
B40,#REF!,#REF!
),
_xlfn.XLOOKUP(
A40,#REF!,#REF!
)
)</f>
        <v>#REF!</v>
      </c>
      <c r="F40" s="88" t="str">
        <f>IFERROR(
VLOOKUP(
B40,#REF!,
6,
FALSE
),
""
)</f>
        <v/>
      </c>
      <c r="G40" s="88">
        <v>0</v>
      </c>
      <c r="H40" s="88">
        <v>24</v>
      </c>
      <c r="I40" s="90" t="e">
        <f t="shared" si="4"/>
        <v>#REF!</v>
      </c>
      <c r="J40" s="91" t="e">
        <f t="shared" si="5"/>
        <v>#REF!</v>
      </c>
      <c r="K40" s="91">
        <v>67.75</v>
      </c>
      <c r="L40" s="88" t="e">
        <f t="shared" si="6"/>
        <v>#REF!</v>
      </c>
      <c r="M40" s="88" t="e">
        <f t="shared" si="7"/>
        <v>#REF!</v>
      </c>
      <c r="N40" s="88" t="e">
        <f t="shared" si="8"/>
        <v>#REF!</v>
      </c>
      <c r="O40" s="88"/>
    </row>
    <row r="41" spans="3:15" ht="15" x14ac:dyDescent="0.25">
      <c r="C41" s="12">
        <v>16.27</v>
      </c>
      <c r="D41" s="88">
        <v>0.9</v>
      </c>
      <c r="E41" s="89" t="e">
        <f>IFERROR(
_xlfn.XLOOKUP(
B41,#REF!,#REF!
),
_xlfn.XLOOKUP(
A41,#REF!,#REF!
)
)</f>
        <v>#REF!</v>
      </c>
      <c r="F41" s="88" t="str">
        <f>IFERROR(
VLOOKUP(
B41,#REF!,
6,
FALSE
),
""
)</f>
        <v/>
      </c>
      <c r="G41" s="88">
        <v>0</v>
      </c>
      <c r="H41" s="88">
        <v>24</v>
      </c>
      <c r="I41" s="90" t="e">
        <f t="shared" si="4"/>
        <v>#REF!</v>
      </c>
      <c r="J41" s="91" t="e">
        <f t="shared" si="5"/>
        <v>#REF!</v>
      </c>
      <c r="K41" s="91">
        <v>68.75</v>
      </c>
      <c r="L41" s="88" t="e">
        <f t="shared" si="6"/>
        <v>#REF!</v>
      </c>
      <c r="M41" s="88" t="e">
        <f t="shared" si="7"/>
        <v>#REF!</v>
      </c>
      <c r="N41" s="88" t="e">
        <f t="shared" si="8"/>
        <v>#REF!</v>
      </c>
      <c r="O41" s="88"/>
    </row>
    <row r="42" spans="3:15" ht="15" x14ac:dyDescent="0.25">
      <c r="C42" s="12">
        <v>16.27</v>
      </c>
      <c r="D42" s="88">
        <v>0.9</v>
      </c>
      <c r="E42" s="89" t="e">
        <f>IFERROR(
_xlfn.XLOOKUP(
B42,#REF!,#REF!
),
_xlfn.XLOOKUP(
A42,#REF!,#REF!
)
)</f>
        <v>#REF!</v>
      </c>
      <c r="F42" s="88" t="str">
        <f>IFERROR(
VLOOKUP(
B42,#REF!,
6,
FALSE
),
""
)</f>
        <v/>
      </c>
      <c r="G42" s="88">
        <v>0</v>
      </c>
      <c r="H42" s="88">
        <v>24</v>
      </c>
      <c r="I42" s="90" t="e">
        <f t="shared" si="4"/>
        <v>#REF!</v>
      </c>
      <c r="J42" s="91" t="e">
        <f t="shared" si="5"/>
        <v>#REF!</v>
      </c>
      <c r="K42" s="91">
        <v>69.75</v>
      </c>
      <c r="L42" s="88" t="e">
        <f t="shared" si="6"/>
        <v>#REF!</v>
      </c>
      <c r="M42" s="88" t="e">
        <f t="shared" si="7"/>
        <v>#REF!</v>
      </c>
      <c r="N42" s="88" t="e">
        <f t="shared" si="8"/>
        <v>#REF!</v>
      </c>
      <c r="O42" s="88"/>
    </row>
    <row r="43" spans="3:15" ht="15" x14ac:dyDescent="0.25">
      <c r="C43" s="12">
        <v>16.27</v>
      </c>
      <c r="D43" s="88">
        <v>0.9</v>
      </c>
      <c r="E43" s="89" t="e">
        <f>IFERROR(
_xlfn.XLOOKUP(
B43,#REF!,#REF!
),
_xlfn.XLOOKUP(
A43,#REF!,#REF!
)
)</f>
        <v>#REF!</v>
      </c>
      <c r="F43" s="88" t="str">
        <f>IFERROR(
VLOOKUP(
B43,#REF!,
6,
FALSE
),
""
)</f>
        <v/>
      </c>
      <c r="G43" s="88">
        <v>0</v>
      </c>
      <c r="H43" s="88">
        <v>24</v>
      </c>
      <c r="I43" s="90" t="e">
        <f t="shared" si="4"/>
        <v>#REF!</v>
      </c>
      <c r="J43" s="91" t="e">
        <f t="shared" si="5"/>
        <v>#REF!</v>
      </c>
      <c r="K43" s="91">
        <v>70.75</v>
      </c>
      <c r="L43" s="88" t="e">
        <f t="shared" si="6"/>
        <v>#REF!</v>
      </c>
      <c r="M43" s="88" t="e">
        <f t="shared" si="7"/>
        <v>#REF!</v>
      </c>
      <c r="N43" s="88" t="e">
        <f t="shared" si="8"/>
        <v>#REF!</v>
      </c>
      <c r="O43" s="88"/>
    </row>
    <row r="44" spans="3:15" ht="15" x14ac:dyDescent="0.25">
      <c r="C44" s="12">
        <v>16.27</v>
      </c>
      <c r="D44" s="88">
        <v>0.9</v>
      </c>
      <c r="E44" s="89" t="e">
        <f>IFERROR(
_xlfn.XLOOKUP(
B44,#REF!,#REF!
),
_xlfn.XLOOKUP(
A44,#REF!,#REF!
)
)</f>
        <v>#REF!</v>
      </c>
      <c r="F44" s="88" t="str">
        <f>IFERROR(
VLOOKUP(
B44,#REF!,
6,
FALSE
),
""
)</f>
        <v/>
      </c>
      <c r="G44" s="88">
        <v>0</v>
      </c>
      <c r="H44" s="88">
        <v>24</v>
      </c>
      <c r="I44" s="90" t="e">
        <f t="shared" si="4"/>
        <v>#REF!</v>
      </c>
      <c r="J44" s="91" t="e">
        <f t="shared" si="5"/>
        <v>#REF!</v>
      </c>
      <c r="K44" s="91">
        <v>71.75</v>
      </c>
      <c r="L44" s="88" t="e">
        <f t="shared" si="6"/>
        <v>#REF!</v>
      </c>
      <c r="M44" s="88" t="e">
        <f t="shared" si="7"/>
        <v>#REF!</v>
      </c>
      <c r="N44" s="88" t="e">
        <f t="shared" si="8"/>
        <v>#REF!</v>
      </c>
      <c r="O44" s="88"/>
    </row>
    <row r="45" spans="3:15" ht="15" x14ac:dyDescent="0.25">
      <c r="C45" s="12">
        <v>16.27</v>
      </c>
      <c r="D45" s="88">
        <v>0.9</v>
      </c>
      <c r="E45" s="89" t="e">
        <f>IFERROR(
_xlfn.XLOOKUP(
B45,#REF!,#REF!
),
_xlfn.XLOOKUP(
A45,#REF!,#REF!
)
)</f>
        <v>#REF!</v>
      </c>
      <c r="F45" s="88" t="str">
        <f>IFERROR(
VLOOKUP(
B45,#REF!,
6,
FALSE
),
""
)</f>
        <v/>
      </c>
      <c r="G45" s="88">
        <v>0</v>
      </c>
      <c r="H45" s="88">
        <v>24</v>
      </c>
      <c r="I45" s="90" t="e">
        <f t="shared" si="4"/>
        <v>#REF!</v>
      </c>
      <c r="J45" s="91" t="e">
        <f t="shared" si="5"/>
        <v>#REF!</v>
      </c>
      <c r="K45" s="91">
        <v>72.75</v>
      </c>
      <c r="L45" s="88" t="e">
        <f t="shared" si="6"/>
        <v>#REF!</v>
      </c>
      <c r="M45" s="88" t="e">
        <f t="shared" si="7"/>
        <v>#REF!</v>
      </c>
      <c r="N45" s="88" t="e">
        <f t="shared" si="8"/>
        <v>#REF!</v>
      </c>
      <c r="O45" s="88"/>
    </row>
    <row r="46" spans="3:15" ht="15" x14ac:dyDescent="0.25">
      <c r="C46" s="12">
        <v>16.27</v>
      </c>
      <c r="D46" s="88">
        <v>0.9</v>
      </c>
      <c r="E46" s="89" t="e">
        <f>IFERROR(
_xlfn.XLOOKUP(
B46,#REF!,#REF!
),
_xlfn.XLOOKUP(
A46,#REF!,#REF!
)
)</f>
        <v>#REF!</v>
      </c>
      <c r="F46" s="88" t="str">
        <f>IFERROR(
VLOOKUP(
B46,#REF!,
6,
FALSE
),
""
)</f>
        <v/>
      </c>
      <c r="G46" s="88">
        <v>0</v>
      </c>
      <c r="H46" s="88">
        <v>24</v>
      </c>
      <c r="I46" s="90" t="e">
        <f t="shared" si="4"/>
        <v>#REF!</v>
      </c>
      <c r="J46" s="91" t="e">
        <f t="shared" si="5"/>
        <v>#REF!</v>
      </c>
      <c r="K46" s="91">
        <v>73.75</v>
      </c>
      <c r="L46" s="88" t="e">
        <f t="shared" si="6"/>
        <v>#REF!</v>
      </c>
      <c r="M46" s="88" t="e">
        <f t="shared" si="7"/>
        <v>#REF!</v>
      </c>
      <c r="N46" s="88" t="e">
        <f t="shared" si="8"/>
        <v>#REF!</v>
      </c>
      <c r="O46" s="88"/>
    </row>
    <row r="47" spans="3:15" ht="15" x14ac:dyDescent="0.25">
      <c r="C47" s="12">
        <v>16.27</v>
      </c>
      <c r="D47" s="88">
        <v>0.9</v>
      </c>
      <c r="E47" s="89" t="e">
        <f>IFERROR(
_xlfn.XLOOKUP(
B47,#REF!,#REF!
),
_xlfn.XLOOKUP(
A47,#REF!,#REF!
)
)</f>
        <v>#REF!</v>
      </c>
      <c r="F47" s="88" t="str">
        <f>IFERROR(
VLOOKUP(
B47,#REF!,
6,
FALSE
),
""
)</f>
        <v/>
      </c>
      <c r="G47" s="88">
        <v>0</v>
      </c>
      <c r="H47" s="88">
        <v>24</v>
      </c>
      <c r="I47" s="90" t="e">
        <f t="shared" si="4"/>
        <v>#REF!</v>
      </c>
      <c r="J47" s="91" t="e">
        <f t="shared" si="5"/>
        <v>#REF!</v>
      </c>
      <c r="K47" s="91">
        <v>74.75</v>
      </c>
      <c r="L47" s="88" t="e">
        <f t="shared" si="6"/>
        <v>#REF!</v>
      </c>
      <c r="M47" s="88" t="e">
        <f t="shared" si="7"/>
        <v>#REF!</v>
      </c>
      <c r="N47" s="88" t="e">
        <f t="shared" si="8"/>
        <v>#REF!</v>
      </c>
      <c r="O47" s="88"/>
    </row>
    <row r="48" spans="3:15" ht="15" x14ac:dyDescent="0.25">
      <c r="C48" s="12">
        <v>16.27</v>
      </c>
      <c r="D48" s="88">
        <v>0.9</v>
      </c>
      <c r="E48" s="89" t="e">
        <f>IFERROR(
_xlfn.XLOOKUP(
B48,#REF!,#REF!
),
_xlfn.XLOOKUP(
A48,#REF!,#REF!
)
)</f>
        <v>#REF!</v>
      </c>
      <c r="F48" s="88" t="str">
        <f>IFERROR(
VLOOKUP(
B48,#REF!,
6,
FALSE
),
""
)</f>
        <v/>
      </c>
      <c r="G48" s="88">
        <v>0</v>
      </c>
      <c r="H48" s="88">
        <v>24</v>
      </c>
      <c r="I48" s="90" t="e">
        <f t="shared" si="4"/>
        <v>#REF!</v>
      </c>
      <c r="J48" s="91" t="e">
        <f t="shared" si="5"/>
        <v>#REF!</v>
      </c>
      <c r="K48" s="91">
        <v>75.75</v>
      </c>
      <c r="L48" s="88" t="e">
        <f t="shared" si="6"/>
        <v>#REF!</v>
      </c>
      <c r="M48" s="88" t="e">
        <f t="shared" si="7"/>
        <v>#REF!</v>
      </c>
      <c r="N48" s="88" t="e">
        <f t="shared" si="8"/>
        <v>#REF!</v>
      </c>
      <c r="O48" s="88"/>
    </row>
    <row r="49" spans="3:15" ht="15" x14ac:dyDescent="0.25">
      <c r="C49" s="12">
        <v>16.27</v>
      </c>
      <c r="D49" s="88">
        <v>0.9</v>
      </c>
      <c r="E49" s="89" t="e">
        <f>IFERROR(
_xlfn.XLOOKUP(
B49,#REF!,#REF!
),
_xlfn.XLOOKUP(
A49,#REF!,#REF!
)
)</f>
        <v>#REF!</v>
      </c>
      <c r="F49" s="88" t="str">
        <f>IFERROR(
VLOOKUP(
B49,#REF!,
6,
FALSE
),
""
)</f>
        <v/>
      </c>
      <c r="G49" s="88">
        <v>0</v>
      </c>
      <c r="H49" s="88">
        <v>24</v>
      </c>
      <c r="I49" s="90" t="e">
        <f t="shared" si="4"/>
        <v>#REF!</v>
      </c>
      <c r="J49" s="91" t="e">
        <f t="shared" si="5"/>
        <v>#REF!</v>
      </c>
      <c r="K49" s="91">
        <v>76.75</v>
      </c>
      <c r="L49" s="88" t="e">
        <f t="shared" si="6"/>
        <v>#REF!</v>
      </c>
      <c r="M49" s="88" t="e">
        <f t="shared" si="7"/>
        <v>#REF!</v>
      </c>
      <c r="N49" s="88" t="e">
        <f t="shared" si="8"/>
        <v>#REF!</v>
      </c>
      <c r="O49" s="88"/>
    </row>
    <row r="50" spans="3:15" ht="15" x14ac:dyDescent="0.25">
      <c r="C50" s="12">
        <v>16.27</v>
      </c>
      <c r="D50" s="88">
        <v>0.9</v>
      </c>
      <c r="E50" s="89" t="e">
        <f>IFERROR(
_xlfn.XLOOKUP(
B50,#REF!,#REF!
),
_xlfn.XLOOKUP(
A50,#REF!,#REF!
)
)</f>
        <v>#REF!</v>
      </c>
      <c r="F50" s="88" t="str">
        <f>IFERROR(
VLOOKUP(
B50,#REF!,
6,
FALSE
),
""
)</f>
        <v/>
      </c>
      <c r="G50" s="88">
        <v>0</v>
      </c>
      <c r="H50" s="88">
        <v>24</v>
      </c>
      <c r="I50" s="90" t="e">
        <f t="shared" si="4"/>
        <v>#REF!</v>
      </c>
      <c r="J50" s="91" t="e">
        <f t="shared" si="5"/>
        <v>#REF!</v>
      </c>
      <c r="K50" s="91">
        <v>77.75</v>
      </c>
      <c r="L50" s="88" t="e">
        <f t="shared" si="6"/>
        <v>#REF!</v>
      </c>
      <c r="M50" s="88" t="e">
        <f t="shared" si="7"/>
        <v>#REF!</v>
      </c>
      <c r="N50" s="88" t="e">
        <f t="shared" si="8"/>
        <v>#REF!</v>
      </c>
      <c r="O50" s="88"/>
    </row>
    <row r="51" spans="3:15" ht="15" x14ac:dyDescent="0.25">
      <c r="C51" s="12">
        <v>16.27</v>
      </c>
      <c r="D51" s="88">
        <v>0.9</v>
      </c>
      <c r="E51" s="89" t="e">
        <f>IFERROR(
_xlfn.XLOOKUP(
B51,#REF!,#REF!
),
_xlfn.XLOOKUP(
A51,#REF!,#REF!
)
)</f>
        <v>#REF!</v>
      </c>
      <c r="F51" s="88" t="str">
        <f>IFERROR(
VLOOKUP(
B51,#REF!,
6,
FALSE
),
""
)</f>
        <v/>
      </c>
      <c r="G51" s="88">
        <v>0</v>
      </c>
      <c r="H51" s="88">
        <v>24</v>
      </c>
      <c r="I51" s="90" t="e">
        <f t="shared" si="4"/>
        <v>#REF!</v>
      </c>
      <c r="J51" s="91" t="e">
        <f t="shared" si="5"/>
        <v>#REF!</v>
      </c>
      <c r="K51" s="91">
        <v>78.75</v>
      </c>
      <c r="L51" s="88" t="e">
        <f t="shared" si="6"/>
        <v>#REF!</v>
      </c>
      <c r="M51" s="88" t="e">
        <f t="shared" si="7"/>
        <v>#REF!</v>
      </c>
      <c r="N51" s="88" t="e">
        <f t="shared" si="8"/>
        <v>#REF!</v>
      </c>
      <c r="O51" s="88"/>
    </row>
    <row r="52" spans="3:15" ht="15" x14ac:dyDescent="0.25">
      <c r="C52" s="12">
        <v>16.27</v>
      </c>
      <c r="D52" s="88">
        <v>0.9</v>
      </c>
      <c r="E52" s="89" t="e">
        <f>IFERROR(
_xlfn.XLOOKUP(
B52,#REF!,#REF!
),
_xlfn.XLOOKUP(
A52,#REF!,#REF!
)
)</f>
        <v>#REF!</v>
      </c>
      <c r="F52" s="88" t="str">
        <f>IFERROR(
VLOOKUP(
B52,#REF!,
6,
FALSE
),
""
)</f>
        <v/>
      </c>
      <c r="G52" s="88">
        <v>0</v>
      </c>
      <c r="H52" s="88">
        <v>24</v>
      </c>
      <c r="I52" s="90" t="e">
        <f t="shared" si="4"/>
        <v>#REF!</v>
      </c>
      <c r="J52" s="91" t="e">
        <f t="shared" si="5"/>
        <v>#REF!</v>
      </c>
      <c r="K52" s="91">
        <v>79.75</v>
      </c>
      <c r="L52" s="88" t="e">
        <f t="shared" si="6"/>
        <v>#REF!</v>
      </c>
      <c r="M52" s="88" t="e">
        <f t="shared" si="7"/>
        <v>#REF!</v>
      </c>
      <c r="N52" s="88" t="e">
        <f t="shared" si="8"/>
        <v>#REF!</v>
      </c>
      <c r="O52" s="88"/>
    </row>
    <row r="53" spans="3:15" ht="15" x14ac:dyDescent="0.25">
      <c r="C53" s="12">
        <v>16.27</v>
      </c>
      <c r="D53" s="88">
        <v>0.9</v>
      </c>
      <c r="E53" s="89" t="e">
        <f>IFERROR(
_xlfn.XLOOKUP(
B53,#REF!,#REF!
),
_xlfn.XLOOKUP(
A53,#REF!,#REF!
)
)</f>
        <v>#REF!</v>
      </c>
      <c r="F53" s="88" t="str">
        <f>IFERROR(
VLOOKUP(
B53,#REF!,
6,
FALSE
),
""
)</f>
        <v/>
      </c>
      <c r="G53" s="88">
        <v>0</v>
      </c>
      <c r="H53" s="88">
        <v>24</v>
      </c>
      <c r="I53" s="90" t="e">
        <f t="shared" si="4"/>
        <v>#REF!</v>
      </c>
      <c r="J53" s="91" t="e">
        <f t="shared" si="5"/>
        <v>#REF!</v>
      </c>
      <c r="K53" s="91">
        <v>80.75</v>
      </c>
      <c r="L53" s="88" t="e">
        <f t="shared" si="6"/>
        <v>#REF!</v>
      </c>
      <c r="M53" s="88" t="e">
        <f t="shared" si="7"/>
        <v>#REF!</v>
      </c>
      <c r="N53" s="88" t="e">
        <f t="shared" si="8"/>
        <v>#REF!</v>
      </c>
      <c r="O53" s="88"/>
    </row>
    <row r="54" spans="3:15" ht="15" x14ac:dyDescent="0.25">
      <c r="C54" s="12">
        <v>16.27</v>
      </c>
      <c r="D54" s="88">
        <v>0.9</v>
      </c>
      <c r="E54" s="89" t="e">
        <f>IFERROR(
_xlfn.XLOOKUP(
B54,#REF!,#REF!
),
_xlfn.XLOOKUP(
A54,#REF!,#REF!
)
)</f>
        <v>#REF!</v>
      </c>
      <c r="F54" s="88" t="str">
        <f>IFERROR(
VLOOKUP(
B54,#REF!,
6,
FALSE
),
""
)</f>
        <v/>
      </c>
      <c r="G54" s="88">
        <v>0</v>
      </c>
      <c r="H54" s="88">
        <v>24</v>
      </c>
      <c r="I54" s="90" t="e">
        <f t="shared" si="4"/>
        <v>#REF!</v>
      </c>
      <c r="J54" s="91" t="e">
        <f t="shared" si="5"/>
        <v>#REF!</v>
      </c>
      <c r="K54" s="91">
        <v>81.75</v>
      </c>
      <c r="L54" s="88" t="e">
        <f t="shared" si="6"/>
        <v>#REF!</v>
      </c>
      <c r="M54" s="88" t="e">
        <f t="shared" si="7"/>
        <v>#REF!</v>
      </c>
      <c r="N54" s="88" t="e">
        <f t="shared" si="8"/>
        <v>#REF!</v>
      </c>
      <c r="O54" s="88"/>
    </row>
    <row r="55" spans="3:15" ht="15" x14ac:dyDescent="0.25">
      <c r="C55" s="12">
        <v>16.27</v>
      </c>
      <c r="D55" s="88">
        <v>0.9</v>
      </c>
      <c r="E55" s="89" t="e">
        <f>IFERROR(
_xlfn.XLOOKUP(
B55,#REF!,#REF!
),
_xlfn.XLOOKUP(
A55,#REF!,#REF!
)
)</f>
        <v>#REF!</v>
      </c>
      <c r="F55" s="88" t="str">
        <f>IFERROR(
VLOOKUP(
B55,#REF!,
6,
FALSE
),
""
)</f>
        <v/>
      </c>
      <c r="G55" s="88">
        <v>0</v>
      </c>
      <c r="H55" s="88">
        <v>24</v>
      </c>
      <c r="I55" s="90" t="e">
        <f t="shared" si="4"/>
        <v>#REF!</v>
      </c>
      <c r="J55" s="91" t="e">
        <f t="shared" si="5"/>
        <v>#REF!</v>
      </c>
      <c r="K55" s="91">
        <v>82.75</v>
      </c>
      <c r="L55" s="88" t="e">
        <f t="shared" si="6"/>
        <v>#REF!</v>
      </c>
      <c r="M55" s="88" t="e">
        <f t="shared" si="7"/>
        <v>#REF!</v>
      </c>
      <c r="N55" s="88" t="e">
        <f t="shared" si="8"/>
        <v>#REF!</v>
      </c>
      <c r="O55" s="88"/>
    </row>
    <row r="56" spans="3:15" ht="15" x14ac:dyDescent="0.25">
      <c r="C56" s="12">
        <v>16.27</v>
      </c>
      <c r="D56" s="88">
        <v>0.9</v>
      </c>
      <c r="E56" s="89" t="e">
        <f>IFERROR(
_xlfn.XLOOKUP(
B56,#REF!,#REF!
),
_xlfn.XLOOKUP(
A56,#REF!,#REF!
)
)</f>
        <v>#REF!</v>
      </c>
      <c r="F56" s="88" t="str">
        <f>IFERROR(
VLOOKUP(
B56,#REF!,
6,
FALSE
),
""
)</f>
        <v/>
      </c>
      <c r="G56" s="88">
        <v>0</v>
      </c>
      <c r="H56" s="88">
        <v>24</v>
      </c>
      <c r="I56" s="90" t="e">
        <f t="shared" si="4"/>
        <v>#REF!</v>
      </c>
      <c r="J56" s="91" t="e">
        <f t="shared" si="5"/>
        <v>#REF!</v>
      </c>
      <c r="K56" s="91">
        <v>83.75</v>
      </c>
      <c r="L56" s="88" t="e">
        <f t="shared" si="6"/>
        <v>#REF!</v>
      </c>
      <c r="M56" s="88" t="e">
        <f t="shared" si="7"/>
        <v>#REF!</v>
      </c>
      <c r="N56" s="88" t="e">
        <f t="shared" si="8"/>
        <v>#REF!</v>
      </c>
      <c r="O56" s="88"/>
    </row>
    <row r="57" spans="3:15" ht="15" x14ac:dyDescent="0.25">
      <c r="C57" s="12">
        <v>16.27</v>
      </c>
      <c r="D57" s="88">
        <v>0.9</v>
      </c>
      <c r="E57" s="89" t="e">
        <f>IFERROR(
_xlfn.XLOOKUP(
B57,#REF!,#REF!
),
_xlfn.XLOOKUP(
A57,#REF!,#REF!
)
)</f>
        <v>#REF!</v>
      </c>
      <c r="F57" s="88" t="str">
        <f>IFERROR(
VLOOKUP(
B57,#REF!,
6,
FALSE
),
""
)</f>
        <v/>
      </c>
      <c r="G57" s="88">
        <v>0</v>
      </c>
      <c r="H57" s="88">
        <v>24</v>
      </c>
      <c r="I57" s="90" t="e">
        <f t="shared" si="4"/>
        <v>#REF!</v>
      </c>
      <c r="J57" s="91" t="e">
        <f t="shared" si="5"/>
        <v>#REF!</v>
      </c>
      <c r="K57" s="91">
        <v>84.75</v>
      </c>
      <c r="L57" s="88" t="e">
        <f t="shared" si="6"/>
        <v>#REF!</v>
      </c>
      <c r="M57" s="88" t="e">
        <f t="shared" si="7"/>
        <v>#REF!</v>
      </c>
      <c r="N57" s="88" t="e">
        <f t="shared" si="8"/>
        <v>#REF!</v>
      </c>
      <c r="O57" s="88"/>
    </row>
    <row r="58" spans="3:15" ht="15" x14ac:dyDescent="0.25">
      <c r="C58" s="12">
        <v>16.27</v>
      </c>
      <c r="D58" s="88">
        <v>0.9</v>
      </c>
      <c r="E58" s="89" t="e">
        <f>IFERROR(
_xlfn.XLOOKUP(
B58,#REF!,#REF!
),
_xlfn.XLOOKUP(
A58,#REF!,#REF!
)
)</f>
        <v>#REF!</v>
      </c>
      <c r="F58" s="88" t="str">
        <f>IFERROR(
VLOOKUP(
B58,#REF!,
6,
FALSE
),
""
)</f>
        <v/>
      </c>
      <c r="G58" s="88">
        <v>0</v>
      </c>
      <c r="H58" s="88">
        <v>24</v>
      </c>
      <c r="I58" s="90" t="e">
        <f t="shared" si="4"/>
        <v>#REF!</v>
      </c>
      <c r="J58" s="91" t="e">
        <f t="shared" si="5"/>
        <v>#REF!</v>
      </c>
      <c r="K58" s="91">
        <v>85.75</v>
      </c>
      <c r="L58" s="88" t="e">
        <f t="shared" si="6"/>
        <v>#REF!</v>
      </c>
      <c r="M58" s="88" t="e">
        <f t="shared" si="7"/>
        <v>#REF!</v>
      </c>
      <c r="N58" s="88" t="e">
        <f t="shared" si="8"/>
        <v>#REF!</v>
      </c>
      <c r="O58" s="88"/>
    </row>
    <row r="59" spans="3:15" ht="15" x14ac:dyDescent="0.25">
      <c r="C59" s="12">
        <v>16.27</v>
      </c>
      <c r="D59" s="88">
        <v>0.9</v>
      </c>
      <c r="E59" s="89" t="e">
        <f>IFERROR(
_xlfn.XLOOKUP(
B59,#REF!,#REF!
),
_xlfn.XLOOKUP(
A59,#REF!,#REF!
)
)</f>
        <v>#REF!</v>
      </c>
      <c r="F59" s="88" t="str">
        <f>IFERROR(
VLOOKUP(
B59,#REF!,
6,
FALSE
),
""
)</f>
        <v/>
      </c>
      <c r="G59" s="88">
        <v>0</v>
      </c>
      <c r="H59" s="88">
        <v>24</v>
      </c>
      <c r="I59" s="90" t="e">
        <f t="shared" si="4"/>
        <v>#REF!</v>
      </c>
      <c r="J59" s="91" t="e">
        <f t="shared" si="5"/>
        <v>#REF!</v>
      </c>
      <c r="K59" s="91">
        <v>86.75</v>
      </c>
      <c r="L59" s="88" t="e">
        <f t="shared" si="6"/>
        <v>#REF!</v>
      </c>
      <c r="M59" s="88" t="e">
        <f t="shared" si="7"/>
        <v>#REF!</v>
      </c>
      <c r="N59" s="88" t="e">
        <f t="shared" si="8"/>
        <v>#REF!</v>
      </c>
      <c r="O59" s="88"/>
    </row>
    <row r="60" spans="3:15" ht="15" x14ac:dyDescent="0.25">
      <c r="C60" s="12">
        <v>16.27</v>
      </c>
      <c r="D60" s="88">
        <v>0.9</v>
      </c>
      <c r="E60" s="89" t="e">
        <f>IFERROR(
_xlfn.XLOOKUP(
B60,#REF!,#REF!
),
_xlfn.XLOOKUP(
A60,#REF!,#REF!
)
)</f>
        <v>#REF!</v>
      </c>
      <c r="F60" s="88" t="str">
        <f>IFERROR(
VLOOKUP(
B60,#REF!,
6,
FALSE
),
""
)</f>
        <v/>
      </c>
      <c r="G60" s="88">
        <v>0</v>
      </c>
      <c r="H60" s="88">
        <v>24</v>
      </c>
      <c r="I60" s="90" t="e">
        <f t="shared" si="4"/>
        <v>#REF!</v>
      </c>
      <c r="J60" s="91" t="e">
        <f t="shared" si="5"/>
        <v>#REF!</v>
      </c>
      <c r="K60" s="91">
        <v>87.75</v>
      </c>
      <c r="L60" s="88" t="e">
        <f t="shared" si="6"/>
        <v>#REF!</v>
      </c>
      <c r="M60" s="88" t="e">
        <f t="shared" si="7"/>
        <v>#REF!</v>
      </c>
      <c r="N60" s="88" t="e">
        <f t="shared" si="8"/>
        <v>#REF!</v>
      </c>
      <c r="O60" s="88"/>
    </row>
    <row r="61" spans="3:15" ht="15" x14ac:dyDescent="0.25">
      <c r="C61" s="12">
        <v>16.27</v>
      </c>
      <c r="D61" s="88">
        <v>0.9</v>
      </c>
      <c r="E61" s="89" t="e">
        <f>IFERROR(
_xlfn.XLOOKUP(
B61,#REF!,#REF!
),
_xlfn.XLOOKUP(
A61,#REF!,#REF!
)
)</f>
        <v>#REF!</v>
      </c>
      <c r="F61" s="88" t="str">
        <f>IFERROR(
VLOOKUP(
B61,#REF!,
6,
FALSE
),
""
)</f>
        <v/>
      </c>
      <c r="G61" s="88">
        <v>0</v>
      </c>
      <c r="H61" s="88">
        <v>24</v>
      </c>
      <c r="I61" s="90" t="e">
        <f t="shared" si="4"/>
        <v>#REF!</v>
      </c>
      <c r="J61" s="91" t="e">
        <f t="shared" si="5"/>
        <v>#REF!</v>
      </c>
      <c r="K61" s="91">
        <v>88.75</v>
      </c>
      <c r="L61" s="88" t="e">
        <f t="shared" si="6"/>
        <v>#REF!</v>
      </c>
      <c r="M61" s="88" t="e">
        <f t="shared" si="7"/>
        <v>#REF!</v>
      </c>
      <c r="N61" s="88" t="e">
        <f t="shared" si="8"/>
        <v>#REF!</v>
      </c>
      <c r="O61" s="88"/>
    </row>
    <row r="62" spans="3:15" ht="15" x14ac:dyDescent="0.25">
      <c r="C62" s="12">
        <v>16.27</v>
      </c>
      <c r="D62" s="88">
        <v>0.9</v>
      </c>
      <c r="E62" s="89" t="e">
        <f>IFERROR(
_xlfn.XLOOKUP(
B62,#REF!,#REF!
),
_xlfn.XLOOKUP(
A62,#REF!,#REF!
)
)</f>
        <v>#REF!</v>
      </c>
      <c r="F62" s="88" t="str">
        <f>IFERROR(
VLOOKUP(
B62,#REF!,
6,
FALSE
),
""
)</f>
        <v/>
      </c>
      <c r="G62" s="88">
        <v>0</v>
      </c>
      <c r="H62" s="88">
        <v>24</v>
      </c>
      <c r="I62" s="90" t="e">
        <f t="shared" si="4"/>
        <v>#REF!</v>
      </c>
      <c r="J62" s="91" t="e">
        <f t="shared" si="5"/>
        <v>#REF!</v>
      </c>
      <c r="K62" s="91">
        <v>89.75</v>
      </c>
      <c r="L62" s="88" t="e">
        <f t="shared" si="6"/>
        <v>#REF!</v>
      </c>
      <c r="M62" s="88" t="e">
        <f t="shared" si="7"/>
        <v>#REF!</v>
      </c>
      <c r="N62" s="88" t="e">
        <f t="shared" si="8"/>
        <v>#REF!</v>
      </c>
      <c r="O62" s="88"/>
    </row>
    <row r="63" spans="3:15" ht="15" x14ac:dyDescent="0.25">
      <c r="C63" s="12">
        <v>16.27</v>
      </c>
      <c r="D63" s="88">
        <v>0.9</v>
      </c>
      <c r="E63" s="89" t="e">
        <f>IFERROR(
_xlfn.XLOOKUP(
B63,#REF!,#REF!
),
_xlfn.XLOOKUP(
A63,#REF!,#REF!
)
)</f>
        <v>#REF!</v>
      </c>
      <c r="F63" s="88" t="str">
        <f>IFERROR(
VLOOKUP(
B63,#REF!,
6,
FALSE
),
""
)</f>
        <v/>
      </c>
      <c r="G63" s="88">
        <v>0</v>
      </c>
      <c r="H63" s="88">
        <v>24</v>
      </c>
      <c r="I63" s="90" t="e">
        <f t="shared" si="4"/>
        <v>#REF!</v>
      </c>
      <c r="J63" s="91" t="e">
        <f t="shared" si="5"/>
        <v>#REF!</v>
      </c>
      <c r="K63" s="91">
        <v>90.75</v>
      </c>
      <c r="L63" s="88" t="e">
        <f t="shared" si="6"/>
        <v>#REF!</v>
      </c>
      <c r="M63" s="88" t="e">
        <f t="shared" si="7"/>
        <v>#REF!</v>
      </c>
      <c r="N63" s="88" t="e">
        <f t="shared" si="8"/>
        <v>#REF!</v>
      </c>
      <c r="O63" s="88"/>
    </row>
    <row r="64" spans="3:15" ht="15" x14ac:dyDescent="0.25">
      <c r="C64" s="12">
        <v>16.27</v>
      </c>
      <c r="D64" s="88">
        <v>0.9</v>
      </c>
      <c r="E64" s="89" t="e">
        <f>IFERROR(
_xlfn.XLOOKUP(
B64,#REF!,#REF!
),
_xlfn.XLOOKUP(
A64,#REF!,#REF!
)
)</f>
        <v>#REF!</v>
      </c>
      <c r="F64" s="88" t="str">
        <f>IFERROR(
VLOOKUP(
B64,#REF!,
6,
FALSE
),
""
)</f>
        <v/>
      </c>
      <c r="G64" s="88">
        <v>0</v>
      </c>
      <c r="H64" s="88">
        <v>24</v>
      </c>
      <c r="I64" s="90" t="e">
        <f t="shared" si="4"/>
        <v>#REF!</v>
      </c>
      <c r="J64" s="91" t="e">
        <f t="shared" si="5"/>
        <v>#REF!</v>
      </c>
      <c r="K64" s="91">
        <v>91.75</v>
      </c>
      <c r="L64" s="88" t="e">
        <f t="shared" si="6"/>
        <v>#REF!</v>
      </c>
      <c r="M64" s="88" t="e">
        <f t="shared" si="7"/>
        <v>#REF!</v>
      </c>
      <c r="N64" s="88" t="e">
        <f t="shared" si="8"/>
        <v>#REF!</v>
      </c>
      <c r="O64" s="88"/>
    </row>
    <row r="65" spans="3:15" ht="15" x14ac:dyDescent="0.25">
      <c r="C65" s="12">
        <v>16.27</v>
      </c>
      <c r="D65" s="88">
        <v>0.9</v>
      </c>
      <c r="E65" s="89" t="e">
        <f>IFERROR(
_xlfn.XLOOKUP(
B65,#REF!,#REF!
),
_xlfn.XLOOKUP(
A65,#REF!,#REF!
)
)</f>
        <v>#REF!</v>
      </c>
      <c r="F65" s="88" t="str">
        <f>IFERROR(
VLOOKUP(
B65,#REF!,
6,
FALSE
),
""
)</f>
        <v/>
      </c>
      <c r="G65" s="88">
        <v>0</v>
      </c>
      <c r="H65" s="88">
        <v>24</v>
      </c>
      <c r="I65" s="90" t="e">
        <f t="shared" si="4"/>
        <v>#REF!</v>
      </c>
      <c r="J65" s="91" t="e">
        <f t="shared" si="5"/>
        <v>#REF!</v>
      </c>
      <c r="K65" s="91">
        <v>92.75</v>
      </c>
      <c r="L65" s="88" t="e">
        <f t="shared" si="6"/>
        <v>#REF!</v>
      </c>
      <c r="M65" s="88" t="e">
        <f t="shared" si="7"/>
        <v>#REF!</v>
      </c>
      <c r="N65" s="88" t="e">
        <f t="shared" si="8"/>
        <v>#REF!</v>
      </c>
      <c r="O65" s="88"/>
    </row>
    <row r="66" spans="3:15" ht="15" x14ac:dyDescent="0.25">
      <c r="C66" s="12">
        <v>16.27</v>
      </c>
      <c r="D66" s="88">
        <v>0.9</v>
      </c>
      <c r="E66" s="89" t="e">
        <f>IFERROR(
_xlfn.XLOOKUP(
B66,#REF!,#REF!
),
_xlfn.XLOOKUP(
A66,#REF!,#REF!
)
)</f>
        <v>#REF!</v>
      </c>
      <c r="F66" s="88" t="str">
        <f>IFERROR(
VLOOKUP(
B66,#REF!,
6,
FALSE
),
""
)</f>
        <v/>
      </c>
      <c r="G66" s="88">
        <v>0</v>
      </c>
      <c r="H66" s="88">
        <v>24</v>
      </c>
      <c r="I66" s="90" t="e">
        <f t="shared" si="4"/>
        <v>#REF!</v>
      </c>
      <c r="J66" s="91" t="e">
        <f t="shared" si="5"/>
        <v>#REF!</v>
      </c>
      <c r="K66" s="91">
        <v>93.75</v>
      </c>
      <c r="L66" s="88" t="e">
        <f t="shared" si="6"/>
        <v>#REF!</v>
      </c>
      <c r="M66" s="88" t="e">
        <f t="shared" si="7"/>
        <v>#REF!</v>
      </c>
      <c r="N66" s="88" t="e">
        <f t="shared" si="8"/>
        <v>#REF!</v>
      </c>
      <c r="O66" s="88"/>
    </row>
    <row r="67" spans="3:15" ht="15" x14ac:dyDescent="0.25">
      <c r="C67" s="12">
        <v>16.27</v>
      </c>
      <c r="D67" s="88">
        <v>0.9</v>
      </c>
      <c r="E67" s="89" t="e">
        <f>IFERROR(
_xlfn.XLOOKUP(
B67,#REF!,#REF!
),
_xlfn.XLOOKUP(
A67,#REF!,#REF!
)
)</f>
        <v>#REF!</v>
      </c>
      <c r="F67" s="88" t="str">
        <f>IFERROR(
VLOOKUP(
B67,#REF!,
6,
FALSE
),
""
)</f>
        <v/>
      </c>
      <c r="G67" s="88">
        <v>0</v>
      </c>
      <c r="H67" s="88">
        <v>24</v>
      </c>
      <c r="I67" s="90" t="e">
        <f t="shared" ref="I67:I92" si="9">C67+D67+E67</f>
        <v>#REF!</v>
      </c>
      <c r="J67" s="91" t="e">
        <f t="shared" ref="J67:J92" si="10">(I67+G67) / (1 - F67/100 - (1 - 1/(1 + H67/100)))</f>
        <v>#REF!</v>
      </c>
      <c r="K67" s="91">
        <v>94.75</v>
      </c>
      <c r="L67" s="88" t="e">
        <f t="shared" ref="L67:L92" si="11">J67 * F67 / 100</f>
        <v>#REF!</v>
      </c>
      <c r="M67" s="88" t="e">
        <f t="shared" ref="M67:M92" si="12">J67 - (J67 / (1 + H67/100))</f>
        <v>#REF!</v>
      </c>
      <c r="N67" s="88" t="e">
        <f t="shared" ref="N67:N92" si="13">J67 - L67 - M67</f>
        <v>#REF!</v>
      </c>
      <c r="O67" s="88"/>
    </row>
    <row r="68" spans="3:15" ht="15" x14ac:dyDescent="0.25">
      <c r="C68" s="12">
        <v>16.27</v>
      </c>
      <c r="D68" s="88">
        <v>0.9</v>
      </c>
      <c r="E68" s="89" t="e">
        <f>IFERROR(
_xlfn.XLOOKUP(
B68,#REF!,#REF!
),
_xlfn.XLOOKUP(
A68,#REF!,#REF!
)
)</f>
        <v>#REF!</v>
      </c>
      <c r="F68" s="88" t="str">
        <f>IFERROR(
VLOOKUP(
B68,#REF!,
6,
FALSE
),
""
)</f>
        <v/>
      </c>
      <c r="G68" s="88">
        <v>0</v>
      </c>
      <c r="H68" s="88">
        <v>24</v>
      </c>
      <c r="I68" s="90" t="e">
        <f t="shared" si="9"/>
        <v>#REF!</v>
      </c>
      <c r="J68" s="91" t="e">
        <f t="shared" si="10"/>
        <v>#REF!</v>
      </c>
      <c r="K68" s="91">
        <v>95.75</v>
      </c>
      <c r="L68" s="88" t="e">
        <f t="shared" si="11"/>
        <v>#REF!</v>
      </c>
      <c r="M68" s="88" t="e">
        <f t="shared" si="12"/>
        <v>#REF!</v>
      </c>
      <c r="N68" s="88" t="e">
        <f t="shared" si="13"/>
        <v>#REF!</v>
      </c>
      <c r="O68" s="88"/>
    </row>
    <row r="69" spans="3:15" ht="15" x14ac:dyDescent="0.25">
      <c r="C69" s="12">
        <v>16.27</v>
      </c>
      <c r="D69" s="88">
        <v>0.9</v>
      </c>
      <c r="E69" s="89" t="e">
        <f>IFERROR(
_xlfn.XLOOKUP(
B69,#REF!,#REF!
),
_xlfn.XLOOKUP(
A69,#REF!,#REF!
)
)</f>
        <v>#REF!</v>
      </c>
      <c r="F69" s="88" t="str">
        <f>IFERROR(
VLOOKUP(
B69,#REF!,
6,
FALSE
),
""
)</f>
        <v/>
      </c>
      <c r="G69" s="88">
        <v>0</v>
      </c>
      <c r="H69" s="88">
        <v>24</v>
      </c>
      <c r="I69" s="90" t="e">
        <f t="shared" si="9"/>
        <v>#REF!</v>
      </c>
      <c r="J69" s="91" t="e">
        <f t="shared" si="10"/>
        <v>#REF!</v>
      </c>
      <c r="K69" s="91">
        <v>96.75</v>
      </c>
      <c r="L69" s="88" t="e">
        <f t="shared" si="11"/>
        <v>#REF!</v>
      </c>
      <c r="M69" s="88" t="e">
        <f t="shared" si="12"/>
        <v>#REF!</v>
      </c>
      <c r="N69" s="88" t="e">
        <f t="shared" si="13"/>
        <v>#REF!</v>
      </c>
      <c r="O69" s="88"/>
    </row>
    <row r="70" spans="3:15" ht="15" x14ac:dyDescent="0.25">
      <c r="C70" s="12">
        <v>16.27</v>
      </c>
      <c r="D70" s="88">
        <v>0.9</v>
      </c>
      <c r="E70" s="89" t="e">
        <f>IFERROR(
_xlfn.XLOOKUP(
B70,#REF!,#REF!
),
_xlfn.XLOOKUP(
A70,#REF!,#REF!
)
)</f>
        <v>#REF!</v>
      </c>
      <c r="F70" s="88" t="str">
        <f>IFERROR(
VLOOKUP(
B70,#REF!,
6,
FALSE
),
""
)</f>
        <v/>
      </c>
      <c r="G70" s="88">
        <v>0</v>
      </c>
      <c r="H70" s="88">
        <v>24</v>
      </c>
      <c r="I70" s="90" t="e">
        <f t="shared" si="9"/>
        <v>#REF!</v>
      </c>
      <c r="J70" s="91" t="e">
        <f t="shared" si="10"/>
        <v>#REF!</v>
      </c>
      <c r="K70" s="91">
        <v>97.75</v>
      </c>
      <c r="L70" s="88" t="e">
        <f t="shared" si="11"/>
        <v>#REF!</v>
      </c>
      <c r="M70" s="88" t="e">
        <f t="shared" si="12"/>
        <v>#REF!</v>
      </c>
      <c r="N70" s="88" t="e">
        <f t="shared" si="13"/>
        <v>#REF!</v>
      </c>
      <c r="O70" s="88"/>
    </row>
    <row r="71" spans="3:15" ht="15" x14ac:dyDescent="0.25">
      <c r="C71" s="12">
        <v>16.27</v>
      </c>
      <c r="D71" s="88">
        <v>0.9</v>
      </c>
      <c r="E71" s="89" t="e">
        <f>IFERROR(
_xlfn.XLOOKUP(
B71,#REF!,#REF!
),
_xlfn.XLOOKUP(
A71,#REF!,#REF!
)
)</f>
        <v>#REF!</v>
      </c>
      <c r="F71" s="88" t="str">
        <f>IFERROR(
VLOOKUP(
B71,#REF!,
6,
FALSE
),
""
)</f>
        <v/>
      </c>
      <c r="G71" s="88">
        <v>0</v>
      </c>
      <c r="H71" s="88">
        <v>24</v>
      </c>
      <c r="I71" s="90" t="e">
        <f t="shared" si="9"/>
        <v>#REF!</v>
      </c>
      <c r="J71" s="91" t="e">
        <f t="shared" si="10"/>
        <v>#REF!</v>
      </c>
      <c r="K71" s="91">
        <v>98.75</v>
      </c>
      <c r="L71" s="88" t="e">
        <f t="shared" si="11"/>
        <v>#REF!</v>
      </c>
      <c r="M71" s="88" t="e">
        <f t="shared" si="12"/>
        <v>#REF!</v>
      </c>
      <c r="N71" s="88" t="e">
        <f t="shared" si="13"/>
        <v>#REF!</v>
      </c>
      <c r="O71" s="88"/>
    </row>
    <row r="72" spans="3:15" ht="15" x14ac:dyDescent="0.25">
      <c r="C72" s="12">
        <v>16.27</v>
      </c>
      <c r="D72" s="88">
        <v>0.9</v>
      </c>
      <c r="E72" s="89" t="e">
        <f>IFERROR(
_xlfn.XLOOKUP(
B72,#REF!,#REF!
),
_xlfn.XLOOKUP(
A72,#REF!,#REF!
)
)</f>
        <v>#REF!</v>
      </c>
      <c r="F72" s="88" t="str">
        <f>IFERROR(
VLOOKUP(
B72,#REF!,
6,
FALSE
),
""
)</f>
        <v/>
      </c>
      <c r="G72" s="88">
        <v>0</v>
      </c>
      <c r="H72" s="88">
        <v>24</v>
      </c>
      <c r="I72" s="90" t="e">
        <f t="shared" si="9"/>
        <v>#REF!</v>
      </c>
      <c r="J72" s="91" t="e">
        <f t="shared" si="10"/>
        <v>#REF!</v>
      </c>
      <c r="K72" s="91">
        <v>99.75</v>
      </c>
      <c r="L72" s="88" t="e">
        <f t="shared" si="11"/>
        <v>#REF!</v>
      </c>
      <c r="M72" s="88" t="e">
        <f t="shared" si="12"/>
        <v>#REF!</v>
      </c>
      <c r="N72" s="88" t="e">
        <f t="shared" si="13"/>
        <v>#REF!</v>
      </c>
      <c r="O72" s="88"/>
    </row>
    <row r="73" spans="3:15" ht="15" x14ac:dyDescent="0.25">
      <c r="C73" s="12">
        <v>16.27</v>
      </c>
      <c r="D73" s="88">
        <v>0.9</v>
      </c>
      <c r="E73" s="89" t="e">
        <f>IFERROR(
_xlfn.XLOOKUP(
B73,#REF!,#REF!
),
_xlfn.XLOOKUP(
A73,#REF!,#REF!
)
)</f>
        <v>#REF!</v>
      </c>
      <c r="F73" s="88" t="str">
        <f>IFERROR(
VLOOKUP(
B73,#REF!,
6,
FALSE
),
""
)</f>
        <v/>
      </c>
      <c r="G73" s="88">
        <v>0</v>
      </c>
      <c r="H73" s="88">
        <v>24</v>
      </c>
      <c r="I73" s="90" t="e">
        <f t="shared" si="9"/>
        <v>#REF!</v>
      </c>
      <c r="J73" s="91" t="e">
        <f t="shared" si="10"/>
        <v>#REF!</v>
      </c>
      <c r="K73" s="91">
        <v>100.75</v>
      </c>
      <c r="L73" s="88" t="e">
        <f t="shared" si="11"/>
        <v>#REF!</v>
      </c>
      <c r="M73" s="88" t="e">
        <f t="shared" si="12"/>
        <v>#REF!</v>
      </c>
      <c r="N73" s="88" t="e">
        <f t="shared" si="13"/>
        <v>#REF!</v>
      </c>
      <c r="O73" s="88"/>
    </row>
    <row r="74" spans="3:15" ht="15" x14ac:dyDescent="0.25">
      <c r="C74" s="12">
        <v>16.27</v>
      </c>
      <c r="D74" s="88">
        <v>0.9</v>
      </c>
      <c r="E74" s="89" t="e">
        <f>IFERROR(
_xlfn.XLOOKUP(
B74,#REF!,#REF!
),
_xlfn.XLOOKUP(
A74,#REF!,#REF!
)
)</f>
        <v>#REF!</v>
      </c>
      <c r="F74" s="88" t="str">
        <f>IFERROR(
VLOOKUP(
B74,#REF!,
6,
FALSE
),
""
)</f>
        <v/>
      </c>
      <c r="G74" s="88">
        <v>0</v>
      </c>
      <c r="H74" s="88">
        <v>24</v>
      </c>
      <c r="I74" s="90" t="e">
        <f t="shared" si="9"/>
        <v>#REF!</v>
      </c>
      <c r="J74" s="91" t="e">
        <f t="shared" si="10"/>
        <v>#REF!</v>
      </c>
      <c r="K74" s="91">
        <v>101.75</v>
      </c>
      <c r="L74" s="88" t="e">
        <f t="shared" si="11"/>
        <v>#REF!</v>
      </c>
      <c r="M74" s="88" t="e">
        <f t="shared" si="12"/>
        <v>#REF!</v>
      </c>
      <c r="N74" s="88" t="e">
        <f t="shared" si="13"/>
        <v>#REF!</v>
      </c>
      <c r="O74" s="88"/>
    </row>
    <row r="75" spans="3:15" ht="15" x14ac:dyDescent="0.25">
      <c r="C75" s="12">
        <v>16.27</v>
      </c>
      <c r="D75" s="88">
        <v>0.9</v>
      </c>
      <c r="E75" s="89" t="e">
        <f>IFERROR(
_xlfn.XLOOKUP(
B75,#REF!,#REF!
),
_xlfn.XLOOKUP(
A75,#REF!,#REF!
)
)</f>
        <v>#REF!</v>
      </c>
      <c r="F75" s="88" t="str">
        <f>IFERROR(
VLOOKUP(
B75,#REF!,
6,
FALSE
),
""
)</f>
        <v/>
      </c>
      <c r="G75" s="88">
        <v>0</v>
      </c>
      <c r="H75" s="88">
        <v>24</v>
      </c>
      <c r="I75" s="90" t="e">
        <f t="shared" si="9"/>
        <v>#REF!</v>
      </c>
      <c r="J75" s="91" t="e">
        <f t="shared" si="10"/>
        <v>#REF!</v>
      </c>
      <c r="K75" s="91">
        <v>102.75</v>
      </c>
      <c r="L75" s="88" t="e">
        <f t="shared" si="11"/>
        <v>#REF!</v>
      </c>
      <c r="M75" s="88" t="e">
        <f t="shared" si="12"/>
        <v>#REF!</v>
      </c>
      <c r="N75" s="88" t="e">
        <f t="shared" si="13"/>
        <v>#REF!</v>
      </c>
      <c r="O75" s="88"/>
    </row>
    <row r="76" spans="3:15" ht="15" x14ac:dyDescent="0.25">
      <c r="C76" s="12">
        <v>16.27</v>
      </c>
      <c r="D76" s="88">
        <v>0.9</v>
      </c>
      <c r="E76" s="89" t="e">
        <f>IFERROR(
_xlfn.XLOOKUP(
B76,#REF!,#REF!
),
_xlfn.XLOOKUP(
A76,#REF!,#REF!
)
)</f>
        <v>#REF!</v>
      </c>
      <c r="F76" s="88" t="str">
        <f>IFERROR(
VLOOKUP(
B76,#REF!,
6,
FALSE
),
""
)</f>
        <v/>
      </c>
      <c r="G76" s="88">
        <v>0</v>
      </c>
      <c r="H76" s="88">
        <v>24</v>
      </c>
      <c r="I76" s="90" t="e">
        <f t="shared" si="9"/>
        <v>#REF!</v>
      </c>
      <c r="J76" s="91" t="e">
        <f t="shared" si="10"/>
        <v>#REF!</v>
      </c>
      <c r="K76" s="91">
        <v>103.75</v>
      </c>
      <c r="L76" s="88" t="e">
        <f t="shared" si="11"/>
        <v>#REF!</v>
      </c>
      <c r="M76" s="88" t="e">
        <f t="shared" si="12"/>
        <v>#REF!</v>
      </c>
      <c r="N76" s="88" t="e">
        <f t="shared" si="13"/>
        <v>#REF!</v>
      </c>
      <c r="O76" s="88"/>
    </row>
    <row r="77" spans="3:15" ht="15" x14ac:dyDescent="0.25">
      <c r="C77" s="12">
        <v>16.27</v>
      </c>
      <c r="D77" s="88">
        <v>0.9</v>
      </c>
      <c r="E77" s="89" t="e">
        <f>IFERROR(
_xlfn.XLOOKUP(
B77,#REF!,#REF!
),
_xlfn.XLOOKUP(
A77,#REF!,#REF!
)
)</f>
        <v>#REF!</v>
      </c>
      <c r="F77" s="88" t="str">
        <f>IFERROR(
VLOOKUP(
B77,#REF!,
6,
FALSE
),
""
)</f>
        <v/>
      </c>
      <c r="G77" s="88">
        <v>0</v>
      </c>
      <c r="H77" s="88">
        <v>24</v>
      </c>
      <c r="I77" s="90" t="e">
        <f t="shared" si="9"/>
        <v>#REF!</v>
      </c>
      <c r="J77" s="91" t="e">
        <f t="shared" si="10"/>
        <v>#REF!</v>
      </c>
      <c r="K77" s="91">
        <v>104.75</v>
      </c>
      <c r="L77" s="88" t="e">
        <f t="shared" si="11"/>
        <v>#REF!</v>
      </c>
      <c r="M77" s="88" t="e">
        <f t="shared" si="12"/>
        <v>#REF!</v>
      </c>
      <c r="N77" s="88" t="e">
        <f t="shared" si="13"/>
        <v>#REF!</v>
      </c>
      <c r="O77" s="88"/>
    </row>
    <row r="78" spans="3:15" ht="15" x14ac:dyDescent="0.25">
      <c r="C78" s="12">
        <v>16.27</v>
      </c>
      <c r="D78" s="88">
        <v>0.9</v>
      </c>
      <c r="E78" s="89" t="e">
        <f>IFERROR(
_xlfn.XLOOKUP(
B78,#REF!,#REF!
),
_xlfn.XLOOKUP(
A78,#REF!,#REF!
)
)</f>
        <v>#REF!</v>
      </c>
      <c r="F78" s="88" t="str">
        <f>IFERROR(
VLOOKUP(
B78,#REF!,
6,
FALSE
),
""
)</f>
        <v/>
      </c>
      <c r="G78" s="88">
        <v>0</v>
      </c>
      <c r="H78" s="88">
        <v>24</v>
      </c>
      <c r="I78" s="90" t="e">
        <f t="shared" si="9"/>
        <v>#REF!</v>
      </c>
      <c r="J78" s="91" t="e">
        <f t="shared" si="10"/>
        <v>#REF!</v>
      </c>
      <c r="K78" s="91">
        <v>105.75</v>
      </c>
      <c r="L78" s="88" t="e">
        <f t="shared" si="11"/>
        <v>#REF!</v>
      </c>
      <c r="M78" s="88" t="e">
        <f t="shared" si="12"/>
        <v>#REF!</v>
      </c>
      <c r="N78" s="88" t="e">
        <f t="shared" si="13"/>
        <v>#REF!</v>
      </c>
      <c r="O78" s="88"/>
    </row>
    <row r="79" spans="3:15" ht="15" x14ac:dyDescent="0.25">
      <c r="C79" s="12">
        <v>16.27</v>
      </c>
      <c r="D79" s="88">
        <v>0.9</v>
      </c>
      <c r="E79" s="89" t="e">
        <f>IFERROR(
_xlfn.XLOOKUP(
B79,#REF!,#REF!
),
_xlfn.XLOOKUP(
A79,#REF!,#REF!
)
)</f>
        <v>#REF!</v>
      </c>
      <c r="F79" s="88" t="str">
        <f>IFERROR(
VLOOKUP(
B79,#REF!,
6,
FALSE
),
""
)</f>
        <v/>
      </c>
      <c r="G79" s="88">
        <v>0</v>
      </c>
      <c r="H79" s="88">
        <v>24</v>
      </c>
      <c r="I79" s="90" t="e">
        <f t="shared" si="9"/>
        <v>#REF!</v>
      </c>
      <c r="J79" s="91" t="e">
        <f t="shared" si="10"/>
        <v>#REF!</v>
      </c>
      <c r="K79" s="91">
        <v>106.75</v>
      </c>
      <c r="L79" s="88" t="e">
        <f t="shared" si="11"/>
        <v>#REF!</v>
      </c>
      <c r="M79" s="88" t="e">
        <f t="shared" si="12"/>
        <v>#REF!</v>
      </c>
      <c r="N79" s="88" t="e">
        <f t="shared" si="13"/>
        <v>#REF!</v>
      </c>
      <c r="O79" s="88"/>
    </row>
    <row r="80" spans="3:15" ht="15" x14ac:dyDescent="0.25">
      <c r="C80" s="12">
        <v>16.27</v>
      </c>
      <c r="D80" s="88">
        <v>0.9</v>
      </c>
      <c r="E80" s="89" t="e">
        <f>IFERROR(
_xlfn.XLOOKUP(
B80,#REF!,#REF!
),
_xlfn.XLOOKUP(
A80,#REF!,#REF!
)
)</f>
        <v>#REF!</v>
      </c>
      <c r="F80" s="88" t="str">
        <f>IFERROR(
VLOOKUP(
B80,#REF!,
6,
FALSE
),
""
)</f>
        <v/>
      </c>
      <c r="G80" s="88">
        <v>0</v>
      </c>
      <c r="H80" s="88">
        <v>24</v>
      </c>
      <c r="I80" s="90" t="e">
        <f t="shared" si="9"/>
        <v>#REF!</v>
      </c>
      <c r="J80" s="91" t="e">
        <f t="shared" si="10"/>
        <v>#REF!</v>
      </c>
      <c r="K80" s="91">
        <v>107.75</v>
      </c>
      <c r="L80" s="88" t="e">
        <f t="shared" si="11"/>
        <v>#REF!</v>
      </c>
      <c r="M80" s="88" t="e">
        <f t="shared" si="12"/>
        <v>#REF!</v>
      </c>
      <c r="N80" s="88" t="e">
        <f t="shared" si="13"/>
        <v>#REF!</v>
      </c>
      <c r="O80" s="88"/>
    </row>
    <row r="81" spans="3:15" ht="15" x14ac:dyDescent="0.25">
      <c r="C81" s="12">
        <v>16.27</v>
      </c>
      <c r="D81" s="88">
        <v>0.9</v>
      </c>
      <c r="E81" s="89" t="e">
        <f>IFERROR(
_xlfn.XLOOKUP(
B81,#REF!,#REF!
),
_xlfn.XLOOKUP(
A81,#REF!,#REF!
)
)</f>
        <v>#REF!</v>
      </c>
      <c r="F81" s="88" t="str">
        <f>IFERROR(
VLOOKUP(
B81,#REF!,
6,
FALSE
),
""
)</f>
        <v/>
      </c>
      <c r="G81" s="88">
        <v>0</v>
      </c>
      <c r="H81" s="88">
        <v>24</v>
      </c>
      <c r="I81" s="90" t="e">
        <f t="shared" si="9"/>
        <v>#REF!</v>
      </c>
      <c r="J81" s="91" t="e">
        <f t="shared" si="10"/>
        <v>#REF!</v>
      </c>
      <c r="K81" s="91">
        <v>108.75</v>
      </c>
      <c r="L81" s="88" t="e">
        <f t="shared" si="11"/>
        <v>#REF!</v>
      </c>
      <c r="M81" s="88" t="e">
        <f t="shared" si="12"/>
        <v>#REF!</v>
      </c>
      <c r="N81" s="88" t="e">
        <f t="shared" si="13"/>
        <v>#REF!</v>
      </c>
      <c r="O81" s="88"/>
    </row>
    <row r="82" spans="3:15" ht="15" x14ac:dyDescent="0.25">
      <c r="C82" s="12">
        <v>16.27</v>
      </c>
      <c r="D82" s="88">
        <v>0.9</v>
      </c>
      <c r="E82" s="89" t="e">
        <f>IFERROR(
_xlfn.XLOOKUP(
B82,#REF!,#REF!
),
_xlfn.XLOOKUP(
A82,#REF!,#REF!
)
)</f>
        <v>#REF!</v>
      </c>
      <c r="F82" s="88" t="str">
        <f>IFERROR(
VLOOKUP(
B82,#REF!,
6,
FALSE
),
""
)</f>
        <v/>
      </c>
      <c r="G82" s="88">
        <v>0</v>
      </c>
      <c r="H82" s="88">
        <v>24</v>
      </c>
      <c r="I82" s="90" t="e">
        <f t="shared" si="9"/>
        <v>#REF!</v>
      </c>
      <c r="J82" s="91" t="e">
        <f t="shared" si="10"/>
        <v>#REF!</v>
      </c>
      <c r="K82" s="91">
        <v>109.75</v>
      </c>
      <c r="L82" s="88" t="e">
        <f t="shared" si="11"/>
        <v>#REF!</v>
      </c>
      <c r="M82" s="88" t="e">
        <f t="shared" si="12"/>
        <v>#REF!</v>
      </c>
      <c r="N82" s="88" t="e">
        <f t="shared" si="13"/>
        <v>#REF!</v>
      </c>
      <c r="O82" s="88"/>
    </row>
    <row r="83" spans="3:15" ht="15" x14ac:dyDescent="0.25">
      <c r="C83" s="12">
        <v>16.27</v>
      </c>
      <c r="D83" s="88">
        <v>0.9</v>
      </c>
      <c r="E83" s="89" t="e">
        <f>IFERROR(
_xlfn.XLOOKUP(
B83,#REF!,#REF!
),
_xlfn.XLOOKUP(
A83,#REF!,#REF!
)
)</f>
        <v>#REF!</v>
      </c>
      <c r="F83" s="88" t="str">
        <f>IFERROR(
VLOOKUP(
B83,#REF!,
6,
FALSE
),
""
)</f>
        <v/>
      </c>
      <c r="G83" s="88">
        <v>0</v>
      </c>
      <c r="H83" s="88">
        <v>24</v>
      </c>
      <c r="I83" s="90" t="e">
        <f t="shared" si="9"/>
        <v>#REF!</v>
      </c>
      <c r="J83" s="91" t="e">
        <f t="shared" si="10"/>
        <v>#REF!</v>
      </c>
      <c r="K83" s="91">
        <v>110.75</v>
      </c>
      <c r="L83" s="88" t="e">
        <f t="shared" si="11"/>
        <v>#REF!</v>
      </c>
      <c r="M83" s="88" t="e">
        <f t="shared" si="12"/>
        <v>#REF!</v>
      </c>
      <c r="N83" s="88" t="e">
        <f t="shared" si="13"/>
        <v>#REF!</v>
      </c>
      <c r="O83" s="88"/>
    </row>
    <row r="84" spans="3:15" ht="15" x14ac:dyDescent="0.25">
      <c r="C84" s="12">
        <v>16.27</v>
      </c>
      <c r="D84" s="88">
        <v>0.9</v>
      </c>
      <c r="E84" s="89" t="e">
        <f>IFERROR(
_xlfn.XLOOKUP(
B84,#REF!,#REF!
),
_xlfn.XLOOKUP(
A84,#REF!,#REF!
)
)</f>
        <v>#REF!</v>
      </c>
      <c r="F84" s="88" t="str">
        <f>IFERROR(
VLOOKUP(
B84,#REF!,
6,
FALSE
),
""
)</f>
        <v/>
      </c>
      <c r="G84" s="88">
        <v>0</v>
      </c>
      <c r="H84" s="88">
        <v>24</v>
      </c>
      <c r="I84" s="90" t="e">
        <f t="shared" si="9"/>
        <v>#REF!</v>
      </c>
      <c r="J84" s="91" t="e">
        <f t="shared" si="10"/>
        <v>#REF!</v>
      </c>
      <c r="K84" s="91">
        <v>111.75</v>
      </c>
      <c r="L84" s="88" t="e">
        <f t="shared" si="11"/>
        <v>#REF!</v>
      </c>
      <c r="M84" s="88" t="e">
        <f t="shared" si="12"/>
        <v>#REF!</v>
      </c>
      <c r="N84" s="88" t="e">
        <f t="shared" si="13"/>
        <v>#REF!</v>
      </c>
      <c r="O84" s="88"/>
    </row>
    <row r="85" spans="3:15" ht="15" x14ac:dyDescent="0.25">
      <c r="C85" s="12">
        <v>16.27</v>
      </c>
      <c r="D85" s="88">
        <v>0.9</v>
      </c>
      <c r="E85" s="89" t="e">
        <f>IFERROR(
_xlfn.XLOOKUP(
B85,#REF!,#REF!
),
_xlfn.XLOOKUP(
A85,#REF!,#REF!
)
)</f>
        <v>#REF!</v>
      </c>
      <c r="F85" s="88" t="str">
        <f>IFERROR(
VLOOKUP(
B85,#REF!,
6,
FALSE
),
""
)</f>
        <v/>
      </c>
      <c r="G85" s="88">
        <v>0</v>
      </c>
      <c r="H85" s="88">
        <v>24</v>
      </c>
      <c r="I85" s="90" t="e">
        <f t="shared" si="9"/>
        <v>#REF!</v>
      </c>
      <c r="J85" s="91" t="e">
        <f t="shared" si="10"/>
        <v>#REF!</v>
      </c>
      <c r="K85" s="91">
        <v>112.75</v>
      </c>
      <c r="L85" s="88" t="e">
        <f t="shared" si="11"/>
        <v>#REF!</v>
      </c>
      <c r="M85" s="88" t="e">
        <f t="shared" si="12"/>
        <v>#REF!</v>
      </c>
      <c r="N85" s="88" t="e">
        <f t="shared" si="13"/>
        <v>#REF!</v>
      </c>
      <c r="O85" s="88"/>
    </row>
    <row r="86" spans="3:15" ht="15" x14ac:dyDescent="0.25">
      <c r="C86" s="12">
        <v>16.27</v>
      </c>
      <c r="D86" s="88">
        <v>0.9</v>
      </c>
      <c r="E86" s="89" t="e">
        <f>IFERROR(
_xlfn.XLOOKUP(
B86,#REF!,#REF!
),
_xlfn.XLOOKUP(
A86,#REF!,#REF!
)
)</f>
        <v>#REF!</v>
      </c>
      <c r="F86" s="88" t="str">
        <f>IFERROR(
VLOOKUP(
B86,#REF!,
6,
FALSE
),
""
)</f>
        <v/>
      </c>
      <c r="G86" s="88">
        <v>0</v>
      </c>
      <c r="H86" s="88">
        <v>24</v>
      </c>
      <c r="I86" s="90" t="e">
        <f t="shared" si="9"/>
        <v>#REF!</v>
      </c>
      <c r="J86" s="91" t="e">
        <f t="shared" si="10"/>
        <v>#REF!</v>
      </c>
      <c r="K86" s="91">
        <v>113.75</v>
      </c>
      <c r="L86" s="88" t="e">
        <f t="shared" si="11"/>
        <v>#REF!</v>
      </c>
      <c r="M86" s="88" t="e">
        <f t="shared" si="12"/>
        <v>#REF!</v>
      </c>
      <c r="N86" s="88" t="e">
        <f t="shared" si="13"/>
        <v>#REF!</v>
      </c>
      <c r="O86" s="88"/>
    </row>
    <row r="87" spans="3:15" ht="15" x14ac:dyDescent="0.25">
      <c r="C87" s="12">
        <v>16.27</v>
      </c>
      <c r="D87" s="88">
        <v>0.9</v>
      </c>
      <c r="E87" s="89" t="e">
        <f>IFERROR(
_xlfn.XLOOKUP(
B87,#REF!,#REF!
),
_xlfn.XLOOKUP(
A87,#REF!,#REF!
)
)</f>
        <v>#REF!</v>
      </c>
      <c r="F87" s="88" t="str">
        <f>IFERROR(
VLOOKUP(
B87,#REF!,
6,
FALSE
),
""
)</f>
        <v/>
      </c>
      <c r="G87" s="88">
        <v>0</v>
      </c>
      <c r="H87" s="88">
        <v>24</v>
      </c>
      <c r="I87" s="90" t="e">
        <f t="shared" si="9"/>
        <v>#REF!</v>
      </c>
      <c r="J87" s="91" t="e">
        <f t="shared" si="10"/>
        <v>#REF!</v>
      </c>
      <c r="K87" s="91">
        <v>114.75</v>
      </c>
      <c r="L87" s="88" t="e">
        <f t="shared" si="11"/>
        <v>#REF!</v>
      </c>
      <c r="M87" s="88" t="e">
        <f t="shared" si="12"/>
        <v>#REF!</v>
      </c>
      <c r="N87" s="88" t="e">
        <f t="shared" si="13"/>
        <v>#REF!</v>
      </c>
      <c r="O87" s="88"/>
    </row>
    <row r="88" spans="3:15" ht="15" x14ac:dyDescent="0.25">
      <c r="C88" s="12">
        <v>16.27</v>
      </c>
      <c r="D88" s="88">
        <v>0.9</v>
      </c>
      <c r="E88" s="89" t="e">
        <f>IFERROR(
_xlfn.XLOOKUP(
B88,#REF!,#REF!
),
_xlfn.XLOOKUP(
A88,#REF!,#REF!
)
)</f>
        <v>#REF!</v>
      </c>
      <c r="F88" s="88" t="str">
        <f>IFERROR(
VLOOKUP(
B88,#REF!,
6,
FALSE
),
""
)</f>
        <v/>
      </c>
      <c r="G88" s="88">
        <v>0</v>
      </c>
      <c r="H88" s="88">
        <v>24</v>
      </c>
      <c r="I88" s="90" t="e">
        <f t="shared" si="9"/>
        <v>#REF!</v>
      </c>
      <c r="J88" s="91" t="e">
        <f t="shared" si="10"/>
        <v>#REF!</v>
      </c>
      <c r="K88" s="91">
        <v>115.75</v>
      </c>
      <c r="L88" s="88" t="e">
        <f t="shared" si="11"/>
        <v>#REF!</v>
      </c>
      <c r="M88" s="88" t="e">
        <f t="shared" si="12"/>
        <v>#REF!</v>
      </c>
      <c r="N88" s="88" t="e">
        <f t="shared" si="13"/>
        <v>#REF!</v>
      </c>
      <c r="O88" s="88"/>
    </row>
    <row r="89" spans="3:15" ht="15" x14ac:dyDescent="0.25">
      <c r="C89" s="12">
        <v>16.27</v>
      </c>
      <c r="D89" s="88">
        <v>0.9</v>
      </c>
      <c r="E89" s="89" t="e">
        <f>IFERROR(
_xlfn.XLOOKUP(
B89,#REF!,#REF!
),
_xlfn.XLOOKUP(
A89,#REF!,#REF!
)
)</f>
        <v>#REF!</v>
      </c>
      <c r="F89" s="88" t="str">
        <f>IFERROR(
VLOOKUP(
B89,#REF!,
6,
FALSE
),
""
)</f>
        <v/>
      </c>
      <c r="G89" s="88">
        <v>0</v>
      </c>
      <c r="H89" s="88">
        <v>24</v>
      </c>
      <c r="I89" s="90" t="e">
        <f t="shared" si="9"/>
        <v>#REF!</v>
      </c>
      <c r="J89" s="91" t="e">
        <f t="shared" si="10"/>
        <v>#REF!</v>
      </c>
      <c r="K89" s="91">
        <v>116.75</v>
      </c>
      <c r="L89" s="88" t="e">
        <f t="shared" si="11"/>
        <v>#REF!</v>
      </c>
      <c r="M89" s="88" t="e">
        <f t="shared" si="12"/>
        <v>#REF!</v>
      </c>
      <c r="N89" s="88" t="e">
        <f t="shared" si="13"/>
        <v>#REF!</v>
      </c>
      <c r="O89" s="88"/>
    </row>
    <row r="90" spans="3:15" ht="15" x14ac:dyDescent="0.25">
      <c r="C90" s="12">
        <v>16.27</v>
      </c>
      <c r="D90" s="88">
        <v>0.9</v>
      </c>
      <c r="E90" s="89" t="e">
        <f>IFERROR(
_xlfn.XLOOKUP(
B90,#REF!,#REF!
),
_xlfn.XLOOKUP(
A90,#REF!,#REF!
)
)</f>
        <v>#REF!</v>
      </c>
      <c r="F90" s="88" t="str">
        <f>IFERROR(
VLOOKUP(
B90,#REF!,
6,
FALSE
),
""
)</f>
        <v/>
      </c>
      <c r="G90" s="88">
        <v>0</v>
      </c>
      <c r="H90" s="88">
        <v>24</v>
      </c>
      <c r="I90" s="90" t="e">
        <f t="shared" si="9"/>
        <v>#REF!</v>
      </c>
      <c r="J90" s="91" t="e">
        <f t="shared" si="10"/>
        <v>#REF!</v>
      </c>
      <c r="K90" s="91">
        <v>117.75</v>
      </c>
      <c r="L90" s="88" t="e">
        <f t="shared" si="11"/>
        <v>#REF!</v>
      </c>
      <c r="M90" s="88" t="e">
        <f t="shared" si="12"/>
        <v>#REF!</v>
      </c>
      <c r="N90" s="88" t="e">
        <f t="shared" si="13"/>
        <v>#REF!</v>
      </c>
      <c r="O90" s="88"/>
    </row>
    <row r="91" spans="3:15" ht="15" x14ac:dyDescent="0.25">
      <c r="C91" s="12">
        <v>16.27</v>
      </c>
      <c r="D91" s="88">
        <v>0.9</v>
      </c>
      <c r="E91" s="89" t="e">
        <f>IFERROR(
_xlfn.XLOOKUP(
B91,#REF!,#REF!
),
_xlfn.XLOOKUP(
A91,#REF!,#REF!
)
)</f>
        <v>#REF!</v>
      </c>
      <c r="F91" s="88" t="str">
        <f>IFERROR(
VLOOKUP(
B91,#REF!,
6,
FALSE
),
""
)</f>
        <v/>
      </c>
      <c r="G91" s="88">
        <v>0</v>
      </c>
      <c r="H91" s="88">
        <v>24</v>
      </c>
      <c r="I91" s="90" t="e">
        <f t="shared" si="9"/>
        <v>#REF!</v>
      </c>
      <c r="J91" s="91" t="e">
        <f t="shared" si="10"/>
        <v>#REF!</v>
      </c>
      <c r="K91" s="91">
        <v>118.75</v>
      </c>
      <c r="L91" s="88" t="e">
        <f t="shared" si="11"/>
        <v>#REF!</v>
      </c>
      <c r="M91" s="88" t="e">
        <f t="shared" si="12"/>
        <v>#REF!</v>
      </c>
      <c r="N91" s="88" t="e">
        <f t="shared" si="13"/>
        <v>#REF!</v>
      </c>
      <c r="O91" s="88"/>
    </row>
    <row r="92" spans="3:15" ht="15" x14ac:dyDescent="0.25">
      <c r="C92" s="12">
        <v>16.27</v>
      </c>
      <c r="D92" s="88">
        <v>0.9</v>
      </c>
      <c r="E92" s="89" t="e">
        <f>IFERROR(
_xlfn.XLOOKUP(
B92,#REF!,#REF!
),
_xlfn.XLOOKUP(
A92,#REF!,#REF!
)
)</f>
        <v>#REF!</v>
      </c>
      <c r="F92" s="88" t="str">
        <f>IFERROR(
VLOOKUP(
B92,#REF!,
6,
FALSE
),
""
)</f>
        <v/>
      </c>
      <c r="G92" s="88">
        <v>0</v>
      </c>
      <c r="H92" s="88">
        <v>24</v>
      </c>
      <c r="I92" s="90" t="e">
        <f t="shared" si="9"/>
        <v>#REF!</v>
      </c>
      <c r="J92" s="91" t="e">
        <f t="shared" si="10"/>
        <v>#REF!</v>
      </c>
      <c r="K92" s="91">
        <v>119.75</v>
      </c>
      <c r="L92" s="88" t="e">
        <f t="shared" si="11"/>
        <v>#REF!</v>
      </c>
      <c r="M92" s="88" t="e">
        <f t="shared" si="12"/>
        <v>#REF!</v>
      </c>
      <c r="N92" s="88" t="e">
        <f t="shared" si="13"/>
        <v>#REF!</v>
      </c>
      <c r="O92" s="88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AC45"/>
  <sheetViews>
    <sheetView workbookViewId="0"/>
  </sheetViews>
  <sheetFormatPr defaultColWidth="12.5703125" defaultRowHeight="15.75" customHeight="1" x14ac:dyDescent="0.2"/>
  <cols>
    <col min="1" max="1" width="10.5703125" customWidth="1"/>
    <col min="2" max="2" width="12.5703125" customWidth="1"/>
  </cols>
  <sheetData>
    <row r="1" spans="1:29" ht="17.25" customHeight="1" x14ac:dyDescent="0.2">
      <c r="A1" s="12"/>
      <c r="B1" s="25"/>
      <c r="C1" s="12" t="s">
        <v>542</v>
      </c>
      <c r="D1" s="12"/>
      <c r="E1" s="12" t="s">
        <v>497</v>
      </c>
      <c r="F1" s="12" t="s">
        <v>498</v>
      </c>
      <c r="G1" s="12" t="s">
        <v>497</v>
      </c>
      <c r="H1" s="12" t="s">
        <v>499</v>
      </c>
      <c r="I1" s="12" t="s">
        <v>497</v>
      </c>
      <c r="J1" s="12" t="s">
        <v>500</v>
      </c>
      <c r="K1" s="12" t="s">
        <v>497</v>
      </c>
    </row>
    <row r="2" spans="1:29" ht="12.75" x14ac:dyDescent="0.2">
      <c r="A2" s="12"/>
      <c r="B2" s="25"/>
    </row>
    <row r="3" spans="1:29" ht="12.75" x14ac:dyDescent="0.2">
      <c r="A3" s="13" t="s">
        <v>1324</v>
      </c>
      <c r="B3" s="15">
        <v>5702071389262</v>
      </c>
      <c r="C3" s="15">
        <v>9.94</v>
      </c>
      <c r="D3" s="15">
        <v>0.9</v>
      </c>
      <c r="E3" s="15">
        <f t="shared" ref="E3:E18" si="0">SUM(C3)+D3</f>
        <v>10.84</v>
      </c>
      <c r="F3" s="15">
        <v>1.24</v>
      </c>
      <c r="G3" s="15">
        <f t="shared" ref="G3:G18" si="1">SUM(E3)*F3</f>
        <v>13.441599999999999</v>
      </c>
      <c r="H3" s="15">
        <v>1.1214999999999999</v>
      </c>
      <c r="I3" s="15">
        <f t="shared" ref="I3:I18" si="2">SUM(G3)*H3</f>
        <v>15.074754399999998</v>
      </c>
      <c r="J3" s="15">
        <v>0.74</v>
      </c>
      <c r="K3" s="15">
        <f t="shared" ref="K3:K18" si="3">SUM(I3)+J3</f>
        <v>15.814754399999998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29" ht="12.75" x14ac:dyDescent="0.2">
      <c r="A4" s="13" t="s">
        <v>1325</v>
      </c>
      <c r="B4" s="15">
        <v>7070866021801</v>
      </c>
      <c r="C4" s="15">
        <v>7.28</v>
      </c>
      <c r="D4" s="15">
        <v>0.9</v>
      </c>
      <c r="E4" s="15">
        <f t="shared" si="0"/>
        <v>8.18</v>
      </c>
      <c r="F4" s="15">
        <v>1.24</v>
      </c>
      <c r="G4" s="15">
        <f t="shared" si="1"/>
        <v>10.1432</v>
      </c>
      <c r="H4" s="15">
        <v>1.1214999999999999</v>
      </c>
      <c r="I4" s="15">
        <f t="shared" si="2"/>
        <v>11.375598799999999</v>
      </c>
      <c r="J4" s="15">
        <v>0.74</v>
      </c>
      <c r="K4" s="15">
        <f t="shared" si="3"/>
        <v>12.115598799999999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29" ht="12.75" x14ac:dyDescent="0.2">
      <c r="A5" s="13" t="s">
        <v>1326</v>
      </c>
      <c r="B5" s="15">
        <v>5702071505549</v>
      </c>
      <c r="C5" s="15">
        <v>7.51</v>
      </c>
      <c r="D5" s="15">
        <v>0.9</v>
      </c>
      <c r="E5" s="15">
        <f t="shared" si="0"/>
        <v>8.41</v>
      </c>
      <c r="F5" s="15">
        <v>1.24</v>
      </c>
      <c r="G5" s="15">
        <f t="shared" si="1"/>
        <v>10.4284</v>
      </c>
      <c r="H5" s="15">
        <v>1.1214999999999999</v>
      </c>
      <c r="I5" s="15">
        <f t="shared" si="2"/>
        <v>11.695450599999999</v>
      </c>
      <c r="J5" s="15">
        <v>0.74</v>
      </c>
      <c r="K5" s="15">
        <f t="shared" si="3"/>
        <v>12.435450599999999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1:29" ht="12.75" x14ac:dyDescent="0.2">
      <c r="A6" s="6" t="s">
        <v>1327</v>
      </c>
      <c r="B6" s="21" t="s">
        <v>1328</v>
      </c>
      <c r="C6" s="15">
        <v>8.31</v>
      </c>
      <c r="D6" s="15">
        <v>0.9</v>
      </c>
      <c r="E6" s="15">
        <f t="shared" si="0"/>
        <v>9.2100000000000009</v>
      </c>
      <c r="F6" s="15">
        <v>1.24</v>
      </c>
      <c r="G6" s="15">
        <f t="shared" si="1"/>
        <v>11.420400000000001</v>
      </c>
      <c r="H6" s="15">
        <v>1.1214999999999999</v>
      </c>
      <c r="I6" s="15">
        <f t="shared" si="2"/>
        <v>12.8079786</v>
      </c>
      <c r="J6" s="15">
        <v>0.74</v>
      </c>
      <c r="K6" s="15">
        <f t="shared" si="3"/>
        <v>13.5479786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spans="1:29" ht="12.75" x14ac:dyDescent="0.2">
      <c r="A7" s="6" t="s">
        <v>1329</v>
      </c>
      <c r="B7" s="21" t="s">
        <v>1330</v>
      </c>
      <c r="C7" s="15">
        <v>8.31</v>
      </c>
      <c r="D7" s="15">
        <v>0.9</v>
      </c>
      <c r="E7" s="15">
        <f t="shared" si="0"/>
        <v>9.2100000000000009</v>
      </c>
      <c r="F7" s="15">
        <v>1.24</v>
      </c>
      <c r="G7" s="15">
        <f t="shared" si="1"/>
        <v>11.420400000000001</v>
      </c>
      <c r="H7" s="15">
        <v>1.1214999999999999</v>
      </c>
      <c r="I7" s="15">
        <f t="shared" si="2"/>
        <v>12.8079786</v>
      </c>
      <c r="J7" s="15">
        <v>0.74</v>
      </c>
      <c r="K7" s="15">
        <f t="shared" si="3"/>
        <v>13.5479786</v>
      </c>
      <c r="L7" s="13">
        <v>12.84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29" ht="12.75" x14ac:dyDescent="0.2">
      <c r="A8" s="6" t="s">
        <v>1331</v>
      </c>
      <c r="B8" s="21" t="s">
        <v>1332</v>
      </c>
      <c r="C8" s="15">
        <v>8.31</v>
      </c>
      <c r="D8" s="15">
        <v>0.9</v>
      </c>
      <c r="E8" s="15">
        <f t="shared" si="0"/>
        <v>9.2100000000000009</v>
      </c>
      <c r="F8" s="15">
        <v>1.24</v>
      </c>
      <c r="G8" s="15">
        <f t="shared" si="1"/>
        <v>11.420400000000001</v>
      </c>
      <c r="H8" s="15">
        <v>1.1214999999999999</v>
      </c>
      <c r="I8" s="15">
        <f t="shared" si="2"/>
        <v>12.8079786</v>
      </c>
      <c r="J8" s="15">
        <v>0.74</v>
      </c>
      <c r="K8" s="15">
        <f t="shared" si="3"/>
        <v>13.5479786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29" ht="12.75" x14ac:dyDescent="0.2">
      <c r="A9" s="13" t="s">
        <v>1333</v>
      </c>
      <c r="B9" s="15">
        <v>5702071505785</v>
      </c>
      <c r="C9" s="15">
        <v>3.03</v>
      </c>
      <c r="D9" s="15">
        <v>0.9</v>
      </c>
      <c r="E9" s="15">
        <f t="shared" si="0"/>
        <v>3.9299999999999997</v>
      </c>
      <c r="F9" s="15">
        <v>1.24</v>
      </c>
      <c r="G9" s="15">
        <f t="shared" si="1"/>
        <v>4.8731999999999998</v>
      </c>
      <c r="H9" s="15">
        <v>1.1214999999999999</v>
      </c>
      <c r="I9" s="15">
        <f t="shared" si="2"/>
        <v>5.4652937999999995</v>
      </c>
      <c r="J9" s="15">
        <v>0.25</v>
      </c>
      <c r="K9" s="15">
        <f t="shared" si="3"/>
        <v>5.7152937999999995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29" ht="12.75" x14ac:dyDescent="0.2">
      <c r="A10" s="13" t="s">
        <v>1334</v>
      </c>
      <c r="B10" s="15">
        <v>7070866021009</v>
      </c>
      <c r="C10" s="15">
        <v>9.76</v>
      </c>
      <c r="D10" s="15">
        <v>0.9</v>
      </c>
      <c r="E10" s="15">
        <f t="shared" si="0"/>
        <v>10.66</v>
      </c>
      <c r="F10" s="15">
        <v>1.24</v>
      </c>
      <c r="G10" s="15">
        <f t="shared" si="1"/>
        <v>13.218400000000001</v>
      </c>
      <c r="H10" s="15">
        <v>1.1214999999999999</v>
      </c>
      <c r="I10" s="15">
        <f t="shared" si="2"/>
        <v>14.824435599999999</v>
      </c>
      <c r="J10" s="15">
        <v>1.49</v>
      </c>
      <c r="K10" s="15">
        <f t="shared" si="3"/>
        <v>16.314435599999999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spans="1:29" ht="12.75" x14ac:dyDescent="0.2">
      <c r="A11" s="13" t="s">
        <v>1335</v>
      </c>
      <c r="B11" s="15">
        <v>7070866020477</v>
      </c>
      <c r="C11" s="15">
        <v>9.76</v>
      </c>
      <c r="D11" s="15">
        <v>0.9</v>
      </c>
      <c r="E11" s="15">
        <f t="shared" si="0"/>
        <v>10.66</v>
      </c>
      <c r="F11" s="15">
        <v>1.24</v>
      </c>
      <c r="G11" s="15">
        <f t="shared" si="1"/>
        <v>13.218400000000001</v>
      </c>
      <c r="H11" s="15">
        <v>1.1214999999999999</v>
      </c>
      <c r="I11" s="15">
        <f t="shared" si="2"/>
        <v>14.824435599999999</v>
      </c>
      <c r="J11" s="15">
        <v>1.49</v>
      </c>
      <c r="K11" s="15">
        <f t="shared" si="3"/>
        <v>16.314435599999999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29" ht="12.75" x14ac:dyDescent="0.2">
      <c r="A12" s="13" t="s">
        <v>1336</v>
      </c>
      <c r="B12" s="15">
        <v>5702076063327</v>
      </c>
      <c r="C12" s="15">
        <v>15.15</v>
      </c>
      <c r="D12" s="15">
        <v>0.9</v>
      </c>
      <c r="E12" s="15">
        <f t="shared" si="0"/>
        <v>16.05</v>
      </c>
      <c r="F12" s="15">
        <v>1.24</v>
      </c>
      <c r="G12" s="15">
        <f t="shared" si="1"/>
        <v>19.902000000000001</v>
      </c>
      <c r="H12" s="15">
        <v>1.1214999999999999</v>
      </c>
      <c r="I12" s="15">
        <f t="shared" si="2"/>
        <v>22.320093</v>
      </c>
      <c r="J12" s="15">
        <v>0.73999999999999899</v>
      </c>
      <c r="K12" s="15">
        <f t="shared" si="3"/>
        <v>23.060092999999998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29" ht="12.75" x14ac:dyDescent="0.2">
      <c r="A13" s="12" t="s">
        <v>1324</v>
      </c>
      <c r="B13" s="12">
        <v>5200040107188</v>
      </c>
      <c r="C13" s="15">
        <v>9.94</v>
      </c>
      <c r="D13" s="15">
        <v>0.9</v>
      </c>
      <c r="E13" s="15">
        <f t="shared" si="0"/>
        <v>10.84</v>
      </c>
      <c r="F13" s="15">
        <v>1.24</v>
      </c>
      <c r="G13" s="15">
        <f t="shared" si="1"/>
        <v>13.441599999999999</v>
      </c>
      <c r="H13" s="15">
        <v>1.1214999999999999</v>
      </c>
      <c r="I13" s="15">
        <f t="shared" si="2"/>
        <v>15.074754399999998</v>
      </c>
      <c r="J13" s="15">
        <v>0.73999999999999899</v>
      </c>
      <c r="K13" s="15">
        <f t="shared" si="3"/>
        <v>15.814754399999996</v>
      </c>
    </row>
    <row r="14" spans="1:29" ht="12.75" x14ac:dyDescent="0.2">
      <c r="A14" s="6" t="s">
        <v>1337</v>
      </c>
      <c r="B14" s="6" t="s">
        <v>1338</v>
      </c>
      <c r="C14" s="15">
        <v>4.03</v>
      </c>
      <c r="D14" s="15">
        <v>0.3</v>
      </c>
      <c r="E14" s="15">
        <f t="shared" si="0"/>
        <v>4.33</v>
      </c>
      <c r="F14" s="15">
        <v>1.24</v>
      </c>
      <c r="G14" s="15">
        <f t="shared" si="1"/>
        <v>5.3692000000000002</v>
      </c>
      <c r="H14" s="15">
        <v>1.1214999999999999</v>
      </c>
      <c r="I14" s="15">
        <f t="shared" si="2"/>
        <v>6.0215578000000001</v>
      </c>
      <c r="J14" s="21">
        <v>0.25</v>
      </c>
      <c r="K14" s="15">
        <f t="shared" si="3"/>
        <v>6.2715578000000001</v>
      </c>
    </row>
    <row r="15" spans="1:29" ht="12.75" x14ac:dyDescent="0.2">
      <c r="A15" s="12" t="s">
        <v>1339</v>
      </c>
      <c r="B15" s="12">
        <v>627765013795</v>
      </c>
      <c r="C15" s="15">
        <v>12.24</v>
      </c>
      <c r="D15" s="15">
        <v>0.9</v>
      </c>
      <c r="E15" s="15">
        <f t="shared" si="0"/>
        <v>13.14</v>
      </c>
      <c r="F15" s="15">
        <v>1.24</v>
      </c>
      <c r="G15" s="15">
        <f t="shared" si="1"/>
        <v>16.293600000000001</v>
      </c>
      <c r="H15" s="15">
        <v>1.1214999999999999</v>
      </c>
      <c r="I15" s="15">
        <f t="shared" si="2"/>
        <v>18.2732724</v>
      </c>
      <c r="J15" s="15">
        <v>0.73999999999999899</v>
      </c>
      <c r="K15" s="15">
        <f t="shared" si="3"/>
        <v>19.013272399999998</v>
      </c>
    </row>
    <row r="16" spans="1:29" ht="12.75" x14ac:dyDescent="0.2">
      <c r="C16" s="15">
        <v>0</v>
      </c>
      <c r="D16" s="15">
        <v>0.9</v>
      </c>
      <c r="E16" s="15">
        <f t="shared" si="0"/>
        <v>0.9</v>
      </c>
      <c r="F16" s="15">
        <v>1.24</v>
      </c>
      <c r="G16" s="15">
        <f t="shared" si="1"/>
        <v>1.1160000000000001</v>
      </c>
      <c r="H16" s="15">
        <v>1.1214999999999999</v>
      </c>
      <c r="I16" s="15">
        <f t="shared" si="2"/>
        <v>1.2515940000000001</v>
      </c>
      <c r="J16" s="15">
        <v>0.73999999999999899</v>
      </c>
      <c r="K16" s="15">
        <f t="shared" si="3"/>
        <v>1.9915939999999992</v>
      </c>
    </row>
    <row r="17" spans="1:12" ht="12.75" x14ac:dyDescent="0.2">
      <c r="C17" s="15">
        <v>0</v>
      </c>
      <c r="D17" s="15">
        <v>0.9</v>
      </c>
      <c r="E17" s="15">
        <f t="shared" si="0"/>
        <v>0.9</v>
      </c>
      <c r="F17" s="15">
        <v>1.24</v>
      </c>
      <c r="G17" s="15">
        <f t="shared" si="1"/>
        <v>1.1160000000000001</v>
      </c>
      <c r="H17" s="15">
        <v>1.1214999999999999</v>
      </c>
      <c r="I17" s="15">
        <f t="shared" si="2"/>
        <v>1.2515940000000001</v>
      </c>
      <c r="J17" s="15">
        <v>0.73999999999999899</v>
      </c>
      <c r="K17" s="15">
        <f t="shared" si="3"/>
        <v>1.9915939999999992</v>
      </c>
    </row>
    <row r="18" spans="1:12" ht="12.75" x14ac:dyDescent="0.2">
      <c r="C18" s="15">
        <v>0</v>
      </c>
      <c r="D18" s="15">
        <v>0.9</v>
      </c>
      <c r="E18" s="15">
        <f t="shared" si="0"/>
        <v>0.9</v>
      </c>
      <c r="F18" s="15">
        <v>1.24</v>
      </c>
      <c r="G18" s="15">
        <f t="shared" si="1"/>
        <v>1.1160000000000001</v>
      </c>
      <c r="H18" s="15">
        <v>1.1214999999999999</v>
      </c>
      <c r="I18" s="15">
        <f t="shared" si="2"/>
        <v>1.2515940000000001</v>
      </c>
      <c r="J18" s="15">
        <v>0.73999999999999899</v>
      </c>
      <c r="K18" s="15">
        <f t="shared" si="3"/>
        <v>1.9915939999999992</v>
      </c>
    </row>
    <row r="19" spans="1:12" ht="15" x14ac:dyDescent="0.25">
      <c r="A19" s="6" t="s">
        <v>1340</v>
      </c>
      <c r="B19" s="6" t="s">
        <v>1341</v>
      </c>
      <c r="C19" s="9">
        <v>24.86</v>
      </c>
      <c r="D19" s="9">
        <v>0.9</v>
      </c>
      <c r="E19" s="21">
        <v>0.7</v>
      </c>
      <c r="F19" s="9">
        <v>10.119999999999999</v>
      </c>
      <c r="G19" s="9">
        <v>24</v>
      </c>
      <c r="H19" s="9">
        <f t="shared" ref="H19:H45" si="4">C19+D19+E19</f>
        <v>26.459999999999997</v>
      </c>
      <c r="I19" s="9">
        <f t="shared" ref="I19:I45" si="5">H19 / (1 - F19/100 - (1 - 1/(1 + G19/100)))</f>
        <v>37.518524617157901</v>
      </c>
      <c r="J19" s="9">
        <f t="shared" ref="J19:J45" si="6">I19 * F19 / 100</f>
        <v>3.7968746912563791</v>
      </c>
      <c r="K19" s="9">
        <f t="shared" ref="K19:K45" si="7">I19 - (I19 / (1 + G19/100))</f>
        <v>7.2616499259015299</v>
      </c>
      <c r="L19" s="9">
        <f t="shared" ref="L19:L45" si="8">I19 - J19 - K19</f>
        <v>26.459999999999994</v>
      </c>
    </row>
    <row r="20" spans="1:12" ht="15" x14ac:dyDescent="0.25">
      <c r="A20" s="6" t="s">
        <v>1342</v>
      </c>
      <c r="B20" s="6" t="s">
        <v>1343</v>
      </c>
      <c r="C20" s="9">
        <v>14.8</v>
      </c>
      <c r="D20" s="9">
        <v>0.9</v>
      </c>
      <c r="E20" s="21">
        <v>0.7</v>
      </c>
      <c r="F20" s="9">
        <v>10.17</v>
      </c>
      <c r="G20" s="9">
        <v>24</v>
      </c>
      <c r="H20" s="9">
        <f t="shared" si="4"/>
        <v>16.400000000000002</v>
      </c>
      <c r="I20" s="9">
        <f t="shared" si="5"/>
        <v>23.270610098273014</v>
      </c>
      <c r="J20" s="9">
        <f t="shared" si="6"/>
        <v>2.3666210469943656</v>
      </c>
      <c r="K20" s="9">
        <f t="shared" si="7"/>
        <v>4.5039890512786478</v>
      </c>
      <c r="L20" s="9">
        <f t="shared" si="8"/>
        <v>16.400000000000002</v>
      </c>
    </row>
    <row r="21" spans="1:12" ht="15" x14ac:dyDescent="0.25">
      <c r="A21" s="6" t="s">
        <v>1344</v>
      </c>
      <c r="B21" s="6" t="s">
        <v>1345</v>
      </c>
      <c r="C21" s="9">
        <v>11.1</v>
      </c>
      <c r="D21" s="9">
        <v>0.9</v>
      </c>
      <c r="E21" s="21">
        <v>0.7</v>
      </c>
      <c r="F21" s="9">
        <v>10.17</v>
      </c>
      <c r="G21" s="9">
        <v>24</v>
      </c>
      <c r="H21" s="9">
        <f t="shared" si="4"/>
        <v>12.7</v>
      </c>
      <c r="I21" s="9">
        <f t="shared" si="5"/>
        <v>18.020533429760196</v>
      </c>
      <c r="J21" s="9">
        <f t="shared" si="6"/>
        <v>1.8326882498066117</v>
      </c>
      <c r="K21" s="9">
        <f t="shared" si="7"/>
        <v>3.4878451799535863</v>
      </c>
      <c r="L21" s="9">
        <f t="shared" si="8"/>
        <v>12.699999999999998</v>
      </c>
    </row>
    <row r="22" spans="1:12" ht="15" x14ac:dyDescent="0.25">
      <c r="A22" s="6" t="s">
        <v>1346</v>
      </c>
      <c r="B22" s="6" t="s">
        <v>1347</v>
      </c>
      <c r="C22" s="9">
        <v>11.06</v>
      </c>
      <c r="D22" s="9">
        <v>0.9</v>
      </c>
      <c r="E22" s="21">
        <v>0.7</v>
      </c>
      <c r="F22" s="9">
        <v>10.17</v>
      </c>
      <c r="G22" s="9">
        <v>24</v>
      </c>
      <c r="H22" s="9">
        <f t="shared" si="4"/>
        <v>12.66</v>
      </c>
      <c r="I22" s="9">
        <f t="shared" si="5"/>
        <v>17.963775844154654</v>
      </c>
      <c r="J22" s="9">
        <f t="shared" si="6"/>
        <v>1.8269160033505285</v>
      </c>
      <c r="K22" s="9">
        <f t="shared" si="7"/>
        <v>3.476859840804126</v>
      </c>
      <c r="L22" s="9">
        <f t="shared" si="8"/>
        <v>12.659999999999998</v>
      </c>
    </row>
    <row r="23" spans="1:12" ht="15" x14ac:dyDescent="0.25">
      <c r="A23" s="6" t="s">
        <v>1348</v>
      </c>
      <c r="B23" s="6" t="s">
        <v>1349</v>
      </c>
      <c r="C23" s="9">
        <v>7.96</v>
      </c>
      <c r="D23" s="9">
        <v>0.9</v>
      </c>
      <c r="E23" s="21">
        <v>0.7</v>
      </c>
      <c r="F23" s="9">
        <v>10.17</v>
      </c>
      <c r="G23" s="9">
        <v>24</v>
      </c>
      <c r="H23" s="9">
        <f t="shared" si="4"/>
        <v>9.5599999999999987</v>
      </c>
      <c r="I23" s="9">
        <f t="shared" si="5"/>
        <v>13.565062959724997</v>
      </c>
      <c r="J23" s="9">
        <f t="shared" si="6"/>
        <v>1.3795669030040321</v>
      </c>
      <c r="K23" s="9">
        <f t="shared" si="7"/>
        <v>2.6254960567209675</v>
      </c>
      <c r="L23" s="9">
        <f t="shared" si="8"/>
        <v>9.5599999999999969</v>
      </c>
    </row>
    <row r="24" spans="1:12" ht="15" x14ac:dyDescent="0.25">
      <c r="A24" s="6" t="s">
        <v>1350</v>
      </c>
      <c r="B24" s="6" t="s">
        <v>1351</v>
      </c>
      <c r="C24" s="9">
        <v>11.44</v>
      </c>
      <c r="D24" s="9">
        <v>0.9</v>
      </c>
      <c r="E24" s="21">
        <v>0.7</v>
      </c>
      <c r="F24" s="9">
        <v>10.17</v>
      </c>
      <c r="G24" s="9">
        <v>24</v>
      </c>
      <c r="H24" s="9">
        <f t="shared" si="4"/>
        <v>13.04</v>
      </c>
      <c r="I24" s="9">
        <f t="shared" si="5"/>
        <v>18.502972907407319</v>
      </c>
      <c r="J24" s="9">
        <f t="shared" si="6"/>
        <v>1.8817523446833244</v>
      </c>
      <c r="K24" s="9">
        <f t="shared" si="7"/>
        <v>3.5812205627239972</v>
      </c>
      <c r="L24" s="9">
        <f t="shared" si="8"/>
        <v>13.039999999999997</v>
      </c>
    </row>
    <row r="25" spans="1:12" ht="15" x14ac:dyDescent="0.25">
      <c r="A25" s="6" t="s">
        <v>1352</v>
      </c>
      <c r="B25" s="6" t="s">
        <v>1353</v>
      </c>
      <c r="C25" s="9">
        <v>4.5999999999999996</v>
      </c>
      <c r="D25" s="9">
        <v>0.9</v>
      </c>
      <c r="E25" s="21">
        <v>0.43</v>
      </c>
      <c r="F25" s="9">
        <v>10.17</v>
      </c>
      <c r="G25" s="9">
        <v>24</v>
      </c>
      <c r="H25" s="9">
        <f t="shared" si="4"/>
        <v>5.93</v>
      </c>
      <c r="I25" s="9">
        <f t="shared" si="5"/>
        <v>8.4143120660218873</v>
      </c>
      <c r="J25" s="9">
        <f t="shared" si="6"/>
        <v>0.85573553711442596</v>
      </c>
      <c r="K25" s="9">
        <f t="shared" si="7"/>
        <v>1.6285765289074616</v>
      </c>
      <c r="L25" s="9">
        <f t="shared" si="8"/>
        <v>5.93</v>
      </c>
    </row>
    <row r="26" spans="1:12" ht="15" x14ac:dyDescent="0.25">
      <c r="A26" s="6" t="s">
        <v>1354</v>
      </c>
      <c r="B26" s="6" t="s">
        <v>1355</v>
      </c>
      <c r="C26" s="9">
        <v>4.66</v>
      </c>
      <c r="D26" s="9">
        <v>0.6</v>
      </c>
      <c r="E26" s="21">
        <v>0.43</v>
      </c>
      <c r="F26" s="9">
        <v>10.17</v>
      </c>
      <c r="G26" s="9">
        <v>24</v>
      </c>
      <c r="H26" s="9">
        <f t="shared" si="4"/>
        <v>5.6899999999999995</v>
      </c>
      <c r="I26" s="9">
        <f t="shared" si="5"/>
        <v>8.0737665523886228</v>
      </c>
      <c r="J26" s="9">
        <f t="shared" si="6"/>
        <v>0.82110205837792294</v>
      </c>
      <c r="K26" s="9">
        <f t="shared" si="7"/>
        <v>1.5626644940107015</v>
      </c>
      <c r="L26" s="9">
        <f t="shared" si="8"/>
        <v>5.6899999999999986</v>
      </c>
    </row>
    <row r="27" spans="1:12" ht="15" x14ac:dyDescent="0.25">
      <c r="A27" s="6" t="s">
        <v>1356</v>
      </c>
      <c r="B27" s="6" t="s">
        <v>1357</v>
      </c>
      <c r="C27" s="9">
        <v>7.74</v>
      </c>
      <c r="D27" s="9">
        <v>0.9</v>
      </c>
      <c r="E27" s="21">
        <v>0.7</v>
      </c>
      <c r="F27" s="9">
        <v>10.17</v>
      </c>
      <c r="G27" s="9">
        <v>24</v>
      </c>
      <c r="H27" s="9">
        <f t="shared" si="4"/>
        <v>9.34</v>
      </c>
      <c r="I27" s="9">
        <f t="shared" si="5"/>
        <v>13.252896238894508</v>
      </c>
      <c r="J27" s="9">
        <f t="shared" si="6"/>
        <v>1.3478195474955714</v>
      </c>
      <c r="K27" s="9">
        <f t="shared" si="7"/>
        <v>2.5650766913989376</v>
      </c>
      <c r="L27" s="9">
        <f t="shared" si="8"/>
        <v>9.3399999999999981</v>
      </c>
    </row>
    <row r="28" spans="1:12" ht="15" x14ac:dyDescent="0.25">
      <c r="A28" s="6" t="s">
        <v>1358</v>
      </c>
      <c r="B28" s="6" t="s">
        <v>1359</v>
      </c>
      <c r="C28" s="9">
        <v>10.15</v>
      </c>
      <c r="D28" s="9">
        <v>0.9</v>
      </c>
      <c r="E28" s="21">
        <v>0.7</v>
      </c>
      <c r="F28" s="9">
        <v>10.17</v>
      </c>
      <c r="G28" s="9">
        <v>24</v>
      </c>
      <c r="H28" s="9">
        <f t="shared" si="4"/>
        <v>11.75</v>
      </c>
      <c r="I28" s="9">
        <f t="shared" si="5"/>
        <v>16.67254077162853</v>
      </c>
      <c r="J28" s="9">
        <f t="shared" si="6"/>
        <v>1.6955973964746216</v>
      </c>
      <c r="K28" s="9">
        <f t="shared" si="7"/>
        <v>3.2269433751539083</v>
      </c>
      <c r="L28" s="9">
        <f t="shared" si="8"/>
        <v>11.75</v>
      </c>
    </row>
    <row r="29" spans="1:12" ht="15" x14ac:dyDescent="0.25">
      <c r="A29" s="6" t="s">
        <v>1360</v>
      </c>
      <c r="B29" s="6" t="s">
        <v>1361</v>
      </c>
      <c r="C29" s="9">
        <v>11.95</v>
      </c>
      <c r="D29" s="9">
        <v>0.9</v>
      </c>
      <c r="E29" s="21">
        <v>0.7</v>
      </c>
      <c r="F29" s="9">
        <v>10.17</v>
      </c>
      <c r="G29" s="9">
        <v>24</v>
      </c>
      <c r="H29" s="9">
        <f t="shared" si="4"/>
        <v>13.549999999999999</v>
      </c>
      <c r="I29" s="9">
        <f t="shared" si="5"/>
        <v>19.226632123878005</v>
      </c>
      <c r="J29" s="9">
        <f t="shared" si="6"/>
        <v>1.955348486998393</v>
      </c>
      <c r="K29" s="9">
        <f t="shared" si="7"/>
        <v>3.7212836368796136</v>
      </c>
      <c r="L29" s="9">
        <f t="shared" si="8"/>
        <v>13.549999999999999</v>
      </c>
    </row>
    <row r="30" spans="1:12" ht="15" x14ac:dyDescent="0.25">
      <c r="A30" s="6" t="s">
        <v>1362</v>
      </c>
      <c r="B30" s="6" t="s">
        <v>1363</v>
      </c>
      <c r="C30" s="9">
        <v>16.39</v>
      </c>
      <c r="D30" s="9">
        <v>0.9</v>
      </c>
      <c r="E30" s="21">
        <v>0.7</v>
      </c>
      <c r="F30" s="9">
        <v>10.17</v>
      </c>
      <c r="G30" s="9">
        <v>24</v>
      </c>
      <c r="H30" s="9">
        <f t="shared" si="4"/>
        <v>17.989999999999998</v>
      </c>
      <c r="I30" s="9">
        <f t="shared" si="5"/>
        <v>25.526724126093381</v>
      </c>
      <c r="J30" s="9">
        <f t="shared" si="6"/>
        <v>2.5960678436236968</v>
      </c>
      <c r="K30" s="9">
        <f t="shared" si="7"/>
        <v>4.9406562824696856</v>
      </c>
      <c r="L30" s="9">
        <f t="shared" si="8"/>
        <v>17.989999999999998</v>
      </c>
    </row>
    <row r="31" spans="1:12" ht="15" x14ac:dyDescent="0.25">
      <c r="A31" s="6" t="s">
        <v>1364</v>
      </c>
      <c r="B31" s="6" t="s">
        <v>1365</v>
      </c>
      <c r="C31" s="9">
        <v>6.96</v>
      </c>
      <c r="D31" s="9">
        <v>0.9</v>
      </c>
      <c r="E31" s="21">
        <v>0.7</v>
      </c>
      <c r="F31" s="9">
        <v>10.17</v>
      </c>
      <c r="G31" s="9">
        <v>24</v>
      </c>
      <c r="H31" s="9">
        <f t="shared" si="4"/>
        <v>8.56</v>
      </c>
      <c r="I31" s="9">
        <f t="shared" si="5"/>
        <v>12.146123319586401</v>
      </c>
      <c r="J31" s="9">
        <f t="shared" si="6"/>
        <v>1.235260741601937</v>
      </c>
      <c r="K31" s="9">
        <f t="shared" si="7"/>
        <v>2.350862577984465</v>
      </c>
      <c r="L31" s="9">
        <f t="shared" si="8"/>
        <v>8.5599999999999987</v>
      </c>
    </row>
    <row r="32" spans="1:12" ht="15" x14ac:dyDescent="0.25">
      <c r="A32" s="6" t="s">
        <v>1366</v>
      </c>
      <c r="B32" s="6" t="s">
        <v>1367</v>
      </c>
      <c r="C32" s="9">
        <v>8.82</v>
      </c>
      <c r="D32" s="9">
        <v>0.9</v>
      </c>
      <c r="E32" s="21">
        <v>0.7</v>
      </c>
      <c r="F32" s="9">
        <v>10.17</v>
      </c>
      <c r="G32" s="9">
        <v>24</v>
      </c>
      <c r="H32" s="9">
        <f t="shared" si="4"/>
        <v>10.42</v>
      </c>
      <c r="I32" s="9">
        <f t="shared" si="5"/>
        <v>14.785351050244193</v>
      </c>
      <c r="J32" s="9">
        <f t="shared" si="6"/>
        <v>1.5036702018098345</v>
      </c>
      <c r="K32" s="9">
        <f t="shared" si="7"/>
        <v>2.8616808484343608</v>
      </c>
      <c r="L32" s="9">
        <f t="shared" si="8"/>
        <v>10.419999999999998</v>
      </c>
    </row>
    <row r="33" spans="1:12" ht="15" x14ac:dyDescent="0.25">
      <c r="A33" s="6" t="s">
        <v>1368</v>
      </c>
      <c r="B33" s="6" t="s">
        <v>1369</v>
      </c>
      <c r="C33" s="9">
        <v>8.6300000000000008</v>
      </c>
      <c r="D33" s="9">
        <v>0.9</v>
      </c>
      <c r="E33" s="21">
        <v>0.7</v>
      </c>
      <c r="F33" s="9">
        <v>10.17</v>
      </c>
      <c r="G33" s="9">
        <v>24</v>
      </c>
      <c r="H33" s="9">
        <f t="shared" si="4"/>
        <v>10.23</v>
      </c>
      <c r="I33" s="9">
        <f t="shared" si="5"/>
        <v>14.515752518617861</v>
      </c>
      <c r="J33" s="9">
        <f t="shared" si="6"/>
        <v>1.4762520311434364</v>
      </c>
      <c r="K33" s="9">
        <f t="shared" si="7"/>
        <v>2.8095004874744252</v>
      </c>
      <c r="L33" s="9">
        <f t="shared" si="8"/>
        <v>10.229999999999999</v>
      </c>
    </row>
    <row r="34" spans="1:12" ht="15" x14ac:dyDescent="0.25">
      <c r="A34" s="6" t="s">
        <v>1370</v>
      </c>
      <c r="B34" s="6" t="s">
        <v>1371</v>
      </c>
      <c r="C34" s="9">
        <v>6.89</v>
      </c>
      <c r="D34" s="9">
        <v>0.9</v>
      </c>
      <c r="E34" s="21">
        <v>0.7</v>
      </c>
      <c r="F34" s="9">
        <v>10.17</v>
      </c>
      <c r="G34" s="9">
        <v>24</v>
      </c>
      <c r="H34" s="9">
        <f t="shared" si="4"/>
        <v>8.49</v>
      </c>
      <c r="I34" s="9">
        <f t="shared" si="5"/>
        <v>12.0467975447767</v>
      </c>
      <c r="J34" s="9">
        <f t="shared" si="6"/>
        <v>1.2251593103037903</v>
      </c>
      <c r="K34" s="9">
        <f t="shared" si="7"/>
        <v>2.3316382344729103</v>
      </c>
      <c r="L34" s="9">
        <f t="shared" si="8"/>
        <v>8.49</v>
      </c>
    </row>
    <row r="35" spans="1:12" ht="15" x14ac:dyDescent="0.25">
      <c r="A35" s="6" t="s">
        <v>1372</v>
      </c>
      <c r="B35" s="6" t="s">
        <v>1373</v>
      </c>
      <c r="C35" s="9">
        <v>7.07</v>
      </c>
      <c r="D35" s="9">
        <v>0.9</v>
      </c>
      <c r="E35" s="21">
        <v>0.7</v>
      </c>
      <c r="F35" s="9">
        <v>10.17</v>
      </c>
      <c r="G35" s="9">
        <v>24</v>
      </c>
      <c r="H35" s="9">
        <f t="shared" si="4"/>
        <v>8.67</v>
      </c>
      <c r="I35" s="9">
        <f t="shared" si="5"/>
        <v>12.302206680001646</v>
      </c>
      <c r="J35" s="9">
        <f t="shared" si="6"/>
        <v>1.2511344193561673</v>
      </c>
      <c r="K35" s="9">
        <f t="shared" si="7"/>
        <v>2.3810722606454799</v>
      </c>
      <c r="L35" s="9">
        <f t="shared" si="8"/>
        <v>8.6699999999999982</v>
      </c>
    </row>
    <row r="36" spans="1:12" ht="15" x14ac:dyDescent="0.25">
      <c r="A36" s="6" t="s">
        <v>1374</v>
      </c>
      <c r="B36" s="6" t="s">
        <v>1375</v>
      </c>
      <c r="C36" s="9">
        <v>8.42</v>
      </c>
      <c r="D36" s="9">
        <v>0.9</v>
      </c>
      <c r="E36" s="21">
        <v>0.7</v>
      </c>
      <c r="F36" s="9">
        <v>10.17</v>
      </c>
      <c r="G36" s="9">
        <v>24</v>
      </c>
      <c r="H36" s="9">
        <f t="shared" si="4"/>
        <v>10.02</v>
      </c>
      <c r="I36" s="9">
        <f t="shared" si="5"/>
        <v>14.217775194188754</v>
      </c>
      <c r="J36" s="9">
        <f t="shared" si="6"/>
        <v>1.4459477372489962</v>
      </c>
      <c r="K36" s="9">
        <f t="shared" si="7"/>
        <v>2.7518274569397594</v>
      </c>
      <c r="L36" s="9">
        <f t="shared" si="8"/>
        <v>10.019999999999998</v>
      </c>
    </row>
    <row r="37" spans="1:12" ht="15" x14ac:dyDescent="0.25">
      <c r="A37" s="6" t="s">
        <v>1376</v>
      </c>
      <c r="B37" s="6" t="s">
        <v>1377</v>
      </c>
      <c r="C37" s="9">
        <v>4.82</v>
      </c>
      <c r="D37" s="9">
        <v>0.6</v>
      </c>
      <c r="E37" s="21">
        <v>0.43</v>
      </c>
      <c r="F37" s="9">
        <v>10.17</v>
      </c>
      <c r="G37" s="9">
        <v>24</v>
      </c>
      <c r="H37" s="9">
        <f t="shared" si="4"/>
        <v>5.85</v>
      </c>
      <c r="I37" s="9">
        <f t="shared" si="5"/>
        <v>8.3007968948107997</v>
      </c>
      <c r="J37" s="9">
        <f t="shared" si="6"/>
        <v>0.84419104420225832</v>
      </c>
      <c r="K37" s="9">
        <f t="shared" si="7"/>
        <v>1.6066058506085419</v>
      </c>
      <c r="L37" s="9">
        <f t="shared" si="8"/>
        <v>5.85</v>
      </c>
    </row>
    <row r="38" spans="1:12" ht="15" x14ac:dyDescent="0.25">
      <c r="A38" s="6" t="s">
        <v>1378</v>
      </c>
      <c r="B38" s="6" t="s">
        <v>1379</v>
      </c>
      <c r="C38" s="9">
        <v>8.42</v>
      </c>
      <c r="D38" s="9">
        <v>0.9</v>
      </c>
      <c r="E38" s="21">
        <v>0.7</v>
      </c>
      <c r="F38" s="9">
        <v>10.17</v>
      </c>
      <c r="G38" s="9">
        <v>24</v>
      </c>
      <c r="H38" s="9">
        <f t="shared" si="4"/>
        <v>10.02</v>
      </c>
      <c r="I38" s="9">
        <f t="shared" si="5"/>
        <v>14.217775194188754</v>
      </c>
      <c r="J38" s="9">
        <f t="shared" si="6"/>
        <v>1.4459477372489962</v>
      </c>
      <c r="K38" s="9">
        <f t="shared" si="7"/>
        <v>2.7518274569397594</v>
      </c>
      <c r="L38" s="9">
        <f t="shared" si="8"/>
        <v>10.019999999999998</v>
      </c>
    </row>
    <row r="39" spans="1:12" ht="15" x14ac:dyDescent="0.25">
      <c r="A39" s="6" t="s">
        <v>1380</v>
      </c>
      <c r="B39" s="6" t="s">
        <v>1381</v>
      </c>
      <c r="C39" s="9">
        <v>8.14</v>
      </c>
      <c r="D39" s="9">
        <v>0.9</v>
      </c>
      <c r="E39" s="21">
        <v>0.7</v>
      </c>
      <c r="F39" s="9">
        <v>10.17</v>
      </c>
      <c r="G39" s="9">
        <v>24</v>
      </c>
      <c r="H39" s="9">
        <f t="shared" si="4"/>
        <v>9.74</v>
      </c>
      <c r="I39" s="9">
        <f t="shared" si="5"/>
        <v>13.820472094949947</v>
      </c>
      <c r="J39" s="9">
        <f t="shared" si="6"/>
        <v>1.4055420120564097</v>
      </c>
      <c r="K39" s="9">
        <f t="shared" si="7"/>
        <v>2.674930082893539</v>
      </c>
      <c r="L39" s="9">
        <f t="shared" si="8"/>
        <v>9.7399999999999984</v>
      </c>
    </row>
    <row r="40" spans="1:12" ht="15" x14ac:dyDescent="0.25">
      <c r="A40" s="6" t="s">
        <v>1382</v>
      </c>
      <c r="B40" s="6" t="s">
        <v>1383</v>
      </c>
      <c r="C40" s="9">
        <v>7.8</v>
      </c>
      <c r="D40" s="9">
        <v>0.9</v>
      </c>
      <c r="E40" s="21">
        <v>0.7</v>
      </c>
      <c r="F40" s="9">
        <v>10.17</v>
      </c>
      <c r="G40" s="9">
        <v>24</v>
      </c>
      <c r="H40" s="9">
        <f t="shared" si="4"/>
        <v>9.3999999999999986</v>
      </c>
      <c r="I40" s="9">
        <f t="shared" si="5"/>
        <v>13.338032617302822</v>
      </c>
      <c r="J40" s="9">
        <f t="shared" si="6"/>
        <v>1.356477917179697</v>
      </c>
      <c r="K40" s="9">
        <f t="shared" si="7"/>
        <v>2.5815547001231263</v>
      </c>
      <c r="L40" s="9">
        <f t="shared" si="8"/>
        <v>9.3999999999999986</v>
      </c>
    </row>
    <row r="41" spans="1:12" ht="15" x14ac:dyDescent="0.25">
      <c r="A41" s="6" t="s">
        <v>1384</v>
      </c>
      <c r="B41" s="6" t="s">
        <v>1385</v>
      </c>
      <c r="C41" s="9">
        <v>12.84</v>
      </c>
      <c r="D41" s="9">
        <v>0.9</v>
      </c>
      <c r="E41" s="21">
        <v>0.7</v>
      </c>
      <c r="F41" s="9">
        <v>10.17</v>
      </c>
      <c r="G41" s="9">
        <v>24</v>
      </c>
      <c r="H41" s="9">
        <f t="shared" si="4"/>
        <v>14.44</v>
      </c>
      <c r="I41" s="9">
        <f t="shared" si="5"/>
        <v>20.489488403601356</v>
      </c>
      <c r="J41" s="9">
        <f t="shared" si="6"/>
        <v>2.083780970646258</v>
      </c>
      <c r="K41" s="9">
        <f t="shared" si="7"/>
        <v>3.9657074329550994</v>
      </c>
      <c r="L41" s="9">
        <f t="shared" si="8"/>
        <v>14.439999999999998</v>
      </c>
    </row>
    <row r="42" spans="1:12" ht="15" x14ac:dyDescent="0.25">
      <c r="A42" s="6" t="s">
        <v>1386</v>
      </c>
      <c r="B42" s="6" t="s">
        <v>1338</v>
      </c>
      <c r="C42" s="9">
        <v>3.92</v>
      </c>
      <c r="D42" s="9">
        <v>0.4</v>
      </c>
      <c r="E42" s="21">
        <v>0.43</v>
      </c>
      <c r="F42" s="9">
        <v>10.17</v>
      </c>
      <c r="G42" s="9">
        <v>24</v>
      </c>
      <c r="H42" s="9">
        <f t="shared" si="4"/>
        <v>4.75</v>
      </c>
      <c r="I42" s="9">
        <f t="shared" si="5"/>
        <v>6.7399632906583413</v>
      </c>
      <c r="J42" s="9">
        <f t="shared" si="6"/>
        <v>0.68545426665995335</v>
      </c>
      <c r="K42" s="9">
        <f t="shared" si="7"/>
        <v>1.3045090239983885</v>
      </c>
      <c r="L42" s="9">
        <f t="shared" si="8"/>
        <v>4.7499999999999991</v>
      </c>
    </row>
    <row r="43" spans="1:12" ht="15" x14ac:dyDescent="0.25">
      <c r="A43" s="6" t="s">
        <v>1387</v>
      </c>
      <c r="B43" s="6" t="s">
        <v>1388</v>
      </c>
      <c r="C43" s="9">
        <v>8.76</v>
      </c>
      <c r="D43" s="9">
        <v>0.9</v>
      </c>
      <c r="E43" s="21">
        <v>0.7</v>
      </c>
      <c r="F43" s="9">
        <v>10.17</v>
      </c>
      <c r="G43" s="9">
        <v>24</v>
      </c>
      <c r="H43" s="9">
        <f t="shared" si="4"/>
        <v>10.36</v>
      </c>
      <c r="I43" s="9">
        <f t="shared" si="5"/>
        <v>14.700214671835877</v>
      </c>
      <c r="J43" s="9">
        <f t="shared" si="6"/>
        <v>1.4950118321257084</v>
      </c>
      <c r="K43" s="9">
        <f t="shared" si="7"/>
        <v>2.8452028397101703</v>
      </c>
      <c r="L43" s="9">
        <f t="shared" si="8"/>
        <v>10.359999999999998</v>
      </c>
    </row>
    <row r="44" spans="1:12" ht="15" x14ac:dyDescent="0.25">
      <c r="C44" s="9">
        <v>8.42</v>
      </c>
      <c r="D44" s="9">
        <v>0.9</v>
      </c>
      <c r="E44" s="21">
        <v>0.7</v>
      </c>
      <c r="F44" s="9">
        <v>10.17</v>
      </c>
      <c r="G44" s="9">
        <v>24</v>
      </c>
      <c r="H44" s="9">
        <f t="shared" si="4"/>
        <v>10.02</v>
      </c>
      <c r="I44" s="9">
        <f t="shared" si="5"/>
        <v>14.217775194188754</v>
      </c>
      <c r="J44" s="9">
        <f t="shared" si="6"/>
        <v>1.4459477372489962</v>
      </c>
      <c r="K44" s="9">
        <f t="shared" si="7"/>
        <v>2.7518274569397594</v>
      </c>
      <c r="L44" s="9">
        <f t="shared" si="8"/>
        <v>10.019999999999998</v>
      </c>
    </row>
    <row r="45" spans="1:12" ht="15" x14ac:dyDescent="0.25">
      <c r="C45" s="9">
        <v>8.42</v>
      </c>
      <c r="D45" s="9">
        <v>0.9</v>
      </c>
      <c r="E45" s="21">
        <v>0.7</v>
      </c>
      <c r="F45" s="9">
        <v>10.17</v>
      </c>
      <c r="G45" s="9">
        <v>24</v>
      </c>
      <c r="H45" s="9">
        <f t="shared" si="4"/>
        <v>10.02</v>
      </c>
      <c r="I45" s="9">
        <f t="shared" si="5"/>
        <v>14.217775194188754</v>
      </c>
      <c r="J45" s="9">
        <f t="shared" si="6"/>
        <v>1.4459477372489962</v>
      </c>
      <c r="K45" s="9">
        <f t="shared" si="7"/>
        <v>2.7518274569397594</v>
      </c>
      <c r="L45" s="9">
        <f t="shared" si="8"/>
        <v>10.019999999999998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C38BD-5BC8-42B7-89FF-D9A0A96274FB}">
  <sheetPr>
    <tabColor rgb="FF92D050"/>
  </sheetPr>
  <dimension ref="A1:O70"/>
  <sheetViews>
    <sheetView workbookViewId="0">
      <selection activeCell="E1" sqref="E1"/>
    </sheetView>
  </sheetViews>
  <sheetFormatPr defaultRowHeight="12.75" x14ac:dyDescent="0.2"/>
  <cols>
    <col min="1" max="1" width="53.42578125" customWidth="1"/>
    <col min="2" max="2" width="17.42578125" customWidth="1"/>
    <col min="9" max="9" width="12.140625" customWidth="1"/>
  </cols>
  <sheetData>
    <row r="1" spans="1:15" ht="21" x14ac:dyDescent="0.35">
      <c r="A1" s="55"/>
      <c r="B1" s="56"/>
      <c r="C1" s="55" t="s">
        <v>314</v>
      </c>
      <c r="D1" s="55" t="s">
        <v>315</v>
      </c>
      <c r="E1" s="77" t="s">
        <v>316</v>
      </c>
      <c r="F1" s="55" t="s">
        <v>317</v>
      </c>
      <c r="G1" s="55" t="s">
        <v>2086</v>
      </c>
      <c r="H1" s="55" t="s">
        <v>318</v>
      </c>
      <c r="I1" s="55" t="s">
        <v>319</v>
      </c>
      <c r="J1" s="58" t="s">
        <v>320</v>
      </c>
      <c r="K1" s="58" t="s">
        <v>2087</v>
      </c>
      <c r="L1" s="55" t="s">
        <v>321</v>
      </c>
      <c r="M1" s="55" t="s">
        <v>322</v>
      </c>
      <c r="N1" s="55" t="s">
        <v>323</v>
      </c>
      <c r="O1" s="55"/>
    </row>
    <row r="2" spans="1:15" ht="15" x14ac:dyDescent="0.25">
      <c r="A2" s="6" t="s">
        <v>1389</v>
      </c>
      <c r="B2" s="71" t="s">
        <v>1390</v>
      </c>
      <c r="C2" s="12">
        <v>12.66</v>
      </c>
      <c r="D2" s="88">
        <v>0.9</v>
      </c>
      <c r="E2" s="89" t="e">
        <f>IFERROR(
_xlfn.XLOOKUP(
B2,#REF!,#REF!
),
_xlfn.XLOOKUP(
A2,#REF!,#REF!
)
)</f>
        <v>#REF!</v>
      </c>
      <c r="F2" s="88" t="str">
        <f>IFERROR(
VLOOKUP(
B2,#REF!,
6,
FALSE
),
""
)</f>
        <v/>
      </c>
      <c r="G2" s="88">
        <v>0</v>
      </c>
      <c r="H2" s="88">
        <v>24</v>
      </c>
      <c r="I2" s="90" t="e">
        <f t="shared" ref="I2" si="0">C2+D2+E2</f>
        <v>#REF!</v>
      </c>
      <c r="J2" s="91" t="e">
        <f>(I2+G2) / (1 - F2/100 - (1 - 1/(1 + H2/100)))</f>
        <v>#REF!</v>
      </c>
      <c r="K2" s="91"/>
      <c r="L2" s="88" t="e">
        <f t="shared" ref="L2" si="1">J2 * F2 / 100</f>
        <v>#REF!</v>
      </c>
      <c r="M2" s="88" t="e">
        <f t="shared" ref="M2" si="2">J2 - (J2 / (1 + H2/100))</f>
        <v>#REF!</v>
      </c>
      <c r="N2" s="88" t="e">
        <f t="shared" ref="N2" si="3">J2 - L2 - M2</f>
        <v>#REF!</v>
      </c>
      <c r="O2" s="88"/>
    </row>
    <row r="3" spans="1:15" ht="15" x14ac:dyDescent="0.25">
      <c r="A3" s="6" t="s">
        <v>1391</v>
      </c>
      <c r="B3" s="71" t="s">
        <v>1392</v>
      </c>
      <c r="C3" s="12">
        <v>31.45</v>
      </c>
      <c r="D3" s="88">
        <v>0.9</v>
      </c>
      <c r="E3" s="89" t="e">
        <f>IFERROR(
_xlfn.XLOOKUP(
B3,#REF!,#REF!
),
_xlfn.XLOOKUP(
A3,#REF!,#REF!
)
)</f>
        <v>#REF!</v>
      </c>
      <c r="F3" s="88" t="str">
        <f>IFERROR(
VLOOKUP(
B3,#REF!,
6,
FALSE
),
""
)</f>
        <v/>
      </c>
      <c r="G3" s="88">
        <v>0</v>
      </c>
      <c r="H3" s="88">
        <v>24</v>
      </c>
      <c r="I3" s="90" t="e">
        <f t="shared" ref="I3:I66" si="4">C3+D3+E3</f>
        <v>#REF!</v>
      </c>
      <c r="J3" s="91" t="e">
        <f t="shared" ref="J3:J66" si="5">(I3+G3) / (1 - F3/100 - (1 - 1/(1 + H3/100)))</f>
        <v>#REF!</v>
      </c>
      <c r="K3" s="91"/>
      <c r="L3" s="88" t="e">
        <f t="shared" ref="L3:L66" si="6">J3 * F3 / 100</f>
        <v>#REF!</v>
      </c>
      <c r="M3" s="88" t="e">
        <f t="shared" ref="M3:M66" si="7">J3 - (J3 / (1 + H3/100))</f>
        <v>#REF!</v>
      </c>
      <c r="N3" s="88" t="e">
        <f t="shared" ref="N3:N66" si="8">J3 - L3 - M3</f>
        <v>#REF!</v>
      </c>
      <c r="O3" s="88"/>
    </row>
    <row r="4" spans="1:15" ht="15" x14ac:dyDescent="0.25">
      <c r="A4" s="6" t="s">
        <v>1393</v>
      </c>
      <c r="B4" s="71" t="s">
        <v>1394</v>
      </c>
      <c r="C4" s="12">
        <v>16.239999999999998</v>
      </c>
      <c r="D4" s="88">
        <v>0.9</v>
      </c>
      <c r="E4" s="89" t="e">
        <f>IFERROR(
_xlfn.XLOOKUP(
B4,#REF!,#REF!
),
_xlfn.XLOOKUP(
A4,#REF!,#REF!
)
)</f>
        <v>#REF!</v>
      </c>
      <c r="F4" s="88" t="str">
        <f>IFERROR(
VLOOKUP(
B4,#REF!,
6,
FALSE
),
""
)</f>
        <v/>
      </c>
      <c r="G4" s="88">
        <v>0</v>
      </c>
      <c r="H4" s="88">
        <v>24</v>
      </c>
      <c r="I4" s="90" t="e">
        <f t="shared" si="4"/>
        <v>#REF!</v>
      </c>
      <c r="J4" s="91" t="e">
        <f t="shared" si="5"/>
        <v>#REF!</v>
      </c>
      <c r="K4" s="91"/>
      <c r="L4" s="88" t="e">
        <f t="shared" si="6"/>
        <v>#REF!</v>
      </c>
      <c r="M4" s="88" t="e">
        <f t="shared" si="7"/>
        <v>#REF!</v>
      </c>
      <c r="N4" s="88" t="e">
        <f t="shared" si="8"/>
        <v>#REF!</v>
      </c>
      <c r="O4" s="88"/>
    </row>
    <row r="5" spans="1:15" ht="15" x14ac:dyDescent="0.25">
      <c r="A5" s="6" t="s">
        <v>1395</v>
      </c>
      <c r="B5" s="71" t="s">
        <v>1396</v>
      </c>
      <c r="C5" s="12">
        <v>19.3</v>
      </c>
      <c r="D5" s="88">
        <v>0.9</v>
      </c>
      <c r="E5" s="89" t="e">
        <f>IFERROR(
_xlfn.XLOOKUP(
B5,#REF!,#REF!
),
_xlfn.XLOOKUP(
A5,#REF!,#REF!
)
)</f>
        <v>#REF!</v>
      </c>
      <c r="F5" s="88" t="str">
        <f>IFERROR(
VLOOKUP(
B5,#REF!,
6,
FALSE
),
""
)</f>
        <v/>
      </c>
      <c r="G5" s="88">
        <v>0</v>
      </c>
      <c r="H5" s="88">
        <v>24</v>
      </c>
      <c r="I5" s="90" t="e">
        <f t="shared" si="4"/>
        <v>#REF!</v>
      </c>
      <c r="J5" s="91" t="e">
        <f t="shared" si="5"/>
        <v>#REF!</v>
      </c>
      <c r="K5" s="91">
        <v>32.4</v>
      </c>
      <c r="L5" s="88" t="e">
        <f t="shared" si="6"/>
        <v>#REF!</v>
      </c>
      <c r="M5" s="88" t="e">
        <f t="shared" si="7"/>
        <v>#REF!</v>
      </c>
      <c r="N5" s="88" t="e">
        <f t="shared" si="8"/>
        <v>#REF!</v>
      </c>
      <c r="O5" s="88"/>
    </row>
    <row r="6" spans="1:15" ht="15" x14ac:dyDescent="0.25">
      <c r="A6" s="6" t="s">
        <v>1397</v>
      </c>
      <c r="B6" s="71" t="s">
        <v>1398</v>
      </c>
      <c r="C6" s="12">
        <v>23.67</v>
      </c>
      <c r="D6" s="88">
        <v>0.9</v>
      </c>
      <c r="E6" s="89" t="e">
        <f>IFERROR(
_xlfn.XLOOKUP(
B6,#REF!,#REF!
),
_xlfn.XLOOKUP(
A6,#REF!,#REF!
)
)</f>
        <v>#REF!</v>
      </c>
      <c r="F6" s="88" t="str">
        <f>IFERROR(
VLOOKUP(
B6,#REF!,
6,
FALSE
),
""
)</f>
        <v/>
      </c>
      <c r="G6" s="88">
        <v>0</v>
      </c>
      <c r="H6" s="88">
        <v>24</v>
      </c>
      <c r="I6" s="90" t="e">
        <f t="shared" si="4"/>
        <v>#REF!</v>
      </c>
      <c r="J6" s="91" t="e">
        <f t="shared" si="5"/>
        <v>#REF!</v>
      </c>
      <c r="K6" s="91"/>
      <c r="L6" s="88" t="e">
        <f t="shared" si="6"/>
        <v>#REF!</v>
      </c>
      <c r="M6" s="88" t="e">
        <f t="shared" si="7"/>
        <v>#REF!</v>
      </c>
      <c r="N6" s="88" t="e">
        <f t="shared" si="8"/>
        <v>#REF!</v>
      </c>
      <c r="O6" s="88"/>
    </row>
    <row r="7" spans="1:15" ht="15" x14ac:dyDescent="0.25">
      <c r="A7" s="6" t="s">
        <v>1399</v>
      </c>
      <c r="B7" s="71" t="s">
        <v>1400</v>
      </c>
      <c r="C7" s="12">
        <v>17.260000000000002</v>
      </c>
      <c r="D7" s="88">
        <v>0.9</v>
      </c>
      <c r="E7" s="89" t="e">
        <f>IFERROR(
_xlfn.XLOOKUP(
B7,#REF!,#REF!
),
_xlfn.XLOOKUP(
A7,#REF!,#REF!
)
)</f>
        <v>#REF!</v>
      </c>
      <c r="F7" s="88" t="str">
        <f>IFERROR(
VLOOKUP(
B7,#REF!,
6,
FALSE
),
""
)</f>
        <v/>
      </c>
      <c r="G7" s="88">
        <v>0</v>
      </c>
      <c r="H7" s="88">
        <v>24</v>
      </c>
      <c r="I7" s="90" t="e">
        <f t="shared" si="4"/>
        <v>#REF!</v>
      </c>
      <c r="J7" s="91" t="e">
        <f t="shared" si="5"/>
        <v>#REF!</v>
      </c>
      <c r="K7" s="91"/>
      <c r="L7" s="88" t="e">
        <f t="shared" si="6"/>
        <v>#REF!</v>
      </c>
      <c r="M7" s="88" t="e">
        <f t="shared" si="7"/>
        <v>#REF!</v>
      </c>
      <c r="N7" s="88" t="e">
        <f t="shared" si="8"/>
        <v>#REF!</v>
      </c>
      <c r="O7" s="88"/>
    </row>
    <row r="8" spans="1:15" ht="15" x14ac:dyDescent="0.25">
      <c r="A8" s="6" t="s">
        <v>1401</v>
      </c>
      <c r="B8" s="71" t="s">
        <v>1402</v>
      </c>
      <c r="C8" s="12">
        <v>10.220000000000001</v>
      </c>
      <c r="D8" s="88">
        <v>0.9</v>
      </c>
      <c r="E8" s="89" t="e">
        <f>IFERROR(
_xlfn.XLOOKUP(
B8,#REF!,#REF!
),
_xlfn.XLOOKUP(
A8,#REF!,#REF!
)
)</f>
        <v>#REF!</v>
      </c>
      <c r="F8" s="88" t="str">
        <f>IFERROR(
VLOOKUP(
B8,#REF!,
6,
FALSE
),
""
)</f>
        <v/>
      </c>
      <c r="G8" s="88">
        <v>0</v>
      </c>
      <c r="H8" s="88">
        <v>24</v>
      </c>
      <c r="I8" s="90" t="e">
        <f t="shared" si="4"/>
        <v>#REF!</v>
      </c>
      <c r="J8" s="91" t="e">
        <f t="shared" si="5"/>
        <v>#REF!</v>
      </c>
      <c r="K8" s="91"/>
      <c r="L8" s="88" t="e">
        <f t="shared" si="6"/>
        <v>#REF!</v>
      </c>
      <c r="M8" s="88" t="e">
        <f t="shared" si="7"/>
        <v>#REF!</v>
      </c>
      <c r="N8" s="88" t="e">
        <f t="shared" si="8"/>
        <v>#REF!</v>
      </c>
      <c r="O8" s="88"/>
    </row>
    <row r="9" spans="1:15" ht="15" x14ac:dyDescent="0.25">
      <c r="A9" s="6" t="s">
        <v>1403</v>
      </c>
      <c r="B9" s="71" t="s">
        <v>1404</v>
      </c>
      <c r="C9" s="12">
        <v>18.27</v>
      </c>
      <c r="D9" s="88">
        <v>0.9</v>
      </c>
      <c r="E9" s="89" t="e">
        <f>IFERROR(
_xlfn.XLOOKUP(
B9,#REF!,#REF!
),
_xlfn.XLOOKUP(
A9,#REF!,#REF!
)
)</f>
        <v>#REF!</v>
      </c>
      <c r="F9" s="88" t="str">
        <f>IFERROR(
VLOOKUP(
B9,#REF!,
6,
FALSE
),
""
)</f>
        <v/>
      </c>
      <c r="G9" s="88">
        <v>0</v>
      </c>
      <c r="H9" s="88">
        <v>24</v>
      </c>
      <c r="I9" s="90" t="e">
        <f t="shared" si="4"/>
        <v>#REF!</v>
      </c>
      <c r="J9" s="91" t="e">
        <f t="shared" si="5"/>
        <v>#REF!</v>
      </c>
      <c r="K9" s="91"/>
      <c r="L9" s="88" t="e">
        <f t="shared" si="6"/>
        <v>#REF!</v>
      </c>
      <c r="M9" s="88" t="e">
        <f t="shared" si="7"/>
        <v>#REF!</v>
      </c>
      <c r="N9" s="88" t="e">
        <f t="shared" si="8"/>
        <v>#REF!</v>
      </c>
      <c r="O9" s="88"/>
    </row>
    <row r="10" spans="1:15" ht="15" x14ac:dyDescent="0.25">
      <c r="A10" s="6" t="s">
        <v>1405</v>
      </c>
      <c r="B10" s="71" t="s">
        <v>1406</v>
      </c>
      <c r="C10" s="12">
        <v>15.05</v>
      </c>
      <c r="D10" s="88">
        <v>0.9</v>
      </c>
      <c r="E10" s="89" t="e">
        <f>IFERROR(
_xlfn.XLOOKUP(
B10,#REF!,#REF!
),
_xlfn.XLOOKUP(
A10,#REF!,#REF!
)
)</f>
        <v>#REF!</v>
      </c>
      <c r="F10" s="88" t="str">
        <f>IFERROR(
VLOOKUP(
B10,#REF!,
6,
FALSE
),
""
)</f>
        <v/>
      </c>
      <c r="G10" s="88">
        <v>0</v>
      </c>
      <c r="H10" s="88">
        <v>24</v>
      </c>
      <c r="I10" s="90" t="e">
        <f t="shared" si="4"/>
        <v>#REF!</v>
      </c>
      <c r="J10" s="91" t="e">
        <f t="shared" si="5"/>
        <v>#REF!</v>
      </c>
      <c r="K10" s="91"/>
      <c r="L10" s="88" t="e">
        <f t="shared" si="6"/>
        <v>#REF!</v>
      </c>
      <c r="M10" s="88" t="e">
        <f t="shared" si="7"/>
        <v>#REF!</v>
      </c>
      <c r="N10" s="88" t="e">
        <f t="shared" si="8"/>
        <v>#REF!</v>
      </c>
      <c r="O10" s="88"/>
    </row>
    <row r="11" spans="1:15" ht="15" x14ac:dyDescent="0.25">
      <c r="A11" s="6" t="s">
        <v>1407</v>
      </c>
      <c r="B11" s="71" t="s">
        <v>1408</v>
      </c>
      <c r="C11" s="12">
        <v>15.07</v>
      </c>
      <c r="D11" s="88">
        <v>0.9</v>
      </c>
      <c r="E11" s="89" t="e">
        <f>IFERROR(
_xlfn.XLOOKUP(
B11,#REF!,#REF!
),
_xlfn.XLOOKUP(
A11,#REF!,#REF!
)
)</f>
        <v>#REF!</v>
      </c>
      <c r="F11" s="88" t="str">
        <f>IFERROR(
VLOOKUP(
B11,#REF!,
6,
FALSE
),
""
)</f>
        <v/>
      </c>
      <c r="G11" s="88">
        <v>0</v>
      </c>
      <c r="H11" s="88">
        <v>24</v>
      </c>
      <c r="I11" s="90" t="e">
        <f t="shared" si="4"/>
        <v>#REF!</v>
      </c>
      <c r="J11" s="91" t="e">
        <f t="shared" si="5"/>
        <v>#REF!</v>
      </c>
      <c r="K11" s="91"/>
      <c r="L11" s="88" t="e">
        <f t="shared" si="6"/>
        <v>#REF!</v>
      </c>
      <c r="M11" s="88" t="e">
        <f t="shared" si="7"/>
        <v>#REF!</v>
      </c>
      <c r="N11" s="88" t="e">
        <f t="shared" si="8"/>
        <v>#REF!</v>
      </c>
      <c r="O11" s="88"/>
    </row>
    <row r="12" spans="1:15" ht="15" x14ac:dyDescent="0.25">
      <c r="A12" s="6" t="s">
        <v>1409</v>
      </c>
      <c r="B12" s="74" t="s">
        <v>1410</v>
      </c>
      <c r="C12" s="12">
        <v>22.7</v>
      </c>
      <c r="D12" s="88">
        <v>0.9</v>
      </c>
      <c r="E12" s="89" t="e">
        <f>IFERROR(
_xlfn.XLOOKUP(
B12,#REF!,#REF!
),
_xlfn.XLOOKUP(
A12,#REF!,#REF!
)
)</f>
        <v>#REF!</v>
      </c>
      <c r="F12" s="88" t="str">
        <f>IFERROR(
VLOOKUP(
B12,#REF!,
6,
FALSE
),
""
)</f>
        <v/>
      </c>
      <c r="G12" s="88">
        <v>0</v>
      </c>
      <c r="H12" s="88">
        <v>24</v>
      </c>
      <c r="I12" s="90" t="e">
        <f t="shared" si="4"/>
        <v>#REF!</v>
      </c>
      <c r="J12" s="91" t="e">
        <f t="shared" si="5"/>
        <v>#REF!</v>
      </c>
      <c r="K12" s="91"/>
      <c r="L12" s="88" t="e">
        <f t="shared" si="6"/>
        <v>#REF!</v>
      </c>
      <c r="M12" s="88" t="e">
        <f t="shared" si="7"/>
        <v>#REF!</v>
      </c>
      <c r="N12" s="88" t="e">
        <f t="shared" si="8"/>
        <v>#REF!</v>
      </c>
      <c r="O12" s="88"/>
    </row>
    <row r="13" spans="1:15" ht="15" x14ac:dyDescent="0.25">
      <c r="A13" s="6" t="s">
        <v>1411</v>
      </c>
      <c r="B13" s="71" t="s">
        <v>1412</v>
      </c>
      <c r="C13" s="12">
        <v>15.57</v>
      </c>
      <c r="D13" s="88">
        <v>0.9</v>
      </c>
      <c r="E13" s="89" t="e">
        <f>IFERROR(
_xlfn.XLOOKUP(
B13,#REF!,#REF!
),
_xlfn.XLOOKUP(
A13,#REF!,#REF!
)
)</f>
        <v>#REF!</v>
      </c>
      <c r="F13" s="88" t="str">
        <f>IFERROR(
VLOOKUP(
B13,#REF!,
6,
FALSE
),
""
)</f>
        <v/>
      </c>
      <c r="G13" s="88">
        <v>0</v>
      </c>
      <c r="H13" s="88">
        <v>24</v>
      </c>
      <c r="I13" s="90" t="e">
        <f t="shared" si="4"/>
        <v>#REF!</v>
      </c>
      <c r="J13" s="91" t="e">
        <f t="shared" si="5"/>
        <v>#REF!</v>
      </c>
      <c r="K13" s="91"/>
      <c r="L13" s="88" t="e">
        <f t="shared" si="6"/>
        <v>#REF!</v>
      </c>
      <c r="M13" s="88" t="e">
        <f t="shared" si="7"/>
        <v>#REF!</v>
      </c>
      <c r="N13" s="88" t="e">
        <f t="shared" si="8"/>
        <v>#REF!</v>
      </c>
      <c r="O13" s="88"/>
    </row>
    <row r="14" spans="1:15" ht="15" x14ac:dyDescent="0.25">
      <c r="A14" s="6" t="s">
        <v>1413</v>
      </c>
      <c r="B14" s="71" t="s">
        <v>1414</v>
      </c>
      <c r="C14" s="12">
        <v>22.59</v>
      </c>
      <c r="D14" s="88">
        <v>0.9</v>
      </c>
      <c r="E14" s="89" t="e">
        <f>IFERROR(
_xlfn.XLOOKUP(
B14,#REF!,#REF!
),
_xlfn.XLOOKUP(
A14,#REF!,#REF!
)
)</f>
        <v>#REF!</v>
      </c>
      <c r="F14" s="88" t="str">
        <f>IFERROR(
VLOOKUP(
B14,#REF!,
6,
FALSE
),
""
)</f>
        <v/>
      </c>
      <c r="G14" s="88">
        <v>0</v>
      </c>
      <c r="H14" s="88">
        <v>24</v>
      </c>
      <c r="I14" s="90" t="e">
        <f t="shared" si="4"/>
        <v>#REF!</v>
      </c>
      <c r="J14" s="91" t="e">
        <f t="shared" si="5"/>
        <v>#REF!</v>
      </c>
      <c r="K14" s="91"/>
      <c r="L14" s="88" t="e">
        <f t="shared" si="6"/>
        <v>#REF!</v>
      </c>
      <c r="M14" s="88" t="e">
        <f t="shared" si="7"/>
        <v>#REF!</v>
      </c>
      <c r="N14" s="88" t="e">
        <f t="shared" si="8"/>
        <v>#REF!</v>
      </c>
      <c r="O14" s="88"/>
    </row>
    <row r="15" spans="1:15" ht="15" x14ac:dyDescent="0.25">
      <c r="A15" s="12" t="s">
        <v>1415</v>
      </c>
      <c r="B15" s="75" t="s">
        <v>2162</v>
      </c>
      <c r="C15" s="12">
        <v>12.91</v>
      </c>
      <c r="D15" s="88">
        <v>0.9</v>
      </c>
      <c r="E15" s="89" t="e">
        <f>IFERROR(
_xlfn.XLOOKUP(
B15,#REF!,#REF!
),
_xlfn.XLOOKUP(
A15,#REF!,#REF!
)
)</f>
        <v>#REF!</v>
      </c>
      <c r="F15" s="88" t="str">
        <f>IFERROR(
VLOOKUP(
B15,#REF!,
6,
FALSE
),
""
)</f>
        <v/>
      </c>
      <c r="G15" s="88">
        <v>0</v>
      </c>
      <c r="H15" s="88">
        <v>24</v>
      </c>
      <c r="I15" s="90" t="e">
        <f t="shared" si="4"/>
        <v>#REF!</v>
      </c>
      <c r="J15" s="91" t="e">
        <f t="shared" si="5"/>
        <v>#REF!</v>
      </c>
      <c r="K15" s="91"/>
      <c r="L15" s="88" t="e">
        <f t="shared" si="6"/>
        <v>#REF!</v>
      </c>
      <c r="M15" s="88" t="e">
        <f t="shared" si="7"/>
        <v>#REF!</v>
      </c>
      <c r="N15" s="88" t="e">
        <f t="shared" si="8"/>
        <v>#REF!</v>
      </c>
      <c r="O15" s="88"/>
    </row>
    <row r="16" spans="1:15" ht="15" x14ac:dyDescent="0.25">
      <c r="A16" s="12" t="s">
        <v>1416</v>
      </c>
      <c r="B16" s="75" t="s">
        <v>2163</v>
      </c>
      <c r="C16" s="12">
        <v>20.97</v>
      </c>
      <c r="D16" s="88">
        <v>0.9</v>
      </c>
      <c r="E16" s="89" t="e">
        <f>IFERROR(
_xlfn.XLOOKUP(
B16,#REF!,#REF!
),
_xlfn.XLOOKUP(
A16,#REF!,#REF!
)
)</f>
        <v>#REF!</v>
      </c>
      <c r="F16" s="88" t="str">
        <f>IFERROR(
VLOOKUP(
B16,#REF!,
6,
FALSE
),
""
)</f>
        <v/>
      </c>
      <c r="G16" s="88">
        <v>0</v>
      </c>
      <c r="H16" s="88">
        <v>24</v>
      </c>
      <c r="I16" s="90" t="e">
        <f t="shared" si="4"/>
        <v>#REF!</v>
      </c>
      <c r="J16" s="91" t="e">
        <f t="shared" si="5"/>
        <v>#REF!</v>
      </c>
      <c r="K16" s="91"/>
      <c r="L16" s="88" t="e">
        <f t="shared" si="6"/>
        <v>#REF!</v>
      </c>
      <c r="M16" s="88" t="e">
        <f t="shared" si="7"/>
        <v>#REF!</v>
      </c>
      <c r="N16" s="88" t="e">
        <f t="shared" si="8"/>
        <v>#REF!</v>
      </c>
      <c r="O16" s="88"/>
    </row>
    <row r="17" spans="1:15" ht="15" x14ac:dyDescent="0.25">
      <c r="A17" s="6" t="s">
        <v>1417</v>
      </c>
      <c r="B17" s="71" t="s">
        <v>1418</v>
      </c>
      <c r="C17" s="12">
        <v>23.65</v>
      </c>
      <c r="D17" s="88">
        <v>0.9</v>
      </c>
      <c r="E17" s="89" t="e">
        <f>IFERROR(
_xlfn.XLOOKUP(
B17,#REF!,#REF!
),
_xlfn.XLOOKUP(
A17,#REF!,#REF!
)
)</f>
        <v>#REF!</v>
      </c>
      <c r="F17" s="88" t="str">
        <f>IFERROR(
VLOOKUP(
B17,#REF!,
6,
FALSE
),
""
)</f>
        <v/>
      </c>
      <c r="G17" s="88">
        <v>0</v>
      </c>
      <c r="H17" s="88">
        <v>24</v>
      </c>
      <c r="I17" s="90" t="e">
        <f t="shared" si="4"/>
        <v>#REF!</v>
      </c>
      <c r="J17" s="91" t="e">
        <f t="shared" si="5"/>
        <v>#REF!</v>
      </c>
      <c r="K17" s="91"/>
      <c r="L17" s="88" t="e">
        <f t="shared" si="6"/>
        <v>#REF!</v>
      </c>
      <c r="M17" s="88" t="e">
        <f t="shared" si="7"/>
        <v>#REF!</v>
      </c>
      <c r="N17" s="88" t="e">
        <f t="shared" si="8"/>
        <v>#REF!</v>
      </c>
      <c r="O17" s="88"/>
    </row>
    <row r="18" spans="1:15" ht="15" x14ac:dyDescent="0.25">
      <c r="A18" s="92" t="s">
        <v>1419</v>
      </c>
      <c r="B18" s="93" t="s">
        <v>1420</v>
      </c>
      <c r="C18" s="12">
        <v>9.67</v>
      </c>
      <c r="D18" s="88">
        <v>0.9</v>
      </c>
      <c r="E18" s="89" t="e">
        <f>IFERROR(
_xlfn.XLOOKUP(
B18,#REF!,#REF!
),
_xlfn.XLOOKUP(
A18,#REF!,#REF!
)
)</f>
        <v>#REF!</v>
      </c>
      <c r="F18" s="88" t="str">
        <f>IFERROR(
VLOOKUP(
B18,#REF!,
6,
FALSE
),
""
)</f>
        <v/>
      </c>
      <c r="G18" s="88">
        <v>0</v>
      </c>
      <c r="H18" s="88">
        <v>24</v>
      </c>
      <c r="I18" s="90" t="e">
        <f t="shared" si="4"/>
        <v>#REF!</v>
      </c>
      <c r="J18" s="91" t="e">
        <f t="shared" si="5"/>
        <v>#REF!</v>
      </c>
      <c r="K18" s="91"/>
      <c r="L18" s="88" t="e">
        <f t="shared" si="6"/>
        <v>#REF!</v>
      </c>
      <c r="M18" s="88" t="e">
        <f t="shared" si="7"/>
        <v>#REF!</v>
      </c>
      <c r="N18" s="88" t="e">
        <f t="shared" si="8"/>
        <v>#REF!</v>
      </c>
      <c r="O18" s="88"/>
    </row>
    <row r="19" spans="1:15" ht="15" x14ac:dyDescent="0.25">
      <c r="A19" s="6" t="s">
        <v>1421</v>
      </c>
      <c r="B19" s="71" t="s">
        <v>1422</v>
      </c>
      <c r="C19" s="12">
        <v>18.27</v>
      </c>
      <c r="D19" s="88">
        <v>0.9</v>
      </c>
      <c r="E19" s="89" t="e">
        <f>IFERROR(
_xlfn.XLOOKUP(
B19,#REF!,#REF!
),
_xlfn.XLOOKUP(
A19,#REF!,#REF!
)
)</f>
        <v>#REF!</v>
      </c>
      <c r="F19" s="88" t="str">
        <f>IFERROR(
VLOOKUP(
B19,#REF!,
6,
FALSE
),
""
)</f>
        <v/>
      </c>
      <c r="G19" s="88">
        <v>0</v>
      </c>
      <c r="H19" s="88">
        <v>24</v>
      </c>
      <c r="I19" s="90" t="e">
        <f t="shared" si="4"/>
        <v>#REF!</v>
      </c>
      <c r="J19" s="91" t="e">
        <f t="shared" si="5"/>
        <v>#REF!</v>
      </c>
      <c r="K19" s="91"/>
      <c r="L19" s="88" t="e">
        <f t="shared" si="6"/>
        <v>#REF!</v>
      </c>
      <c r="M19" s="88" t="e">
        <f t="shared" si="7"/>
        <v>#REF!</v>
      </c>
      <c r="N19" s="88" t="e">
        <f t="shared" si="8"/>
        <v>#REF!</v>
      </c>
      <c r="O19" s="88"/>
    </row>
    <row r="20" spans="1:15" ht="15" x14ac:dyDescent="0.25">
      <c r="A20" s="6" t="s">
        <v>1423</v>
      </c>
      <c r="B20" s="71" t="s">
        <v>1424</v>
      </c>
      <c r="C20" s="12">
        <v>15.26</v>
      </c>
      <c r="D20" s="88">
        <v>0.9</v>
      </c>
      <c r="E20" s="89" t="e">
        <f>IFERROR(
_xlfn.XLOOKUP(
B20,#REF!,#REF!
),
_xlfn.XLOOKUP(
A20,#REF!,#REF!
)
)</f>
        <v>#REF!</v>
      </c>
      <c r="F20" s="88" t="str">
        <f>IFERROR(
VLOOKUP(
B20,#REF!,
6,
FALSE
),
""
)</f>
        <v/>
      </c>
      <c r="G20" s="88">
        <v>0</v>
      </c>
      <c r="H20" s="88">
        <v>24</v>
      </c>
      <c r="I20" s="90" t="e">
        <f t="shared" si="4"/>
        <v>#REF!</v>
      </c>
      <c r="J20" s="91" t="e">
        <f t="shared" si="5"/>
        <v>#REF!</v>
      </c>
      <c r="K20" s="91"/>
      <c r="L20" s="88" t="e">
        <f t="shared" si="6"/>
        <v>#REF!</v>
      </c>
      <c r="M20" s="88" t="e">
        <f t="shared" si="7"/>
        <v>#REF!</v>
      </c>
      <c r="N20" s="88" t="e">
        <f t="shared" si="8"/>
        <v>#REF!</v>
      </c>
      <c r="O20" s="88"/>
    </row>
    <row r="21" spans="1:15" ht="15" x14ac:dyDescent="0.25">
      <c r="A21" s="6" t="s">
        <v>1425</v>
      </c>
      <c r="B21" s="71" t="s">
        <v>1426</v>
      </c>
      <c r="C21" s="12">
        <v>16.239999999999998</v>
      </c>
      <c r="D21" s="88">
        <v>0.9</v>
      </c>
      <c r="E21" s="89" t="e">
        <f>IFERROR(
_xlfn.XLOOKUP(
B21,#REF!,#REF!
),
_xlfn.XLOOKUP(
A21,#REF!,#REF!
)
)</f>
        <v>#REF!</v>
      </c>
      <c r="F21" s="88" t="str">
        <f>IFERROR(
VLOOKUP(
B21,#REF!,
6,
FALSE
),
""
)</f>
        <v/>
      </c>
      <c r="G21" s="88">
        <v>0</v>
      </c>
      <c r="H21" s="88">
        <v>24</v>
      </c>
      <c r="I21" s="90" t="e">
        <f t="shared" si="4"/>
        <v>#REF!</v>
      </c>
      <c r="J21" s="91" t="e">
        <f t="shared" si="5"/>
        <v>#REF!</v>
      </c>
      <c r="K21" s="91"/>
      <c r="L21" s="88" t="e">
        <f t="shared" si="6"/>
        <v>#REF!</v>
      </c>
      <c r="M21" s="88" t="e">
        <f t="shared" si="7"/>
        <v>#REF!</v>
      </c>
      <c r="N21" s="88" t="e">
        <f t="shared" si="8"/>
        <v>#REF!</v>
      </c>
      <c r="O21" s="88"/>
    </row>
    <row r="22" spans="1:15" ht="15" x14ac:dyDescent="0.25">
      <c r="A22" s="6" t="s">
        <v>1427</v>
      </c>
      <c r="B22" s="71" t="s">
        <v>1428</v>
      </c>
      <c r="C22" s="12">
        <v>12.2</v>
      </c>
      <c r="D22" s="88">
        <v>0.9</v>
      </c>
      <c r="E22" s="89" t="e">
        <f>IFERROR(
_xlfn.XLOOKUP(
B22,#REF!,#REF!
),
_xlfn.XLOOKUP(
A22,#REF!,#REF!
)
)</f>
        <v>#REF!</v>
      </c>
      <c r="F22" s="88" t="str">
        <f>IFERROR(
VLOOKUP(
B22,#REF!,
6,
FALSE
),
""
)</f>
        <v/>
      </c>
      <c r="G22" s="88">
        <v>0</v>
      </c>
      <c r="H22" s="88">
        <v>24</v>
      </c>
      <c r="I22" s="90" t="e">
        <f t="shared" si="4"/>
        <v>#REF!</v>
      </c>
      <c r="J22" s="91" t="e">
        <f t="shared" si="5"/>
        <v>#REF!</v>
      </c>
      <c r="K22" s="91"/>
      <c r="L22" s="88" t="e">
        <f t="shared" si="6"/>
        <v>#REF!</v>
      </c>
      <c r="M22" s="88" t="e">
        <f t="shared" si="7"/>
        <v>#REF!</v>
      </c>
      <c r="N22" s="88" t="e">
        <f t="shared" si="8"/>
        <v>#REF!</v>
      </c>
      <c r="O22" s="88"/>
    </row>
    <row r="23" spans="1:15" ht="15" x14ac:dyDescent="0.25">
      <c r="A23" s="6" t="s">
        <v>1429</v>
      </c>
      <c r="B23" s="71" t="s">
        <v>1430</v>
      </c>
      <c r="C23" s="12">
        <v>17.25</v>
      </c>
      <c r="D23" s="88">
        <v>0.9</v>
      </c>
      <c r="E23" s="89" t="e">
        <f>IFERROR(
_xlfn.XLOOKUP(
B23,#REF!,#REF!
),
_xlfn.XLOOKUP(
A23,#REF!,#REF!
)
)</f>
        <v>#REF!</v>
      </c>
      <c r="F23" s="88" t="str">
        <f>IFERROR(
VLOOKUP(
B23,#REF!,
6,
FALSE
),
""
)</f>
        <v/>
      </c>
      <c r="G23" s="88">
        <v>0</v>
      </c>
      <c r="H23" s="88">
        <v>24</v>
      </c>
      <c r="I23" s="90" t="e">
        <f t="shared" si="4"/>
        <v>#REF!</v>
      </c>
      <c r="J23" s="91" t="e">
        <f t="shared" si="5"/>
        <v>#REF!</v>
      </c>
      <c r="K23" s="91"/>
      <c r="L23" s="88" t="e">
        <f t="shared" si="6"/>
        <v>#REF!</v>
      </c>
      <c r="M23" s="88" t="e">
        <f t="shared" si="7"/>
        <v>#REF!</v>
      </c>
      <c r="N23" s="88" t="e">
        <f t="shared" si="8"/>
        <v>#REF!</v>
      </c>
      <c r="O23" s="88"/>
    </row>
    <row r="24" spans="1:15" ht="15" x14ac:dyDescent="0.25">
      <c r="A24" s="6" t="s">
        <v>1431</v>
      </c>
      <c r="B24" s="71" t="s">
        <v>1432</v>
      </c>
      <c r="C24" s="12">
        <v>17.760000000000002</v>
      </c>
      <c r="D24" s="88">
        <v>0.9</v>
      </c>
      <c r="E24" s="89" t="e">
        <f>IFERROR(
_xlfn.XLOOKUP(
B24,#REF!,#REF!
),
_xlfn.XLOOKUP(
A24,#REF!,#REF!
)
)</f>
        <v>#REF!</v>
      </c>
      <c r="F24" s="88" t="str">
        <f>IFERROR(
VLOOKUP(
B24,#REF!,
6,
FALSE
),
""
)</f>
        <v/>
      </c>
      <c r="G24" s="88">
        <v>0</v>
      </c>
      <c r="H24" s="88">
        <v>24</v>
      </c>
      <c r="I24" s="90" t="e">
        <f t="shared" si="4"/>
        <v>#REF!</v>
      </c>
      <c r="J24" s="91" t="e">
        <f t="shared" si="5"/>
        <v>#REF!</v>
      </c>
      <c r="K24" s="91"/>
      <c r="L24" s="88" t="e">
        <f t="shared" si="6"/>
        <v>#REF!</v>
      </c>
      <c r="M24" s="88" t="e">
        <f t="shared" si="7"/>
        <v>#REF!</v>
      </c>
      <c r="N24" s="88" t="e">
        <f t="shared" si="8"/>
        <v>#REF!</v>
      </c>
      <c r="O24" s="88"/>
    </row>
    <row r="25" spans="1:15" ht="15" x14ac:dyDescent="0.25">
      <c r="A25" s="6" t="s">
        <v>1433</v>
      </c>
      <c r="B25" s="71" t="s">
        <v>1434</v>
      </c>
      <c r="C25" s="12">
        <v>19.3</v>
      </c>
      <c r="D25" s="88">
        <v>0.9</v>
      </c>
      <c r="E25" s="89" t="e">
        <f>IFERROR(
_xlfn.XLOOKUP(
B25,#REF!,#REF!
),
_xlfn.XLOOKUP(
A25,#REF!,#REF!
)
)</f>
        <v>#REF!</v>
      </c>
      <c r="F25" s="88" t="str">
        <f>IFERROR(
VLOOKUP(
B25,#REF!,
6,
FALSE
),
""
)</f>
        <v/>
      </c>
      <c r="G25" s="88">
        <v>0</v>
      </c>
      <c r="H25" s="88">
        <v>24</v>
      </c>
      <c r="I25" s="90" t="e">
        <f t="shared" si="4"/>
        <v>#REF!</v>
      </c>
      <c r="J25" s="91" t="e">
        <f t="shared" si="5"/>
        <v>#REF!</v>
      </c>
      <c r="K25" s="91"/>
      <c r="L25" s="88" t="e">
        <f t="shared" si="6"/>
        <v>#REF!</v>
      </c>
      <c r="M25" s="88" t="e">
        <f t="shared" si="7"/>
        <v>#REF!</v>
      </c>
      <c r="N25" s="88" t="e">
        <f t="shared" si="8"/>
        <v>#REF!</v>
      </c>
      <c r="O25" s="88"/>
    </row>
    <row r="26" spans="1:15" ht="15" x14ac:dyDescent="0.25">
      <c r="A26" s="12" t="s">
        <v>1435</v>
      </c>
      <c r="B26" s="75" t="s">
        <v>2164</v>
      </c>
      <c r="C26" s="12">
        <v>11.17</v>
      </c>
      <c r="D26" s="88">
        <v>0.9</v>
      </c>
      <c r="E26" s="89" t="e">
        <f>IFERROR(
_xlfn.XLOOKUP(
B26,#REF!,#REF!
),
_xlfn.XLOOKUP(
A26,#REF!,#REF!
)
)</f>
        <v>#REF!</v>
      </c>
      <c r="F26" s="88" t="str">
        <f>IFERROR(
VLOOKUP(
B26,#REF!,
6,
FALSE
),
""
)</f>
        <v/>
      </c>
      <c r="G26" s="88">
        <v>0</v>
      </c>
      <c r="H26" s="88">
        <v>24</v>
      </c>
      <c r="I26" s="90" t="e">
        <f t="shared" si="4"/>
        <v>#REF!</v>
      </c>
      <c r="J26" s="91" t="e">
        <f t="shared" si="5"/>
        <v>#REF!</v>
      </c>
      <c r="K26" s="91"/>
      <c r="L26" s="88" t="e">
        <f t="shared" si="6"/>
        <v>#REF!</v>
      </c>
      <c r="M26" s="88" t="e">
        <f t="shared" si="7"/>
        <v>#REF!</v>
      </c>
      <c r="N26" s="88" t="e">
        <f t="shared" si="8"/>
        <v>#REF!</v>
      </c>
      <c r="O26" s="88"/>
    </row>
    <row r="27" spans="1:15" ht="15" x14ac:dyDescent="0.25">
      <c r="A27" s="12" t="s">
        <v>1436</v>
      </c>
      <c r="B27" s="75" t="s">
        <v>2165</v>
      </c>
      <c r="C27" s="12">
        <v>30.51</v>
      </c>
      <c r="D27" s="88">
        <v>0.9</v>
      </c>
      <c r="E27" s="89" t="e">
        <f>IFERROR(
_xlfn.XLOOKUP(
B27,#REF!,#REF!
),
_xlfn.XLOOKUP(
A27,#REF!,#REF!
)
)</f>
        <v>#REF!</v>
      </c>
      <c r="F27" s="88" t="str">
        <f>IFERROR(
VLOOKUP(
B27,#REF!,
6,
FALSE
),
""
)</f>
        <v/>
      </c>
      <c r="G27" s="88">
        <v>0</v>
      </c>
      <c r="H27" s="88">
        <v>24</v>
      </c>
      <c r="I27" s="90" t="e">
        <f t="shared" si="4"/>
        <v>#REF!</v>
      </c>
      <c r="J27" s="91" t="e">
        <f t="shared" si="5"/>
        <v>#REF!</v>
      </c>
      <c r="K27" s="91"/>
      <c r="L27" s="88" t="e">
        <f t="shared" si="6"/>
        <v>#REF!</v>
      </c>
      <c r="M27" s="88" t="e">
        <f t="shared" si="7"/>
        <v>#REF!</v>
      </c>
      <c r="N27" s="88" t="e">
        <f t="shared" si="8"/>
        <v>#REF!</v>
      </c>
      <c r="O27" s="88"/>
    </row>
    <row r="28" spans="1:15" ht="15" x14ac:dyDescent="0.25">
      <c r="A28" s="6" t="s">
        <v>1437</v>
      </c>
      <c r="B28" s="71" t="s">
        <v>1438</v>
      </c>
      <c r="C28" s="12">
        <v>14.19</v>
      </c>
      <c r="D28" s="88">
        <v>0.9</v>
      </c>
      <c r="E28" s="89" t="e">
        <f>IFERROR(
_xlfn.XLOOKUP(
B28,#REF!,#REF!
),
_xlfn.XLOOKUP(
A28,#REF!,#REF!
)
)</f>
        <v>#REF!</v>
      </c>
      <c r="F28" s="88" t="str">
        <f>IFERROR(
VLOOKUP(
B28,#REF!,
6,
FALSE
),
""
)</f>
        <v/>
      </c>
      <c r="G28" s="88">
        <v>0</v>
      </c>
      <c r="H28" s="88">
        <v>24</v>
      </c>
      <c r="I28" s="90" t="e">
        <f t="shared" si="4"/>
        <v>#REF!</v>
      </c>
      <c r="J28" s="91" t="e">
        <f t="shared" si="5"/>
        <v>#REF!</v>
      </c>
      <c r="K28" s="91"/>
      <c r="L28" s="88" t="e">
        <f t="shared" si="6"/>
        <v>#REF!</v>
      </c>
      <c r="M28" s="88" t="e">
        <f t="shared" si="7"/>
        <v>#REF!</v>
      </c>
      <c r="N28" s="88" t="e">
        <f t="shared" si="8"/>
        <v>#REF!</v>
      </c>
      <c r="O28" s="88"/>
    </row>
    <row r="29" spans="1:15" ht="15" x14ac:dyDescent="0.25">
      <c r="A29" s="6" t="s">
        <v>1439</v>
      </c>
      <c r="B29" s="71" t="s">
        <v>1440</v>
      </c>
      <c r="C29" s="12">
        <v>17.25</v>
      </c>
      <c r="D29" s="88">
        <v>0.9</v>
      </c>
      <c r="E29" s="89" t="e">
        <f>IFERROR(
_xlfn.XLOOKUP(
B29,#REF!,#REF!
),
_xlfn.XLOOKUP(
A29,#REF!,#REF!
)
)</f>
        <v>#REF!</v>
      </c>
      <c r="F29" s="88" t="str">
        <f>IFERROR(
VLOOKUP(
B29,#REF!,
6,
FALSE
),
""
)</f>
        <v/>
      </c>
      <c r="G29" s="88">
        <v>0</v>
      </c>
      <c r="H29" s="88">
        <v>24</v>
      </c>
      <c r="I29" s="90" t="e">
        <f t="shared" si="4"/>
        <v>#REF!</v>
      </c>
      <c r="J29" s="91" t="e">
        <f t="shared" si="5"/>
        <v>#REF!</v>
      </c>
      <c r="K29" s="91"/>
      <c r="L29" s="88" t="e">
        <f t="shared" si="6"/>
        <v>#REF!</v>
      </c>
      <c r="M29" s="88" t="e">
        <f t="shared" si="7"/>
        <v>#REF!</v>
      </c>
      <c r="N29" s="88" t="e">
        <f t="shared" si="8"/>
        <v>#REF!</v>
      </c>
      <c r="O29" s="88"/>
    </row>
    <row r="30" spans="1:15" ht="15" x14ac:dyDescent="0.25">
      <c r="A30" s="6" t="s">
        <v>1441</v>
      </c>
      <c r="B30" s="71" t="s">
        <v>1442</v>
      </c>
      <c r="C30" s="12">
        <v>17.25</v>
      </c>
      <c r="D30" s="88">
        <v>0.9</v>
      </c>
      <c r="E30" s="89" t="e">
        <f>IFERROR(
_xlfn.XLOOKUP(
B30,#REF!,#REF!
),
_xlfn.XLOOKUP(
A30,#REF!,#REF!
)
)</f>
        <v>#REF!</v>
      </c>
      <c r="F30" s="88" t="str">
        <f>IFERROR(
VLOOKUP(
B30,#REF!,
6,
FALSE
),
""
)</f>
        <v/>
      </c>
      <c r="G30" s="88">
        <v>0</v>
      </c>
      <c r="H30" s="88">
        <v>24</v>
      </c>
      <c r="I30" s="90" t="e">
        <f t="shared" si="4"/>
        <v>#REF!</v>
      </c>
      <c r="J30" s="91" t="e">
        <f t="shared" si="5"/>
        <v>#REF!</v>
      </c>
      <c r="K30" s="91"/>
      <c r="L30" s="88" t="e">
        <f t="shared" si="6"/>
        <v>#REF!</v>
      </c>
      <c r="M30" s="88" t="e">
        <f t="shared" si="7"/>
        <v>#REF!</v>
      </c>
      <c r="N30" s="88" t="e">
        <f t="shared" si="8"/>
        <v>#REF!</v>
      </c>
      <c r="O30" s="88"/>
    </row>
    <row r="31" spans="1:15" ht="15" x14ac:dyDescent="0.25">
      <c r="A31" s="6" t="s">
        <v>1443</v>
      </c>
      <c r="B31" s="71" t="s">
        <v>1444</v>
      </c>
      <c r="C31" s="12">
        <v>20.309999999999999</v>
      </c>
      <c r="D31" s="88">
        <v>0.9</v>
      </c>
      <c r="E31" s="89" t="e">
        <f>IFERROR(
_xlfn.XLOOKUP(
B31,#REF!,#REF!
),
_xlfn.XLOOKUP(
A31,#REF!,#REF!
)
)</f>
        <v>#REF!</v>
      </c>
      <c r="F31" s="88" t="str">
        <f>IFERROR(
VLOOKUP(
B31,#REF!,
6,
FALSE
),
""
)</f>
        <v/>
      </c>
      <c r="G31" s="88">
        <v>0</v>
      </c>
      <c r="H31" s="88">
        <v>24</v>
      </c>
      <c r="I31" s="90" t="e">
        <f t="shared" si="4"/>
        <v>#REF!</v>
      </c>
      <c r="J31" s="91" t="e">
        <f t="shared" si="5"/>
        <v>#REF!</v>
      </c>
      <c r="K31" s="91"/>
      <c r="L31" s="88" t="e">
        <f t="shared" si="6"/>
        <v>#REF!</v>
      </c>
      <c r="M31" s="88" t="e">
        <f t="shared" si="7"/>
        <v>#REF!</v>
      </c>
      <c r="N31" s="88" t="e">
        <f t="shared" si="8"/>
        <v>#REF!</v>
      </c>
      <c r="O31" s="88"/>
    </row>
    <row r="32" spans="1:15" ht="15" x14ac:dyDescent="0.25">
      <c r="A32" s="6" t="s">
        <v>1445</v>
      </c>
      <c r="B32" s="71" t="s">
        <v>1446</v>
      </c>
      <c r="C32" s="12">
        <v>19.3</v>
      </c>
      <c r="D32" s="88">
        <v>0.9</v>
      </c>
      <c r="E32" s="89" t="e">
        <f>IFERROR(
_xlfn.XLOOKUP(
B32,#REF!,#REF!
),
_xlfn.XLOOKUP(
A32,#REF!,#REF!
)
)</f>
        <v>#REF!</v>
      </c>
      <c r="F32" s="88" t="str">
        <f>IFERROR(
VLOOKUP(
B32,#REF!,
6,
FALSE
),
""
)</f>
        <v/>
      </c>
      <c r="G32" s="88">
        <v>0</v>
      </c>
      <c r="H32" s="88">
        <v>24</v>
      </c>
      <c r="I32" s="90" t="e">
        <f t="shared" si="4"/>
        <v>#REF!</v>
      </c>
      <c r="J32" s="91" t="e">
        <f t="shared" si="5"/>
        <v>#REF!</v>
      </c>
      <c r="K32" s="91"/>
      <c r="L32" s="88" t="e">
        <f t="shared" si="6"/>
        <v>#REF!</v>
      </c>
      <c r="M32" s="88" t="e">
        <f t="shared" si="7"/>
        <v>#REF!</v>
      </c>
      <c r="N32" s="88" t="e">
        <f t="shared" si="8"/>
        <v>#REF!</v>
      </c>
      <c r="O32" s="88"/>
    </row>
    <row r="33" spans="1:15" ht="15" x14ac:dyDescent="0.25">
      <c r="A33" s="6" t="s">
        <v>1447</v>
      </c>
      <c r="B33" s="71" t="s">
        <v>1448</v>
      </c>
      <c r="C33" s="12">
        <v>19.809999999999999</v>
      </c>
      <c r="D33" s="88">
        <v>0.9</v>
      </c>
      <c r="E33" s="89" t="e">
        <f>IFERROR(
_xlfn.XLOOKUP(
B33,#REF!,#REF!
),
_xlfn.XLOOKUP(
A33,#REF!,#REF!
)
)</f>
        <v>#REF!</v>
      </c>
      <c r="F33" s="88" t="str">
        <f>IFERROR(
VLOOKUP(
B33,#REF!,
6,
FALSE
),
""
)</f>
        <v/>
      </c>
      <c r="G33" s="88">
        <v>0</v>
      </c>
      <c r="H33" s="88">
        <v>24</v>
      </c>
      <c r="I33" s="90" t="e">
        <f t="shared" si="4"/>
        <v>#REF!</v>
      </c>
      <c r="J33" s="91" t="e">
        <f t="shared" si="5"/>
        <v>#REF!</v>
      </c>
      <c r="K33" s="91"/>
      <c r="L33" s="88" t="e">
        <f t="shared" si="6"/>
        <v>#REF!</v>
      </c>
      <c r="M33" s="88" t="e">
        <f t="shared" si="7"/>
        <v>#REF!</v>
      </c>
      <c r="N33" s="88" t="e">
        <f t="shared" si="8"/>
        <v>#REF!</v>
      </c>
      <c r="O33" s="88"/>
    </row>
    <row r="34" spans="1:15" ht="15" x14ac:dyDescent="0.25">
      <c r="A34" s="6" t="s">
        <v>1449</v>
      </c>
      <c r="B34" s="71" t="s">
        <v>1450</v>
      </c>
      <c r="C34" s="12">
        <v>9.14</v>
      </c>
      <c r="D34" s="88">
        <v>0.9</v>
      </c>
      <c r="E34" s="89" t="e">
        <f>IFERROR(
_xlfn.XLOOKUP(
B34,#REF!,#REF!
),
_xlfn.XLOOKUP(
A34,#REF!,#REF!
)
)</f>
        <v>#REF!</v>
      </c>
      <c r="F34" s="88" t="str">
        <f>IFERROR(
VLOOKUP(
B34,#REF!,
6,
FALSE
),
""
)</f>
        <v/>
      </c>
      <c r="G34" s="88">
        <v>0</v>
      </c>
      <c r="H34" s="88">
        <v>24</v>
      </c>
      <c r="I34" s="90" t="e">
        <f t="shared" si="4"/>
        <v>#REF!</v>
      </c>
      <c r="J34" s="91" t="e">
        <f t="shared" si="5"/>
        <v>#REF!</v>
      </c>
      <c r="K34" s="91"/>
      <c r="L34" s="88" t="e">
        <f t="shared" si="6"/>
        <v>#REF!</v>
      </c>
      <c r="M34" s="88" t="e">
        <f t="shared" si="7"/>
        <v>#REF!</v>
      </c>
      <c r="N34" s="88" t="e">
        <f t="shared" si="8"/>
        <v>#REF!</v>
      </c>
      <c r="O34" s="88"/>
    </row>
    <row r="35" spans="1:15" ht="15" x14ac:dyDescent="0.25">
      <c r="A35" s="92" t="s">
        <v>1451</v>
      </c>
      <c r="B35" s="93" t="s">
        <v>1452</v>
      </c>
      <c r="C35" s="12">
        <v>14.19</v>
      </c>
      <c r="D35" s="88">
        <v>0.9</v>
      </c>
      <c r="E35" s="89" t="e">
        <f>IFERROR(
_xlfn.XLOOKUP(
B35,#REF!,#REF!
),
_xlfn.XLOOKUP(
A35,#REF!,#REF!
)
)</f>
        <v>#REF!</v>
      </c>
      <c r="F35" s="88" t="str">
        <f>IFERROR(
VLOOKUP(
B35,#REF!,
6,
FALSE
),
""
)</f>
        <v/>
      </c>
      <c r="G35" s="88">
        <v>0</v>
      </c>
      <c r="H35" s="88">
        <v>24</v>
      </c>
      <c r="I35" s="90" t="e">
        <f t="shared" si="4"/>
        <v>#REF!</v>
      </c>
      <c r="J35" s="91" t="e">
        <f t="shared" si="5"/>
        <v>#REF!</v>
      </c>
      <c r="K35" s="91"/>
      <c r="L35" s="88" t="e">
        <f t="shared" si="6"/>
        <v>#REF!</v>
      </c>
      <c r="M35" s="88" t="e">
        <f t="shared" si="7"/>
        <v>#REF!</v>
      </c>
      <c r="N35" s="88" t="e">
        <f t="shared" si="8"/>
        <v>#REF!</v>
      </c>
      <c r="O35" s="88"/>
    </row>
    <row r="36" spans="1:15" ht="15" x14ac:dyDescent="0.25">
      <c r="A36" s="6" t="s">
        <v>1453</v>
      </c>
      <c r="B36" s="71" t="s">
        <v>1454</v>
      </c>
      <c r="C36" s="12">
        <v>17.25</v>
      </c>
      <c r="D36" s="88">
        <v>0.9</v>
      </c>
      <c r="E36" s="89" t="e">
        <f>IFERROR(
_xlfn.XLOOKUP(
B36,#REF!,#REF!
),
_xlfn.XLOOKUP(
A36,#REF!,#REF!
)
)</f>
        <v>#REF!</v>
      </c>
      <c r="F36" s="88" t="str">
        <f>IFERROR(
VLOOKUP(
B36,#REF!,
6,
FALSE
),
""
)</f>
        <v/>
      </c>
      <c r="G36" s="88">
        <v>0</v>
      </c>
      <c r="H36" s="88">
        <v>24</v>
      </c>
      <c r="I36" s="90" t="e">
        <f t="shared" si="4"/>
        <v>#REF!</v>
      </c>
      <c r="J36" s="91" t="e">
        <f t="shared" si="5"/>
        <v>#REF!</v>
      </c>
      <c r="K36" s="91"/>
      <c r="L36" s="88" t="e">
        <f t="shared" si="6"/>
        <v>#REF!</v>
      </c>
      <c r="M36" s="88" t="e">
        <f t="shared" si="7"/>
        <v>#REF!</v>
      </c>
      <c r="N36" s="88" t="e">
        <f t="shared" si="8"/>
        <v>#REF!</v>
      </c>
      <c r="O36" s="88"/>
    </row>
    <row r="37" spans="1:15" ht="15" x14ac:dyDescent="0.25">
      <c r="A37" s="6" t="s">
        <v>1455</v>
      </c>
      <c r="B37" s="71" t="s">
        <v>1456</v>
      </c>
      <c r="C37" s="12">
        <v>17.63</v>
      </c>
      <c r="D37" s="88">
        <v>0.9</v>
      </c>
      <c r="E37" s="89" t="e">
        <f>IFERROR(
_xlfn.XLOOKUP(
B37,#REF!,#REF!
),
_xlfn.XLOOKUP(
A37,#REF!,#REF!
)
)</f>
        <v>#REF!</v>
      </c>
      <c r="F37" s="88" t="str">
        <f>IFERROR(
VLOOKUP(
B37,#REF!,
6,
FALSE
),
""
)</f>
        <v/>
      </c>
      <c r="G37" s="88">
        <v>0</v>
      </c>
      <c r="H37" s="88">
        <v>24</v>
      </c>
      <c r="I37" s="90" t="e">
        <f t="shared" si="4"/>
        <v>#REF!</v>
      </c>
      <c r="J37" s="91" t="e">
        <f t="shared" si="5"/>
        <v>#REF!</v>
      </c>
      <c r="K37" s="91"/>
      <c r="L37" s="88" t="e">
        <f t="shared" si="6"/>
        <v>#REF!</v>
      </c>
      <c r="M37" s="88" t="e">
        <f t="shared" si="7"/>
        <v>#REF!</v>
      </c>
      <c r="N37" s="88" t="e">
        <f t="shared" si="8"/>
        <v>#REF!</v>
      </c>
      <c r="O37" s="88"/>
    </row>
    <row r="38" spans="1:15" ht="15" x14ac:dyDescent="0.25">
      <c r="C38" s="12">
        <v>0</v>
      </c>
      <c r="D38" s="88">
        <v>0</v>
      </c>
      <c r="E38" s="89" t="e">
        <f>IFERROR(
_xlfn.XLOOKUP(
B38,#REF!,#REF!
),
_xlfn.XLOOKUP(
A38,#REF!,#REF!
)
)</f>
        <v>#REF!</v>
      </c>
      <c r="F38" s="88" t="str">
        <f>IFERROR(
VLOOKUP(
B38,#REF!,
6,
FALSE
),
""
)</f>
        <v/>
      </c>
      <c r="G38" s="88">
        <v>0</v>
      </c>
      <c r="H38" s="88">
        <v>24</v>
      </c>
      <c r="I38" s="90" t="e">
        <f t="shared" si="4"/>
        <v>#REF!</v>
      </c>
      <c r="J38" s="91" t="e">
        <f t="shared" si="5"/>
        <v>#REF!</v>
      </c>
      <c r="K38" s="91"/>
      <c r="L38" s="88" t="e">
        <f t="shared" si="6"/>
        <v>#REF!</v>
      </c>
      <c r="M38" s="88" t="e">
        <f t="shared" si="7"/>
        <v>#REF!</v>
      </c>
      <c r="N38" s="88" t="e">
        <f t="shared" si="8"/>
        <v>#REF!</v>
      </c>
      <c r="O38" s="88"/>
    </row>
    <row r="39" spans="1:15" ht="15" x14ac:dyDescent="0.25">
      <c r="C39" s="12">
        <v>0</v>
      </c>
      <c r="D39" s="88">
        <v>0</v>
      </c>
      <c r="E39" s="89" t="e">
        <f>IFERROR(
_xlfn.XLOOKUP(
B39,#REF!,#REF!
),
_xlfn.XLOOKUP(
A39,#REF!,#REF!
)
)</f>
        <v>#REF!</v>
      </c>
      <c r="F39" s="88" t="str">
        <f>IFERROR(
VLOOKUP(
B39,#REF!,
6,
FALSE
),
""
)</f>
        <v/>
      </c>
      <c r="G39" s="88">
        <v>0</v>
      </c>
      <c r="H39" s="88">
        <v>24</v>
      </c>
      <c r="I39" s="90" t="e">
        <f t="shared" si="4"/>
        <v>#REF!</v>
      </c>
      <c r="J39" s="91" t="e">
        <f t="shared" si="5"/>
        <v>#REF!</v>
      </c>
      <c r="K39" s="91"/>
      <c r="L39" s="88" t="e">
        <f t="shared" si="6"/>
        <v>#REF!</v>
      </c>
      <c r="M39" s="88" t="e">
        <f t="shared" si="7"/>
        <v>#REF!</v>
      </c>
      <c r="N39" s="88" t="e">
        <f t="shared" si="8"/>
        <v>#REF!</v>
      </c>
      <c r="O39" s="88"/>
    </row>
    <row r="40" spans="1:15" ht="15" x14ac:dyDescent="0.25">
      <c r="D40" s="88">
        <v>0</v>
      </c>
      <c r="E40" s="89" t="e">
        <f>IFERROR(
_xlfn.XLOOKUP(
B40,#REF!,#REF!
),
_xlfn.XLOOKUP(
A40,#REF!,#REF!
)
)</f>
        <v>#REF!</v>
      </c>
      <c r="F40" s="88" t="str">
        <f>IFERROR(
VLOOKUP(
B40,#REF!,
6,
FALSE
),
""
)</f>
        <v/>
      </c>
      <c r="G40" s="88">
        <v>0</v>
      </c>
      <c r="H40" s="88">
        <v>24</v>
      </c>
      <c r="I40" s="90" t="e">
        <f t="shared" si="4"/>
        <v>#REF!</v>
      </c>
      <c r="J40" s="91" t="e">
        <f t="shared" si="5"/>
        <v>#REF!</v>
      </c>
      <c r="K40" s="91"/>
      <c r="L40" s="88" t="e">
        <f t="shared" si="6"/>
        <v>#REF!</v>
      </c>
      <c r="M40" s="88" t="e">
        <f t="shared" si="7"/>
        <v>#REF!</v>
      </c>
      <c r="N40" s="88" t="e">
        <f t="shared" si="8"/>
        <v>#REF!</v>
      </c>
      <c r="O40" s="88"/>
    </row>
    <row r="41" spans="1:15" ht="15" x14ac:dyDescent="0.25">
      <c r="D41" s="88">
        <v>0</v>
      </c>
      <c r="E41" s="89" t="e">
        <f>IFERROR(
_xlfn.XLOOKUP(
B41,#REF!,#REF!
),
_xlfn.XLOOKUP(
A41,#REF!,#REF!
)
)</f>
        <v>#REF!</v>
      </c>
      <c r="F41" s="88" t="str">
        <f>IFERROR(
VLOOKUP(
B41,#REF!,
6,
FALSE
),
""
)</f>
        <v/>
      </c>
      <c r="G41" s="88">
        <v>0</v>
      </c>
      <c r="H41" s="88">
        <v>24</v>
      </c>
      <c r="I41" s="90" t="e">
        <f t="shared" si="4"/>
        <v>#REF!</v>
      </c>
      <c r="J41" s="91" t="e">
        <f t="shared" si="5"/>
        <v>#REF!</v>
      </c>
      <c r="K41" s="91"/>
      <c r="L41" s="88" t="e">
        <f t="shared" si="6"/>
        <v>#REF!</v>
      </c>
      <c r="M41" s="88" t="e">
        <f t="shared" si="7"/>
        <v>#REF!</v>
      </c>
      <c r="N41" s="88" t="e">
        <f t="shared" si="8"/>
        <v>#REF!</v>
      </c>
      <c r="O41" s="88"/>
    </row>
    <row r="42" spans="1:15" ht="15" x14ac:dyDescent="0.25">
      <c r="D42" s="88">
        <v>0</v>
      </c>
      <c r="E42" s="89" t="e">
        <f>IFERROR(
_xlfn.XLOOKUP(
B42,#REF!,#REF!
),
_xlfn.XLOOKUP(
A42,#REF!,#REF!
)
)</f>
        <v>#REF!</v>
      </c>
      <c r="F42" s="88" t="str">
        <f>IFERROR(
VLOOKUP(
B42,#REF!,
6,
FALSE
),
""
)</f>
        <v/>
      </c>
      <c r="G42" s="88">
        <v>0</v>
      </c>
      <c r="H42" s="88">
        <v>24</v>
      </c>
      <c r="I42" s="90" t="e">
        <f t="shared" si="4"/>
        <v>#REF!</v>
      </c>
      <c r="J42" s="91" t="e">
        <f t="shared" si="5"/>
        <v>#REF!</v>
      </c>
      <c r="K42" s="91"/>
      <c r="L42" s="88" t="e">
        <f t="shared" si="6"/>
        <v>#REF!</v>
      </c>
      <c r="M42" s="88" t="e">
        <f t="shared" si="7"/>
        <v>#REF!</v>
      </c>
      <c r="N42" s="88" t="e">
        <f t="shared" si="8"/>
        <v>#REF!</v>
      </c>
      <c r="O42" s="88"/>
    </row>
    <row r="43" spans="1:15" ht="15" x14ac:dyDescent="0.25">
      <c r="D43" s="88">
        <v>0</v>
      </c>
      <c r="E43" s="89" t="e">
        <f>IFERROR(
_xlfn.XLOOKUP(
B43,#REF!,#REF!
),
_xlfn.XLOOKUP(
A43,#REF!,#REF!
)
)</f>
        <v>#REF!</v>
      </c>
      <c r="F43" s="88" t="str">
        <f>IFERROR(
VLOOKUP(
B43,#REF!,
6,
FALSE
),
""
)</f>
        <v/>
      </c>
      <c r="G43" s="88">
        <v>0</v>
      </c>
      <c r="H43" s="88">
        <v>24</v>
      </c>
      <c r="I43" s="90" t="e">
        <f t="shared" si="4"/>
        <v>#REF!</v>
      </c>
      <c r="J43" s="91" t="e">
        <f t="shared" si="5"/>
        <v>#REF!</v>
      </c>
      <c r="K43" s="91"/>
      <c r="L43" s="88" t="e">
        <f t="shared" si="6"/>
        <v>#REF!</v>
      </c>
      <c r="M43" s="88" t="e">
        <f t="shared" si="7"/>
        <v>#REF!</v>
      </c>
      <c r="N43" s="88" t="e">
        <f t="shared" si="8"/>
        <v>#REF!</v>
      </c>
      <c r="O43" s="88"/>
    </row>
    <row r="44" spans="1:15" ht="15" x14ac:dyDescent="0.25">
      <c r="D44" s="88">
        <v>0</v>
      </c>
      <c r="E44" s="89" t="e">
        <f>IFERROR(
_xlfn.XLOOKUP(
B44,#REF!,#REF!
),
_xlfn.XLOOKUP(
A44,#REF!,#REF!
)
)</f>
        <v>#REF!</v>
      </c>
      <c r="F44" s="88" t="str">
        <f>IFERROR(
VLOOKUP(
B44,#REF!,
6,
FALSE
),
""
)</f>
        <v/>
      </c>
      <c r="G44" s="88">
        <v>0</v>
      </c>
      <c r="H44" s="88">
        <v>24</v>
      </c>
      <c r="I44" s="90" t="e">
        <f t="shared" si="4"/>
        <v>#REF!</v>
      </c>
      <c r="J44" s="91" t="e">
        <f t="shared" si="5"/>
        <v>#REF!</v>
      </c>
      <c r="K44" s="91"/>
      <c r="L44" s="88" t="e">
        <f t="shared" si="6"/>
        <v>#REF!</v>
      </c>
      <c r="M44" s="88" t="e">
        <f t="shared" si="7"/>
        <v>#REF!</v>
      </c>
      <c r="N44" s="88" t="e">
        <f t="shared" si="8"/>
        <v>#REF!</v>
      </c>
      <c r="O44" s="88"/>
    </row>
    <row r="45" spans="1:15" ht="15" x14ac:dyDescent="0.25">
      <c r="D45" s="88">
        <v>0</v>
      </c>
      <c r="E45" s="89" t="e">
        <f>IFERROR(
_xlfn.XLOOKUP(
B45,#REF!,#REF!
),
_xlfn.XLOOKUP(
A45,#REF!,#REF!
)
)</f>
        <v>#REF!</v>
      </c>
      <c r="F45" s="88" t="str">
        <f>IFERROR(
VLOOKUP(
B45,#REF!,
6,
FALSE
),
""
)</f>
        <v/>
      </c>
      <c r="G45" s="88">
        <v>0</v>
      </c>
      <c r="H45" s="88">
        <v>24</v>
      </c>
      <c r="I45" s="90" t="e">
        <f t="shared" si="4"/>
        <v>#REF!</v>
      </c>
      <c r="J45" s="91" t="e">
        <f t="shared" si="5"/>
        <v>#REF!</v>
      </c>
      <c r="K45" s="91"/>
      <c r="L45" s="88" t="e">
        <f t="shared" si="6"/>
        <v>#REF!</v>
      </c>
      <c r="M45" s="88" t="e">
        <f t="shared" si="7"/>
        <v>#REF!</v>
      </c>
      <c r="N45" s="88" t="e">
        <f t="shared" si="8"/>
        <v>#REF!</v>
      </c>
      <c r="O45" s="88"/>
    </row>
    <row r="46" spans="1:15" ht="15" x14ac:dyDescent="0.25">
      <c r="D46" s="88">
        <v>0</v>
      </c>
      <c r="E46" s="89" t="e">
        <f>IFERROR(
_xlfn.XLOOKUP(
B46,#REF!,#REF!
),
_xlfn.XLOOKUP(
A46,#REF!,#REF!
)
)</f>
        <v>#REF!</v>
      </c>
      <c r="F46" s="88" t="str">
        <f>IFERROR(
VLOOKUP(
B46,#REF!,
6,
FALSE
),
""
)</f>
        <v/>
      </c>
      <c r="G46" s="88">
        <v>0</v>
      </c>
      <c r="H46" s="88">
        <v>24</v>
      </c>
      <c r="I46" s="90" t="e">
        <f t="shared" si="4"/>
        <v>#REF!</v>
      </c>
      <c r="J46" s="91" t="e">
        <f t="shared" si="5"/>
        <v>#REF!</v>
      </c>
      <c r="K46" s="91"/>
      <c r="L46" s="88" t="e">
        <f t="shared" si="6"/>
        <v>#REF!</v>
      </c>
      <c r="M46" s="88" t="e">
        <f t="shared" si="7"/>
        <v>#REF!</v>
      </c>
      <c r="N46" s="88" t="e">
        <f t="shared" si="8"/>
        <v>#REF!</v>
      </c>
      <c r="O46" s="88"/>
    </row>
    <row r="47" spans="1:15" ht="15" x14ac:dyDescent="0.25">
      <c r="D47" s="88">
        <v>0</v>
      </c>
      <c r="E47" s="89" t="e">
        <f>IFERROR(
_xlfn.XLOOKUP(
B47,#REF!,#REF!
),
_xlfn.XLOOKUP(
A47,#REF!,#REF!
)
)</f>
        <v>#REF!</v>
      </c>
      <c r="F47" s="88" t="str">
        <f>IFERROR(
VLOOKUP(
B47,#REF!,
6,
FALSE
),
""
)</f>
        <v/>
      </c>
      <c r="G47" s="88">
        <v>0</v>
      </c>
      <c r="H47" s="88">
        <v>24</v>
      </c>
      <c r="I47" s="90" t="e">
        <f t="shared" si="4"/>
        <v>#REF!</v>
      </c>
      <c r="J47" s="91" t="e">
        <f t="shared" si="5"/>
        <v>#REF!</v>
      </c>
      <c r="K47" s="91"/>
      <c r="L47" s="88" t="e">
        <f t="shared" si="6"/>
        <v>#REF!</v>
      </c>
      <c r="M47" s="88" t="e">
        <f t="shared" si="7"/>
        <v>#REF!</v>
      </c>
      <c r="N47" s="88" t="e">
        <f t="shared" si="8"/>
        <v>#REF!</v>
      </c>
      <c r="O47" s="88"/>
    </row>
    <row r="48" spans="1:15" ht="15" x14ac:dyDescent="0.25">
      <c r="D48" s="88">
        <v>0</v>
      </c>
      <c r="E48" s="89" t="e">
        <f>IFERROR(
_xlfn.XLOOKUP(
B48,#REF!,#REF!
),
_xlfn.XLOOKUP(
A48,#REF!,#REF!
)
)</f>
        <v>#REF!</v>
      </c>
      <c r="F48" s="88" t="str">
        <f>IFERROR(
VLOOKUP(
B48,#REF!,
6,
FALSE
),
""
)</f>
        <v/>
      </c>
      <c r="G48" s="88">
        <v>0</v>
      </c>
      <c r="H48" s="88">
        <v>24</v>
      </c>
      <c r="I48" s="90" t="e">
        <f t="shared" si="4"/>
        <v>#REF!</v>
      </c>
      <c r="J48" s="91" t="e">
        <f t="shared" si="5"/>
        <v>#REF!</v>
      </c>
      <c r="K48" s="91"/>
      <c r="L48" s="88" t="e">
        <f t="shared" si="6"/>
        <v>#REF!</v>
      </c>
      <c r="M48" s="88" t="e">
        <f t="shared" si="7"/>
        <v>#REF!</v>
      </c>
      <c r="N48" s="88" t="e">
        <f t="shared" si="8"/>
        <v>#REF!</v>
      </c>
      <c r="O48" s="88"/>
    </row>
    <row r="49" spans="4:15" ht="15" x14ac:dyDescent="0.25">
      <c r="D49" s="88">
        <v>0</v>
      </c>
      <c r="E49" s="89" t="e">
        <f>IFERROR(
_xlfn.XLOOKUP(
B49,#REF!,#REF!
),
_xlfn.XLOOKUP(
A49,#REF!,#REF!
)
)</f>
        <v>#REF!</v>
      </c>
      <c r="F49" s="88" t="str">
        <f>IFERROR(
VLOOKUP(
B49,#REF!,
6,
FALSE
),
""
)</f>
        <v/>
      </c>
      <c r="G49" s="88">
        <v>0</v>
      </c>
      <c r="H49" s="88">
        <v>24</v>
      </c>
      <c r="I49" s="90" t="e">
        <f t="shared" si="4"/>
        <v>#REF!</v>
      </c>
      <c r="J49" s="91" t="e">
        <f t="shared" si="5"/>
        <v>#REF!</v>
      </c>
      <c r="K49" s="91"/>
      <c r="L49" s="88" t="e">
        <f t="shared" si="6"/>
        <v>#REF!</v>
      </c>
      <c r="M49" s="88" t="e">
        <f t="shared" si="7"/>
        <v>#REF!</v>
      </c>
      <c r="N49" s="88" t="e">
        <f t="shared" si="8"/>
        <v>#REF!</v>
      </c>
      <c r="O49" s="88"/>
    </row>
    <row r="50" spans="4:15" ht="15" x14ac:dyDescent="0.25">
      <c r="D50" s="88">
        <v>0</v>
      </c>
      <c r="E50" s="89" t="e">
        <f>IFERROR(
_xlfn.XLOOKUP(
B50,#REF!,#REF!
),
_xlfn.XLOOKUP(
A50,#REF!,#REF!
)
)</f>
        <v>#REF!</v>
      </c>
      <c r="F50" s="88" t="str">
        <f>IFERROR(
VLOOKUP(
B50,#REF!,
6,
FALSE
),
""
)</f>
        <v/>
      </c>
      <c r="G50" s="88">
        <v>0</v>
      </c>
      <c r="H50" s="88">
        <v>24</v>
      </c>
      <c r="I50" s="90" t="e">
        <f t="shared" si="4"/>
        <v>#REF!</v>
      </c>
      <c r="J50" s="91" t="e">
        <f t="shared" si="5"/>
        <v>#REF!</v>
      </c>
      <c r="K50" s="91"/>
      <c r="L50" s="88" t="e">
        <f t="shared" si="6"/>
        <v>#REF!</v>
      </c>
      <c r="M50" s="88" t="e">
        <f t="shared" si="7"/>
        <v>#REF!</v>
      </c>
      <c r="N50" s="88" t="e">
        <f t="shared" si="8"/>
        <v>#REF!</v>
      </c>
      <c r="O50" s="88"/>
    </row>
    <row r="51" spans="4:15" ht="15" x14ac:dyDescent="0.25">
      <c r="D51" s="88">
        <v>0</v>
      </c>
      <c r="E51" s="89" t="e">
        <f>IFERROR(
_xlfn.XLOOKUP(
B51,#REF!,#REF!
),
_xlfn.XLOOKUP(
A51,#REF!,#REF!
)
)</f>
        <v>#REF!</v>
      </c>
      <c r="F51" s="88" t="str">
        <f>IFERROR(
VLOOKUP(
B51,#REF!,
6,
FALSE
),
""
)</f>
        <v/>
      </c>
      <c r="G51" s="88">
        <v>0</v>
      </c>
      <c r="H51" s="88">
        <v>24</v>
      </c>
      <c r="I51" s="90" t="e">
        <f t="shared" si="4"/>
        <v>#REF!</v>
      </c>
      <c r="J51" s="91" t="e">
        <f t="shared" si="5"/>
        <v>#REF!</v>
      </c>
      <c r="K51" s="91"/>
      <c r="L51" s="88" t="e">
        <f t="shared" si="6"/>
        <v>#REF!</v>
      </c>
      <c r="M51" s="88" t="e">
        <f t="shared" si="7"/>
        <v>#REF!</v>
      </c>
      <c r="N51" s="88" t="e">
        <f t="shared" si="8"/>
        <v>#REF!</v>
      </c>
      <c r="O51" s="88"/>
    </row>
    <row r="52" spans="4:15" ht="15" x14ac:dyDescent="0.25">
      <c r="D52" s="88">
        <v>0</v>
      </c>
      <c r="E52" s="89" t="e">
        <f>IFERROR(
_xlfn.XLOOKUP(
B52,#REF!,#REF!
),
_xlfn.XLOOKUP(
A52,#REF!,#REF!
)
)</f>
        <v>#REF!</v>
      </c>
      <c r="F52" s="88" t="str">
        <f>IFERROR(
VLOOKUP(
B52,#REF!,
6,
FALSE
),
""
)</f>
        <v/>
      </c>
      <c r="G52" s="88">
        <v>0</v>
      </c>
      <c r="H52" s="88">
        <v>24</v>
      </c>
      <c r="I52" s="90" t="e">
        <f t="shared" si="4"/>
        <v>#REF!</v>
      </c>
      <c r="J52" s="91" t="e">
        <f t="shared" si="5"/>
        <v>#REF!</v>
      </c>
      <c r="K52" s="91"/>
      <c r="L52" s="88" t="e">
        <f t="shared" si="6"/>
        <v>#REF!</v>
      </c>
      <c r="M52" s="88" t="e">
        <f t="shared" si="7"/>
        <v>#REF!</v>
      </c>
      <c r="N52" s="88" t="e">
        <f t="shared" si="8"/>
        <v>#REF!</v>
      </c>
      <c r="O52" s="88"/>
    </row>
    <row r="53" spans="4:15" ht="15" x14ac:dyDescent="0.25">
      <c r="D53" s="88">
        <v>0</v>
      </c>
      <c r="E53" s="89" t="e">
        <f>IFERROR(
_xlfn.XLOOKUP(
B53,#REF!,#REF!
),
_xlfn.XLOOKUP(
A53,#REF!,#REF!
)
)</f>
        <v>#REF!</v>
      </c>
      <c r="F53" s="88" t="str">
        <f>IFERROR(
VLOOKUP(
B53,#REF!,
6,
FALSE
),
""
)</f>
        <v/>
      </c>
      <c r="G53" s="88">
        <v>0</v>
      </c>
      <c r="H53" s="88">
        <v>24</v>
      </c>
      <c r="I53" s="90" t="e">
        <f t="shared" si="4"/>
        <v>#REF!</v>
      </c>
      <c r="J53" s="91" t="e">
        <f t="shared" si="5"/>
        <v>#REF!</v>
      </c>
      <c r="K53" s="91"/>
      <c r="L53" s="88" t="e">
        <f t="shared" si="6"/>
        <v>#REF!</v>
      </c>
      <c r="M53" s="88" t="e">
        <f t="shared" si="7"/>
        <v>#REF!</v>
      </c>
      <c r="N53" s="88" t="e">
        <f t="shared" si="8"/>
        <v>#REF!</v>
      </c>
      <c r="O53" s="88"/>
    </row>
    <row r="54" spans="4:15" ht="15" x14ac:dyDescent="0.25">
      <c r="D54" s="88">
        <v>0</v>
      </c>
      <c r="E54" s="89" t="e">
        <f>IFERROR(
_xlfn.XLOOKUP(
B54,#REF!,#REF!
),
_xlfn.XLOOKUP(
A54,#REF!,#REF!
)
)</f>
        <v>#REF!</v>
      </c>
      <c r="F54" s="88" t="str">
        <f>IFERROR(
VLOOKUP(
B54,#REF!,
6,
FALSE
),
""
)</f>
        <v/>
      </c>
      <c r="G54" s="88">
        <v>0</v>
      </c>
      <c r="H54" s="88">
        <v>24</v>
      </c>
      <c r="I54" s="90" t="e">
        <f t="shared" si="4"/>
        <v>#REF!</v>
      </c>
      <c r="J54" s="91" t="e">
        <f t="shared" si="5"/>
        <v>#REF!</v>
      </c>
      <c r="K54" s="91"/>
      <c r="L54" s="88" t="e">
        <f t="shared" si="6"/>
        <v>#REF!</v>
      </c>
      <c r="M54" s="88" t="e">
        <f t="shared" si="7"/>
        <v>#REF!</v>
      </c>
      <c r="N54" s="88" t="e">
        <f t="shared" si="8"/>
        <v>#REF!</v>
      </c>
      <c r="O54" s="88"/>
    </row>
    <row r="55" spans="4:15" ht="15" x14ac:dyDescent="0.25">
      <c r="D55" s="88">
        <v>0</v>
      </c>
      <c r="E55" s="89" t="e">
        <f>IFERROR(
_xlfn.XLOOKUP(
B55,#REF!,#REF!
),
_xlfn.XLOOKUP(
A55,#REF!,#REF!
)
)</f>
        <v>#REF!</v>
      </c>
      <c r="F55" s="88" t="str">
        <f>IFERROR(
VLOOKUP(
B55,#REF!,
6,
FALSE
),
""
)</f>
        <v/>
      </c>
      <c r="G55" s="88">
        <v>0</v>
      </c>
      <c r="H55" s="88">
        <v>24</v>
      </c>
      <c r="I55" s="90" t="e">
        <f t="shared" si="4"/>
        <v>#REF!</v>
      </c>
      <c r="J55" s="91" t="e">
        <f t="shared" si="5"/>
        <v>#REF!</v>
      </c>
      <c r="K55" s="91"/>
      <c r="L55" s="88" t="e">
        <f t="shared" si="6"/>
        <v>#REF!</v>
      </c>
      <c r="M55" s="88" t="e">
        <f t="shared" si="7"/>
        <v>#REF!</v>
      </c>
      <c r="N55" s="88" t="e">
        <f t="shared" si="8"/>
        <v>#REF!</v>
      </c>
      <c r="O55" s="88"/>
    </row>
    <row r="56" spans="4:15" ht="15" x14ac:dyDescent="0.25">
      <c r="D56" s="88">
        <v>0</v>
      </c>
      <c r="E56" s="89" t="e">
        <f>IFERROR(
_xlfn.XLOOKUP(
B56,#REF!,#REF!
),
_xlfn.XLOOKUP(
A56,#REF!,#REF!
)
)</f>
        <v>#REF!</v>
      </c>
      <c r="F56" s="88" t="str">
        <f>IFERROR(
VLOOKUP(
B56,#REF!,
6,
FALSE
),
""
)</f>
        <v/>
      </c>
      <c r="G56" s="88">
        <v>0</v>
      </c>
      <c r="H56" s="88">
        <v>24</v>
      </c>
      <c r="I56" s="90" t="e">
        <f t="shared" si="4"/>
        <v>#REF!</v>
      </c>
      <c r="J56" s="91" t="e">
        <f t="shared" si="5"/>
        <v>#REF!</v>
      </c>
      <c r="K56" s="91"/>
      <c r="L56" s="88" t="e">
        <f t="shared" si="6"/>
        <v>#REF!</v>
      </c>
      <c r="M56" s="88" t="e">
        <f t="shared" si="7"/>
        <v>#REF!</v>
      </c>
      <c r="N56" s="88" t="e">
        <f t="shared" si="8"/>
        <v>#REF!</v>
      </c>
      <c r="O56" s="88"/>
    </row>
    <row r="57" spans="4:15" ht="15" x14ac:dyDescent="0.25">
      <c r="D57" s="88">
        <v>0</v>
      </c>
      <c r="E57" s="89" t="e">
        <f>IFERROR(
_xlfn.XLOOKUP(
B57,#REF!,#REF!
),
_xlfn.XLOOKUP(
A57,#REF!,#REF!
)
)</f>
        <v>#REF!</v>
      </c>
      <c r="F57" s="88" t="str">
        <f>IFERROR(
VLOOKUP(
B57,#REF!,
6,
FALSE
),
""
)</f>
        <v/>
      </c>
      <c r="G57" s="88">
        <v>0</v>
      </c>
      <c r="H57" s="88">
        <v>24</v>
      </c>
      <c r="I57" s="90" t="e">
        <f t="shared" si="4"/>
        <v>#REF!</v>
      </c>
      <c r="J57" s="91" t="e">
        <f t="shared" si="5"/>
        <v>#REF!</v>
      </c>
      <c r="K57" s="91"/>
      <c r="L57" s="88" t="e">
        <f t="shared" si="6"/>
        <v>#REF!</v>
      </c>
      <c r="M57" s="88" t="e">
        <f t="shared" si="7"/>
        <v>#REF!</v>
      </c>
      <c r="N57" s="88" t="e">
        <f t="shared" si="8"/>
        <v>#REF!</v>
      </c>
      <c r="O57" s="88"/>
    </row>
    <row r="58" spans="4:15" ht="15" x14ac:dyDescent="0.25">
      <c r="D58" s="88">
        <v>0</v>
      </c>
      <c r="E58" s="89" t="e">
        <f>IFERROR(
_xlfn.XLOOKUP(
B58,#REF!,#REF!
),
_xlfn.XLOOKUP(
A58,#REF!,#REF!
)
)</f>
        <v>#REF!</v>
      </c>
      <c r="F58" s="88" t="str">
        <f>IFERROR(
VLOOKUP(
B58,#REF!,
6,
FALSE
),
""
)</f>
        <v/>
      </c>
      <c r="G58" s="88">
        <v>0</v>
      </c>
      <c r="H58" s="88">
        <v>24</v>
      </c>
      <c r="I58" s="90" t="e">
        <f t="shared" si="4"/>
        <v>#REF!</v>
      </c>
      <c r="J58" s="91" t="e">
        <f t="shared" si="5"/>
        <v>#REF!</v>
      </c>
      <c r="K58" s="91"/>
      <c r="L58" s="88" t="e">
        <f t="shared" si="6"/>
        <v>#REF!</v>
      </c>
      <c r="M58" s="88" t="e">
        <f t="shared" si="7"/>
        <v>#REF!</v>
      </c>
      <c r="N58" s="88" t="e">
        <f t="shared" si="8"/>
        <v>#REF!</v>
      </c>
      <c r="O58" s="88"/>
    </row>
    <row r="59" spans="4:15" ht="15" x14ac:dyDescent="0.25">
      <c r="D59" s="88">
        <v>0</v>
      </c>
      <c r="E59" s="89" t="e">
        <f>IFERROR(
_xlfn.XLOOKUP(
B59,#REF!,#REF!
),
_xlfn.XLOOKUP(
A59,#REF!,#REF!
)
)</f>
        <v>#REF!</v>
      </c>
      <c r="F59" s="88" t="str">
        <f>IFERROR(
VLOOKUP(
B59,#REF!,
6,
FALSE
),
""
)</f>
        <v/>
      </c>
      <c r="G59" s="88">
        <v>0</v>
      </c>
      <c r="H59" s="88">
        <v>24</v>
      </c>
      <c r="I59" s="90" t="e">
        <f t="shared" si="4"/>
        <v>#REF!</v>
      </c>
      <c r="J59" s="91" t="e">
        <f t="shared" si="5"/>
        <v>#REF!</v>
      </c>
      <c r="K59" s="91"/>
      <c r="L59" s="88" t="e">
        <f t="shared" si="6"/>
        <v>#REF!</v>
      </c>
      <c r="M59" s="88" t="e">
        <f t="shared" si="7"/>
        <v>#REF!</v>
      </c>
      <c r="N59" s="88" t="e">
        <f t="shared" si="8"/>
        <v>#REF!</v>
      </c>
      <c r="O59" s="88"/>
    </row>
    <row r="60" spans="4:15" ht="15" x14ac:dyDescent="0.25">
      <c r="D60" s="88">
        <v>0</v>
      </c>
      <c r="E60" s="89" t="e">
        <f>IFERROR(
_xlfn.XLOOKUP(
B60,#REF!,#REF!
),
_xlfn.XLOOKUP(
A60,#REF!,#REF!
)
)</f>
        <v>#REF!</v>
      </c>
      <c r="F60" s="88" t="str">
        <f>IFERROR(
VLOOKUP(
B60,#REF!,
6,
FALSE
),
""
)</f>
        <v/>
      </c>
      <c r="G60" s="88">
        <v>0</v>
      </c>
      <c r="H60" s="88">
        <v>24</v>
      </c>
      <c r="I60" s="90" t="e">
        <f t="shared" si="4"/>
        <v>#REF!</v>
      </c>
      <c r="J60" s="91" t="e">
        <f t="shared" si="5"/>
        <v>#REF!</v>
      </c>
      <c r="K60" s="91"/>
      <c r="L60" s="88" t="e">
        <f t="shared" si="6"/>
        <v>#REF!</v>
      </c>
      <c r="M60" s="88" t="e">
        <f t="shared" si="7"/>
        <v>#REF!</v>
      </c>
      <c r="N60" s="88" t="e">
        <f t="shared" si="8"/>
        <v>#REF!</v>
      </c>
      <c r="O60" s="88"/>
    </row>
    <row r="61" spans="4:15" ht="15" x14ac:dyDescent="0.25">
      <c r="D61" s="88">
        <v>0</v>
      </c>
      <c r="E61" s="89" t="e">
        <f>IFERROR(
_xlfn.XLOOKUP(
B61,#REF!,#REF!
),
_xlfn.XLOOKUP(
A61,#REF!,#REF!
)
)</f>
        <v>#REF!</v>
      </c>
      <c r="F61" s="88" t="str">
        <f>IFERROR(
VLOOKUP(
B61,#REF!,
6,
FALSE
),
""
)</f>
        <v/>
      </c>
      <c r="G61" s="88">
        <v>0</v>
      </c>
      <c r="H61" s="88">
        <v>24</v>
      </c>
      <c r="I61" s="90" t="e">
        <f t="shared" si="4"/>
        <v>#REF!</v>
      </c>
      <c r="J61" s="91" t="e">
        <f t="shared" si="5"/>
        <v>#REF!</v>
      </c>
      <c r="K61" s="91"/>
      <c r="L61" s="88" t="e">
        <f t="shared" si="6"/>
        <v>#REF!</v>
      </c>
      <c r="M61" s="88" t="e">
        <f t="shared" si="7"/>
        <v>#REF!</v>
      </c>
      <c r="N61" s="88" t="e">
        <f t="shared" si="8"/>
        <v>#REF!</v>
      </c>
      <c r="O61" s="88"/>
    </row>
    <row r="62" spans="4:15" ht="15" x14ac:dyDescent="0.25">
      <c r="D62" s="88">
        <v>0</v>
      </c>
      <c r="E62" s="89" t="e">
        <f>IFERROR(
_xlfn.XLOOKUP(
B62,#REF!,#REF!
),
_xlfn.XLOOKUP(
A62,#REF!,#REF!
)
)</f>
        <v>#REF!</v>
      </c>
      <c r="F62" s="88" t="str">
        <f>IFERROR(
VLOOKUP(
B62,#REF!,
6,
FALSE
),
""
)</f>
        <v/>
      </c>
      <c r="G62" s="88">
        <v>0</v>
      </c>
      <c r="H62" s="88">
        <v>24</v>
      </c>
      <c r="I62" s="90" t="e">
        <f t="shared" si="4"/>
        <v>#REF!</v>
      </c>
      <c r="J62" s="91" t="e">
        <f t="shared" si="5"/>
        <v>#REF!</v>
      </c>
      <c r="K62" s="91"/>
      <c r="L62" s="88" t="e">
        <f t="shared" si="6"/>
        <v>#REF!</v>
      </c>
      <c r="M62" s="88" t="e">
        <f t="shared" si="7"/>
        <v>#REF!</v>
      </c>
      <c r="N62" s="88" t="e">
        <f t="shared" si="8"/>
        <v>#REF!</v>
      </c>
      <c r="O62" s="88"/>
    </row>
    <row r="63" spans="4:15" ht="15" x14ac:dyDescent="0.25">
      <c r="D63" s="88">
        <v>0</v>
      </c>
      <c r="E63" s="89" t="e">
        <f>IFERROR(
_xlfn.XLOOKUP(
B63,#REF!,#REF!
),
_xlfn.XLOOKUP(
A63,#REF!,#REF!
)
)</f>
        <v>#REF!</v>
      </c>
      <c r="F63" s="88" t="str">
        <f>IFERROR(
VLOOKUP(
B63,#REF!,
6,
FALSE
),
""
)</f>
        <v/>
      </c>
      <c r="G63" s="88">
        <v>0</v>
      </c>
      <c r="H63" s="88">
        <v>24</v>
      </c>
      <c r="I63" s="90" t="e">
        <f t="shared" si="4"/>
        <v>#REF!</v>
      </c>
      <c r="J63" s="91" t="e">
        <f t="shared" si="5"/>
        <v>#REF!</v>
      </c>
      <c r="K63" s="91"/>
      <c r="L63" s="88" t="e">
        <f t="shared" si="6"/>
        <v>#REF!</v>
      </c>
      <c r="M63" s="88" t="e">
        <f t="shared" si="7"/>
        <v>#REF!</v>
      </c>
      <c r="N63" s="88" t="e">
        <f t="shared" si="8"/>
        <v>#REF!</v>
      </c>
      <c r="O63" s="88"/>
    </row>
    <row r="64" spans="4:15" ht="15" x14ac:dyDescent="0.25">
      <c r="D64" s="88">
        <v>0</v>
      </c>
      <c r="E64" s="89" t="e">
        <f>IFERROR(
_xlfn.XLOOKUP(
B64,#REF!,#REF!
),
_xlfn.XLOOKUP(
A64,#REF!,#REF!
)
)</f>
        <v>#REF!</v>
      </c>
      <c r="F64" s="88" t="str">
        <f>IFERROR(
VLOOKUP(
B64,#REF!,
6,
FALSE
),
""
)</f>
        <v/>
      </c>
      <c r="G64" s="88">
        <v>0</v>
      </c>
      <c r="H64" s="88">
        <v>24</v>
      </c>
      <c r="I64" s="90" t="e">
        <f t="shared" si="4"/>
        <v>#REF!</v>
      </c>
      <c r="J64" s="91" t="e">
        <f t="shared" si="5"/>
        <v>#REF!</v>
      </c>
      <c r="K64" s="91"/>
      <c r="L64" s="88" t="e">
        <f t="shared" si="6"/>
        <v>#REF!</v>
      </c>
      <c r="M64" s="88" t="e">
        <f t="shared" si="7"/>
        <v>#REF!</v>
      </c>
      <c r="N64" s="88" t="e">
        <f t="shared" si="8"/>
        <v>#REF!</v>
      </c>
      <c r="O64" s="88"/>
    </row>
    <row r="65" spans="4:15" ht="15" x14ac:dyDescent="0.25">
      <c r="D65" s="88">
        <v>0</v>
      </c>
      <c r="E65" s="89" t="e">
        <f>IFERROR(
_xlfn.XLOOKUP(
B65,#REF!,#REF!
),
_xlfn.XLOOKUP(
A65,#REF!,#REF!
)
)</f>
        <v>#REF!</v>
      </c>
      <c r="F65" s="88" t="str">
        <f>IFERROR(
VLOOKUP(
B65,#REF!,
6,
FALSE
),
""
)</f>
        <v/>
      </c>
      <c r="G65" s="88">
        <v>0</v>
      </c>
      <c r="H65" s="88">
        <v>24</v>
      </c>
      <c r="I65" s="90" t="e">
        <f t="shared" si="4"/>
        <v>#REF!</v>
      </c>
      <c r="J65" s="91" t="e">
        <f t="shared" si="5"/>
        <v>#REF!</v>
      </c>
      <c r="K65" s="91"/>
      <c r="L65" s="88" t="e">
        <f t="shared" si="6"/>
        <v>#REF!</v>
      </c>
      <c r="M65" s="88" t="e">
        <f t="shared" si="7"/>
        <v>#REF!</v>
      </c>
      <c r="N65" s="88" t="e">
        <f t="shared" si="8"/>
        <v>#REF!</v>
      </c>
      <c r="O65" s="88"/>
    </row>
    <row r="66" spans="4:15" ht="15" x14ac:dyDescent="0.25">
      <c r="D66" s="88">
        <v>0</v>
      </c>
      <c r="E66" s="89" t="e">
        <f>IFERROR(
_xlfn.XLOOKUP(
B66,#REF!,#REF!
),
_xlfn.XLOOKUP(
A66,#REF!,#REF!
)
)</f>
        <v>#REF!</v>
      </c>
      <c r="F66" s="88" t="str">
        <f>IFERROR(
VLOOKUP(
B66,#REF!,
6,
FALSE
),
""
)</f>
        <v/>
      </c>
      <c r="G66" s="88">
        <v>0</v>
      </c>
      <c r="H66" s="88">
        <v>24</v>
      </c>
      <c r="I66" s="90" t="e">
        <f t="shared" si="4"/>
        <v>#REF!</v>
      </c>
      <c r="J66" s="91" t="e">
        <f t="shared" si="5"/>
        <v>#REF!</v>
      </c>
      <c r="K66" s="91"/>
      <c r="L66" s="88" t="e">
        <f t="shared" si="6"/>
        <v>#REF!</v>
      </c>
      <c r="M66" s="88" t="e">
        <f t="shared" si="7"/>
        <v>#REF!</v>
      </c>
      <c r="N66" s="88" t="e">
        <f t="shared" si="8"/>
        <v>#REF!</v>
      </c>
      <c r="O66" s="88"/>
    </row>
    <row r="67" spans="4:15" ht="15" x14ac:dyDescent="0.25">
      <c r="D67" s="88">
        <v>0</v>
      </c>
      <c r="E67" s="89" t="e">
        <f>IFERROR(
_xlfn.XLOOKUP(
B67,#REF!,#REF!
),
_xlfn.XLOOKUP(
A67,#REF!,#REF!
)
)</f>
        <v>#REF!</v>
      </c>
      <c r="F67" s="88" t="str">
        <f>IFERROR(
VLOOKUP(
B67,#REF!,
6,
FALSE
),
""
)</f>
        <v/>
      </c>
      <c r="G67" s="88">
        <v>0</v>
      </c>
      <c r="H67" s="88">
        <v>24</v>
      </c>
      <c r="I67" s="90" t="e">
        <f t="shared" ref="I67:I70" si="9">C67+D67+E67</f>
        <v>#REF!</v>
      </c>
      <c r="J67" s="91" t="e">
        <f t="shared" ref="J67:J70" si="10">(I67+G67) / (1 - F67/100 - (1 - 1/(1 + H67/100)))</f>
        <v>#REF!</v>
      </c>
      <c r="K67" s="91"/>
      <c r="L67" s="88" t="e">
        <f t="shared" ref="L67:L70" si="11">J67 * F67 / 100</f>
        <v>#REF!</v>
      </c>
      <c r="M67" s="88" t="e">
        <f t="shared" ref="M67:M70" si="12">J67 - (J67 / (1 + H67/100))</f>
        <v>#REF!</v>
      </c>
      <c r="N67" s="88" t="e">
        <f t="shared" ref="N67:N70" si="13">J67 - L67 - M67</f>
        <v>#REF!</v>
      </c>
      <c r="O67" s="88"/>
    </row>
    <row r="68" spans="4:15" ht="15" x14ac:dyDescent="0.25">
      <c r="D68" s="88">
        <v>0</v>
      </c>
      <c r="E68" s="89" t="e">
        <f>IFERROR(
_xlfn.XLOOKUP(
B68,#REF!,#REF!
),
_xlfn.XLOOKUP(
A68,#REF!,#REF!
)
)</f>
        <v>#REF!</v>
      </c>
      <c r="F68" s="88" t="str">
        <f>IFERROR(
VLOOKUP(
B68,#REF!,
6,
FALSE
),
""
)</f>
        <v/>
      </c>
      <c r="G68" s="88">
        <v>0</v>
      </c>
      <c r="H68" s="88">
        <v>24</v>
      </c>
      <c r="I68" s="90" t="e">
        <f t="shared" si="9"/>
        <v>#REF!</v>
      </c>
      <c r="J68" s="91" t="e">
        <f t="shared" si="10"/>
        <v>#REF!</v>
      </c>
      <c r="K68" s="91"/>
      <c r="L68" s="88" t="e">
        <f t="shared" si="11"/>
        <v>#REF!</v>
      </c>
      <c r="M68" s="88" t="e">
        <f t="shared" si="12"/>
        <v>#REF!</v>
      </c>
      <c r="N68" s="88" t="e">
        <f t="shared" si="13"/>
        <v>#REF!</v>
      </c>
      <c r="O68" s="88"/>
    </row>
    <row r="69" spans="4:15" ht="15" x14ac:dyDescent="0.25">
      <c r="D69" s="88">
        <v>0</v>
      </c>
      <c r="E69" s="89" t="e">
        <f>IFERROR(
_xlfn.XLOOKUP(
B69,#REF!,#REF!
),
_xlfn.XLOOKUP(
A69,#REF!,#REF!
)
)</f>
        <v>#REF!</v>
      </c>
      <c r="F69" s="88" t="str">
        <f>IFERROR(
VLOOKUP(
B69,#REF!,
6,
FALSE
),
""
)</f>
        <v/>
      </c>
      <c r="G69" s="88">
        <v>0</v>
      </c>
      <c r="H69" s="88">
        <v>24</v>
      </c>
      <c r="I69" s="90" t="e">
        <f t="shared" si="9"/>
        <v>#REF!</v>
      </c>
      <c r="J69" s="91" t="e">
        <f t="shared" si="10"/>
        <v>#REF!</v>
      </c>
      <c r="K69" s="91"/>
      <c r="L69" s="88" t="e">
        <f t="shared" si="11"/>
        <v>#REF!</v>
      </c>
      <c r="M69" s="88" t="e">
        <f t="shared" si="12"/>
        <v>#REF!</v>
      </c>
      <c r="N69" s="88" t="e">
        <f t="shared" si="13"/>
        <v>#REF!</v>
      </c>
      <c r="O69" s="88"/>
    </row>
    <row r="70" spans="4:15" ht="15" x14ac:dyDescent="0.25">
      <c r="D70" s="88">
        <v>0</v>
      </c>
      <c r="E70" s="89" t="e">
        <f>IFERROR(
_xlfn.XLOOKUP(
B70,#REF!,#REF!
),
_xlfn.XLOOKUP(
A70,#REF!,#REF!
)
)</f>
        <v>#REF!</v>
      </c>
      <c r="F70" s="88" t="str">
        <f>IFERROR(
VLOOKUP(
B70,#REF!,
6,
FALSE
),
""
)</f>
        <v/>
      </c>
      <c r="G70" s="88">
        <v>0</v>
      </c>
      <c r="H70" s="88">
        <v>24</v>
      </c>
      <c r="I70" s="90" t="e">
        <f t="shared" si="9"/>
        <v>#REF!</v>
      </c>
      <c r="J70" s="91" t="e">
        <f t="shared" si="10"/>
        <v>#REF!</v>
      </c>
      <c r="K70" s="91"/>
      <c r="L70" s="88" t="e">
        <f t="shared" si="11"/>
        <v>#REF!</v>
      </c>
      <c r="M70" s="88" t="e">
        <f t="shared" si="12"/>
        <v>#REF!</v>
      </c>
      <c r="N70" s="88" t="e">
        <f t="shared" si="13"/>
        <v>#REF!</v>
      </c>
      <c r="O70" s="88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AC119"/>
  <sheetViews>
    <sheetView workbookViewId="0"/>
  </sheetViews>
  <sheetFormatPr defaultColWidth="12.5703125" defaultRowHeight="15.75" customHeight="1" x14ac:dyDescent="0.2"/>
  <cols>
    <col min="1" max="1" width="41.140625" customWidth="1"/>
    <col min="2" max="2" width="14.5703125" customWidth="1"/>
  </cols>
  <sheetData>
    <row r="1" spans="1:29" x14ac:dyDescent="0.2">
      <c r="A1" s="13" t="s">
        <v>1457</v>
      </c>
      <c r="B1" s="14">
        <v>4743318148083</v>
      </c>
      <c r="C1" s="15">
        <v>5.56</v>
      </c>
      <c r="D1" s="15">
        <v>0.9</v>
      </c>
      <c r="E1" s="15">
        <f t="shared" ref="E1:E119" si="0">SUM(C1)+D1</f>
        <v>6.46</v>
      </c>
      <c r="F1" s="15">
        <v>1.24</v>
      </c>
      <c r="G1" s="15">
        <f t="shared" ref="G1:G119" si="1">SUM(E1)*F1</f>
        <v>8.0104000000000006</v>
      </c>
      <c r="H1" s="15">
        <v>1.1214999999999999</v>
      </c>
      <c r="I1" s="15">
        <f t="shared" ref="I1:I119" si="2">SUM(G1)*H1</f>
        <v>8.9836635999999999</v>
      </c>
      <c r="J1" s="15">
        <v>0.73999999999999899</v>
      </c>
      <c r="K1" s="15">
        <f t="shared" ref="K1:K119" si="3">SUM(I1)+J1</f>
        <v>9.7236635999999983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x14ac:dyDescent="0.2">
      <c r="A2" s="6" t="s">
        <v>1458</v>
      </c>
      <c r="B2" s="14" t="s">
        <v>1459</v>
      </c>
      <c r="C2" s="15">
        <v>10.48</v>
      </c>
      <c r="D2" s="15">
        <v>0.9</v>
      </c>
      <c r="E2" s="15">
        <f t="shared" si="0"/>
        <v>11.38</v>
      </c>
      <c r="F2" s="15">
        <v>1.24</v>
      </c>
      <c r="G2" s="15">
        <f t="shared" si="1"/>
        <v>14.1112</v>
      </c>
      <c r="H2" s="15">
        <v>1.1214999999999999</v>
      </c>
      <c r="I2" s="15">
        <f t="shared" si="2"/>
        <v>15.8257108</v>
      </c>
      <c r="J2" s="15">
        <v>0.73999999999999899</v>
      </c>
      <c r="K2" s="15">
        <f t="shared" si="3"/>
        <v>16.565710799999998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1:29" x14ac:dyDescent="0.2">
      <c r="A3" s="6" t="s">
        <v>1460</v>
      </c>
      <c r="B3" s="14" t="s">
        <v>1461</v>
      </c>
      <c r="C3" s="15">
        <v>17.89</v>
      </c>
      <c r="D3" s="15">
        <v>0.9</v>
      </c>
      <c r="E3" s="15">
        <f t="shared" si="0"/>
        <v>18.79</v>
      </c>
      <c r="F3" s="15">
        <v>1.24</v>
      </c>
      <c r="G3" s="15">
        <f t="shared" si="1"/>
        <v>23.299599999999998</v>
      </c>
      <c r="H3" s="15">
        <v>1.1214999999999999</v>
      </c>
      <c r="I3" s="15">
        <f t="shared" si="2"/>
        <v>26.130501399999996</v>
      </c>
      <c r="J3" s="15">
        <v>0.73999999999999899</v>
      </c>
      <c r="K3" s="15">
        <f t="shared" si="3"/>
        <v>26.870501399999995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29" x14ac:dyDescent="0.2">
      <c r="A4" s="6" t="s">
        <v>1462</v>
      </c>
      <c r="B4" s="14" t="s">
        <v>1463</v>
      </c>
      <c r="C4" s="15">
        <v>15.53</v>
      </c>
      <c r="D4" s="15">
        <v>0.9</v>
      </c>
      <c r="E4" s="15">
        <f t="shared" si="0"/>
        <v>16.43</v>
      </c>
      <c r="F4" s="15">
        <v>1.24</v>
      </c>
      <c r="G4" s="15">
        <f t="shared" si="1"/>
        <v>20.373200000000001</v>
      </c>
      <c r="H4" s="15">
        <v>1.1214999999999999</v>
      </c>
      <c r="I4" s="15">
        <f t="shared" si="2"/>
        <v>22.848543799999998</v>
      </c>
      <c r="J4" s="15">
        <v>0.73999999999999899</v>
      </c>
      <c r="K4" s="15">
        <f t="shared" si="3"/>
        <v>23.588543799999997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29" x14ac:dyDescent="0.2">
      <c r="A5" s="6" t="s">
        <v>1464</v>
      </c>
      <c r="B5" s="14" t="s">
        <v>1465</v>
      </c>
      <c r="C5" s="15">
        <v>12.1</v>
      </c>
      <c r="D5" s="15">
        <v>0.9</v>
      </c>
      <c r="E5" s="15">
        <f t="shared" si="0"/>
        <v>13</v>
      </c>
      <c r="F5" s="15">
        <v>1.24</v>
      </c>
      <c r="G5" s="15">
        <f t="shared" si="1"/>
        <v>16.12</v>
      </c>
      <c r="H5" s="15">
        <v>1.1214999999999999</v>
      </c>
      <c r="I5" s="15">
        <f t="shared" si="2"/>
        <v>18.078579999999999</v>
      </c>
      <c r="J5" s="15">
        <v>0.73999999999999899</v>
      </c>
      <c r="K5" s="15">
        <f t="shared" si="3"/>
        <v>18.818579999999997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1:29" x14ac:dyDescent="0.2">
      <c r="A6" s="6" t="s">
        <v>1466</v>
      </c>
      <c r="B6" s="14" t="s">
        <v>1467</v>
      </c>
      <c r="C6" s="15">
        <v>15.26</v>
      </c>
      <c r="D6" s="15">
        <v>0.9</v>
      </c>
      <c r="E6" s="15">
        <f t="shared" si="0"/>
        <v>16.16</v>
      </c>
      <c r="F6" s="15">
        <v>1.24</v>
      </c>
      <c r="G6" s="15">
        <f t="shared" si="1"/>
        <v>20.038399999999999</v>
      </c>
      <c r="H6" s="15">
        <v>1.1214999999999999</v>
      </c>
      <c r="I6" s="15">
        <f t="shared" si="2"/>
        <v>22.473065599999998</v>
      </c>
      <c r="J6" s="15">
        <v>0.73999999999999899</v>
      </c>
      <c r="K6" s="15">
        <f t="shared" si="3"/>
        <v>23.213065599999997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spans="1:29" x14ac:dyDescent="0.2">
      <c r="A7" s="6" t="s">
        <v>1468</v>
      </c>
      <c r="B7" s="14" t="s">
        <v>1469</v>
      </c>
      <c r="C7" s="15">
        <v>15.53</v>
      </c>
      <c r="D7" s="15">
        <v>0.9</v>
      </c>
      <c r="E7" s="15">
        <f t="shared" si="0"/>
        <v>16.43</v>
      </c>
      <c r="F7" s="15">
        <v>1.24</v>
      </c>
      <c r="G7" s="15">
        <f t="shared" si="1"/>
        <v>20.373200000000001</v>
      </c>
      <c r="H7" s="15">
        <v>1.1214999999999999</v>
      </c>
      <c r="I7" s="15">
        <f t="shared" si="2"/>
        <v>22.848543799999998</v>
      </c>
      <c r="J7" s="15">
        <v>0.73999999999999899</v>
      </c>
      <c r="K7" s="15">
        <f t="shared" si="3"/>
        <v>23.588543799999997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29" x14ac:dyDescent="0.2">
      <c r="A8" s="6" t="s">
        <v>1470</v>
      </c>
      <c r="B8" s="14" t="s">
        <v>1471</v>
      </c>
      <c r="C8" s="15">
        <v>15.25</v>
      </c>
      <c r="D8" s="15">
        <v>0.9</v>
      </c>
      <c r="E8" s="15">
        <f t="shared" si="0"/>
        <v>16.149999999999999</v>
      </c>
      <c r="F8" s="15">
        <v>1.24</v>
      </c>
      <c r="G8" s="15">
        <f t="shared" si="1"/>
        <v>20.026</v>
      </c>
      <c r="H8" s="15">
        <v>1.1214999999999999</v>
      </c>
      <c r="I8" s="15">
        <f t="shared" si="2"/>
        <v>22.459159</v>
      </c>
      <c r="J8" s="15">
        <v>0.73999999999999899</v>
      </c>
      <c r="K8" s="15">
        <f t="shared" si="3"/>
        <v>23.199158999999998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29" x14ac:dyDescent="0.2">
      <c r="A9" s="6" t="s">
        <v>1472</v>
      </c>
      <c r="B9" s="14" t="s">
        <v>1473</v>
      </c>
      <c r="C9" s="15">
        <v>17.89</v>
      </c>
      <c r="D9" s="15">
        <v>0.9</v>
      </c>
      <c r="E9" s="15">
        <f t="shared" si="0"/>
        <v>18.79</v>
      </c>
      <c r="F9" s="15">
        <v>1.24</v>
      </c>
      <c r="G9" s="15">
        <f t="shared" si="1"/>
        <v>23.299599999999998</v>
      </c>
      <c r="H9" s="15">
        <v>1.1214999999999999</v>
      </c>
      <c r="I9" s="15">
        <f t="shared" si="2"/>
        <v>26.130501399999996</v>
      </c>
      <c r="J9" s="15">
        <v>0.73999999999999899</v>
      </c>
      <c r="K9" s="15">
        <f t="shared" si="3"/>
        <v>26.870501399999995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29" x14ac:dyDescent="0.2">
      <c r="A10" s="13" t="s">
        <v>1474</v>
      </c>
      <c r="B10" s="14">
        <v>4743318144658</v>
      </c>
      <c r="C10" s="15">
        <v>6.98</v>
      </c>
      <c r="D10" s="15">
        <v>0.9</v>
      </c>
      <c r="E10" s="15">
        <f t="shared" si="0"/>
        <v>7.8800000000000008</v>
      </c>
      <c r="F10" s="15">
        <v>1.24</v>
      </c>
      <c r="G10" s="15">
        <f t="shared" si="1"/>
        <v>9.7712000000000003</v>
      </c>
      <c r="H10" s="15">
        <v>1.1214999999999999</v>
      </c>
      <c r="I10" s="15">
        <f t="shared" si="2"/>
        <v>10.9584008</v>
      </c>
      <c r="J10" s="15">
        <v>0.73999999999999899</v>
      </c>
      <c r="K10" s="15">
        <f t="shared" si="3"/>
        <v>11.698400799999998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spans="1:29" x14ac:dyDescent="0.2">
      <c r="A11" s="13" t="s">
        <v>1475</v>
      </c>
      <c r="B11" s="14">
        <v>4743318103501</v>
      </c>
      <c r="C11" s="15">
        <v>5.29</v>
      </c>
      <c r="D11" s="15">
        <v>0.9</v>
      </c>
      <c r="E11" s="15">
        <f t="shared" si="0"/>
        <v>6.19</v>
      </c>
      <c r="F11" s="15">
        <v>1.24</v>
      </c>
      <c r="G11" s="15">
        <f t="shared" si="1"/>
        <v>7.6756000000000002</v>
      </c>
      <c r="H11" s="15">
        <v>1.1214999999999999</v>
      </c>
      <c r="I11" s="15">
        <f t="shared" si="2"/>
        <v>8.6081854</v>
      </c>
      <c r="J11" s="15">
        <v>0.43</v>
      </c>
      <c r="K11" s="15">
        <f t="shared" si="3"/>
        <v>9.0381853999999997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29" x14ac:dyDescent="0.2">
      <c r="A12" s="13" t="s">
        <v>1476</v>
      </c>
      <c r="B12" s="14">
        <v>4743318144696</v>
      </c>
      <c r="C12" s="15">
        <v>8.73</v>
      </c>
      <c r="D12" s="15">
        <v>0.9</v>
      </c>
      <c r="E12" s="15">
        <f t="shared" si="0"/>
        <v>9.6300000000000008</v>
      </c>
      <c r="F12" s="15">
        <v>1.24</v>
      </c>
      <c r="G12" s="15">
        <f t="shared" si="1"/>
        <v>11.9412</v>
      </c>
      <c r="H12" s="15">
        <v>1.1214999999999999</v>
      </c>
      <c r="I12" s="15">
        <f t="shared" si="2"/>
        <v>13.3920558</v>
      </c>
      <c r="J12" s="15">
        <v>0.73999999999999899</v>
      </c>
      <c r="K12" s="15">
        <f t="shared" si="3"/>
        <v>14.132055799999998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29" x14ac:dyDescent="0.2">
      <c r="A13" s="13" t="s">
        <v>1477</v>
      </c>
      <c r="B13" s="14">
        <v>4743318144597</v>
      </c>
      <c r="C13" s="15">
        <v>6.98</v>
      </c>
      <c r="D13" s="15">
        <v>0.9</v>
      </c>
      <c r="E13" s="15">
        <f t="shared" si="0"/>
        <v>7.8800000000000008</v>
      </c>
      <c r="F13" s="15">
        <v>1.24</v>
      </c>
      <c r="G13" s="15">
        <f t="shared" si="1"/>
        <v>9.7712000000000003</v>
      </c>
      <c r="H13" s="15">
        <v>1.1214999999999999</v>
      </c>
      <c r="I13" s="15">
        <f t="shared" si="2"/>
        <v>10.9584008</v>
      </c>
      <c r="J13" s="15">
        <v>0.73999999999999899</v>
      </c>
      <c r="K13" s="15">
        <f t="shared" si="3"/>
        <v>11.698400799999998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spans="1:29" x14ac:dyDescent="0.2">
      <c r="A14" s="13" t="s">
        <v>1478</v>
      </c>
      <c r="B14" s="14">
        <v>4743318139753</v>
      </c>
      <c r="C14" s="15">
        <v>8.7200000000000006</v>
      </c>
      <c r="D14" s="15">
        <v>0.9</v>
      </c>
      <c r="E14" s="15">
        <f t="shared" si="0"/>
        <v>9.620000000000001</v>
      </c>
      <c r="F14" s="15">
        <v>1.24</v>
      </c>
      <c r="G14" s="15">
        <f t="shared" si="1"/>
        <v>11.928800000000001</v>
      </c>
      <c r="H14" s="15">
        <v>1.1214999999999999</v>
      </c>
      <c r="I14" s="15">
        <f t="shared" si="2"/>
        <v>13.378149199999999</v>
      </c>
      <c r="J14" s="15">
        <v>0.73999999999999899</v>
      </c>
      <c r="K14" s="15">
        <f t="shared" si="3"/>
        <v>14.118149199999998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spans="1:29" x14ac:dyDescent="0.2">
      <c r="A15" s="13" t="s">
        <v>1479</v>
      </c>
      <c r="B15" s="14">
        <v>4744183010512</v>
      </c>
      <c r="C15" s="15">
        <v>13.34</v>
      </c>
      <c r="D15" s="15">
        <v>0.9</v>
      </c>
      <c r="E15" s="15">
        <f t="shared" si="0"/>
        <v>14.24</v>
      </c>
      <c r="F15" s="15">
        <v>1.24</v>
      </c>
      <c r="G15" s="15">
        <f t="shared" si="1"/>
        <v>17.657599999999999</v>
      </c>
      <c r="H15" s="15">
        <v>1.1214999999999999</v>
      </c>
      <c r="I15" s="15">
        <f t="shared" si="2"/>
        <v>19.802998399999996</v>
      </c>
      <c r="J15" s="15">
        <v>0.73999999999999899</v>
      </c>
      <c r="K15" s="15">
        <f t="shared" si="3"/>
        <v>20.542998399999995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spans="1:29" x14ac:dyDescent="0.2">
      <c r="A16" s="13" t="s">
        <v>1480</v>
      </c>
      <c r="B16" s="14">
        <v>4743318148069</v>
      </c>
      <c r="C16" s="15">
        <v>5.63</v>
      </c>
      <c r="D16" s="15">
        <v>0.9</v>
      </c>
      <c r="E16" s="15">
        <f t="shared" si="0"/>
        <v>6.53</v>
      </c>
      <c r="F16" s="15">
        <v>1.24</v>
      </c>
      <c r="G16" s="15">
        <f t="shared" si="1"/>
        <v>8.0972000000000008</v>
      </c>
      <c r="H16" s="15">
        <v>1.1214999999999999</v>
      </c>
      <c r="I16" s="15">
        <f t="shared" si="2"/>
        <v>9.0810098000000004</v>
      </c>
      <c r="J16" s="15">
        <v>0.43</v>
      </c>
      <c r="K16" s="15">
        <f t="shared" si="3"/>
        <v>9.5110098000000001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spans="1:29" x14ac:dyDescent="0.2">
      <c r="A17" s="13" t="s">
        <v>1481</v>
      </c>
      <c r="B17" s="14">
        <v>4744183010475</v>
      </c>
      <c r="C17" s="15">
        <v>14.16</v>
      </c>
      <c r="D17" s="15">
        <v>0.9</v>
      </c>
      <c r="E17" s="15">
        <f t="shared" si="0"/>
        <v>15.06</v>
      </c>
      <c r="F17" s="15">
        <v>1.24</v>
      </c>
      <c r="G17" s="15">
        <f t="shared" si="1"/>
        <v>18.674400000000002</v>
      </c>
      <c r="H17" s="15">
        <v>1.1214999999999999</v>
      </c>
      <c r="I17" s="15">
        <f t="shared" si="2"/>
        <v>20.943339600000002</v>
      </c>
      <c r="J17" s="15">
        <v>1.49</v>
      </c>
      <c r="K17" s="15">
        <f t="shared" si="3"/>
        <v>22.4333396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spans="1:29" x14ac:dyDescent="0.2">
      <c r="A18" s="13" t="s">
        <v>1482</v>
      </c>
      <c r="B18" s="14">
        <v>4743318148113</v>
      </c>
      <c r="C18" s="15">
        <v>4.55</v>
      </c>
      <c r="D18" s="15">
        <v>0.9</v>
      </c>
      <c r="E18" s="15">
        <f t="shared" si="0"/>
        <v>5.45</v>
      </c>
      <c r="F18" s="15">
        <v>1.24</v>
      </c>
      <c r="G18" s="15">
        <f t="shared" si="1"/>
        <v>6.758</v>
      </c>
      <c r="H18" s="15">
        <v>1.1214999999999999</v>
      </c>
      <c r="I18" s="15">
        <f t="shared" si="2"/>
        <v>7.579097</v>
      </c>
      <c r="J18" s="15">
        <v>0.43</v>
      </c>
      <c r="K18" s="15">
        <f t="shared" si="3"/>
        <v>8.0090970000000006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spans="1:29" x14ac:dyDescent="0.2">
      <c r="A19" s="13" t="s">
        <v>1483</v>
      </c>
      <c r="B19" s="14">
        <v>4743318147666</v>
      </c>
      <c r="C19" s="15">
        <v>4.51</v>
      </c>
      <c r="D19" s="15">
        <v>0.6</v>
      </c>
      <c r="E19" s="15">
        <f t="shared" si="0"/>
        <v>5.1099999999999994</v>
      </c>
      <c r="F19" s="15">
        <v>1.24</v>
      </c>
      <c r="G19" s="15">
        <f t="shared" si="1"/>
        <v>6.3363999999999994</v>
      </c>
      <c r="H19" s="15">
        <v>1.1214999999999999</v>
      </c>
      <c r="I19" s="15">
        <f t="shared" si="2"/>
        <v>7.1062725999999987</v>
      </c>
      <c r="J19" s="15">
        <v>0.43</v>
      </c>
      <c r="K19" s="15">
        <f t="shared" si="3"/>
        <v>7.5362725999999984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spans="1:29" x14ac:dyDescent="0.2">
      <c r="A20" s="13" t="s">
        <v>1484</v>
      </c>
      <c r="B20" s="14">
        <v>4744183011298</v>
      </c>
      <c r="C20" s="15">
        <v>10.17</v>
      </c>
      <c r="D20" s="15">
        <v>0.9</v>
      </c>
      <c r="E20" s="15">
        <f t="shared" si="0"/>
        <v>11.07</v>
      </c>
      <c r="F20" s="15">
        <v>1.24</v>
      </c>
      <c r="G20" s="15">
        <f t="shared" si="1"/>
        <v>13.726800000000001</v>
      </c>
      <c r="H20" s="15">
        <v>1.1214999999999999</v>
      </c>
      <c r="I20" s="15">
        <f t="shared" si="2"/>
        <v>15.3946062</v>
      </c>
      <c r="J20" s="15">
        <v>0.73999999999999899</v>
      </c>
      <c r="K20" s="15">
        <f t="shared" si="3"/>
        <v>16.1346062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spans="1:29" x14ac:dyDescent="0.2">
      <c r="A21" s="13" t="s">
        <v>1485</v>
      </c>
      <c r="B21" s="14">
        <v>4743318145143</v>
      </c>
      <c r="C21" s="15">
        <v>6.3</v>
      </c>
      <c r="D21" s="15">
        <v>0.9</v>
      </c>
      <c r="E21" s="15">
        <f t="shared" si="0"/>
        <v>7.2</v>
      </c>
      <c r="F21" s="15">
        <v>1.24</v>
      </c>
      <c r="G21" s="15">
        <f t="shared" si="1"/>
        <v>8.9280000000000008</v>
      </c>
      <c r="H21" s="15">
        <v>1.1214999999999999</v>
      </c>
      <c r="I21" s="15">
        <f t="shared" si="2"/>
        <v>10.012752000000001</v>
      </c>
      <c r="J21" s="15">
        <v>1.49</v>
      </c>
      <c r="K21" s="15">
        <f t="shared" si="3"/>
        <v>11.502752000000001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 x14ac:dyDescent="0.2">
      <c r="A22" s="13" t="s">
        <v>1486</v>
      </c>
      <c r="B22" s="14">
        <v>4743318139722</v>
      </c>
      <c r="C22" s="15">
        <v>8.73</v>
      </c>
      <c r="D22" s="15">
        <v>0.9</v>
      </c>
      <c r="E22" s="15">
        <f t="shared" si="0"/>
        <v>9.6300000000000008</v>
      </c>
      <c r="F22" s="15">
        <v>1.24</v>
      </c>
      <c r="G22" s="15">
        <f t="shared" si="1"/>
        <v>11.9412</v>
      </c>
      <c r="H22" s="15">
        <v>1.1214999999999999</v>
      </c>
      <c r="I22" s="15">
        <f t="shared" si="2"/>
        <v>13.3920558</v>
      </c>
      <c r="J22" s="15">
        <v>0.73999999999999899</v>
      </c>
      <c r="K22" s="15">
        <f t="shared" si="3"/>
        <v>14.132055799999998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1:29" x14ac:dyDescent="0.2">
      <c r="A23" s="13" t="s">
        <v>1487</v>
      </c>
      <c r="B23" s="14">
        <v>4743318139746</v>
      </c>
      <c r="C23" s="15">
        <v>8.7200000000000006</v>
      </c>
      <c r="D23" s="15">
        <v>0.9</v>
      </c>
      <c r="E23" s="15">
        <f t="shared" si="0"/>
        <v>9.620000000000001</v>
      </c>
      <c r="F23" s="15">
        <v>1.24</v>
      </c>
      <c r="G23" s="15">
        <f t="shared" si="1"/>
        <v>11.928800000000001</v>
      </c>
      <c r="H23" s="15">
        <v>1.1214999999999999</v>
      </c>
      <c r="I23" s="15">
        <f t="shared" si="2"/>
        <v>13.378149199999999</v>
      </c>
      <c r="J23" s="15">
        <v>0.73999999999999899</v>
      </c>
      <c r="K23" s="15">
        <f t="shared" si="3"/>
        <v>14.118149199999998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:29" x14ac:dyDescent="0.2">
      <c r="A24" s="6" t="s">
        <v>1488</v>
      </c>
      <c r="B24" s="6" t="s">
        <v>1489</v>
      </c>
      <c r="C24" s="15">
        <v>5.56</v>
      </c>
      <c r="D24" s="15">
        <v>0.6</v>
      </c>
      <c r="E24" s="15">
        <f t="shared" si="0"/>
        <v>6.1599999999999993</v>
      </c>
      <c r="F24" s="15">
        <v>1.24</v>
      </c>
      <c r="G24" s="15">
        <f t="shared" si="1"/>
        <v>7.638399999999999</v>
      </c>
      <c r="H24" s="15">
        <v>1.1214999999999999</v>
      </c>
      <c r="I24" s="15">
        <f t="shared" si="2"/>
        <v>8.566465599999999</v>
      </c>
      <c r="J24" s="15">
        <v>0.43</v>
      </c>
      <c r="K24" s="15">
        <f t="shared" si="3"/>
        <v>8.9964655999999987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spans="1:29" x14ac:dyDescent="0.2">
      <c r="A25" s="6" t="s">
        <v>1490</v>
      </c>
      <c r="B25" s="6" t="s">
        <v>1491</v>
      </c>
      <c r="C25" s="15">
        <v>4.8499999999999996</v>
      </c>
      <c r="D25" s="15">
        <v>0.4</v>
      </c>
      <c r="E25" s="15">
        <f t="shared" si="0"/>
        <v>5.25</v>
      </c>
      <c r="F25" s="15">
        <v>1.24</v>
      </c>
      <c r="G25" s="15">
        <f t="shared" si="1"/>
        <v>6.51</v>
      </c>
      <c r="H25" s="15">
        <v>1.1214999999999999</v>
      </c>
      <c r="I25" s="15">
        <f t="shared" si="2"/>
        <v>7.3009649999999997</v>
      </c>
      <c r="J25" s="15">
        <v>0.25</v>
      </c>
      <c r="K25" s="15">
        <f t="shared" si="3"/>
        <v>7.5509649999999997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spans="1:29" x14ac:dyDescent="0.2">
      <c r="A26" s="13" t="s">
        <v>1492</v>
      </c>
      <c r="B26" s="14">
        <v>4743318143583</v>
      </c>
      <c r="C26" s="15">
        <v>6.72</v>
      </c>
      <c r="D26" s="15">
        <v>0.9</v>
      </c>
      <c r="E26" s="15">
        <f t="shared" si="0"/>
        <v>7.62</v>
      </c>
      <c r="F26" s="15">
        <v>1.24</v>
      </c>
      <c r="G26" s="15">
        <f t="shared" si="1"/>
        <v>9.4488000000000003</v>
      </c>
      <c r="H26" s="15">
        <v>1.1214999999999999</v>
      </c>
      <c r="I26" s="15">
        <f t="shared" si="2"/>
        <v>10.5968292</v>
      </c>
      <c r="J26" s="15">
        <v>1.49</v>
      </c>
      <c r="K26" s="15">
        <f t="shared" si="3"/>
        <v>12.0868292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 spans="1:29" x14ac:dyDescent="0.2">
      <c r="A27" s="6" t="s">
        <v>1493</v>
      </c>
      <c r="B27" s="6" t="s">
        <v>1494</v>
      </c>
      <c r="C27" s="15">
        <v>7.84</v>
      </c>
      <c r="D27" s="15">
        <v>0.9</v>
      </c>
      <c r="E27" s="15">
        <f t="shared" si="0"/>
        <v>8.74</v>
      </c>
      <c r="F27" s="15">
        <v>1.24</v>
      </c>
      <c r="G27" s="15">
        <f t="shared" si="1"/>
        <v>10.8376</v>
      </c>
      <c r="H27" s="15">
        <v>1.1214999999999999</v>
      </c>
      <c r="I27" s="15">
        <f t="shared" si="2"/>
        <v>12.154368399999999</v>
      </c>
      <c r="J27" s="15">
        <v>1.49</v>
      </c>
      <c r="K27" s="15">
        <f t="shared" si="3"/>
        <v>13.644368399999999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spans="1:29" x14ac:dyDescent="0.2">
      <c r="A28" s="6" t="s">
        <v>1495</v>
      </c>
      <c r="B28" s="6" t="s">
        <v>1496</v>
      </c>
      <c r="C28" s="15">
        <v>7.15</v>
      </c>
      <c r="D28" s="15">
        <v>0.9</v>
      </c>
      <c r="E28" s="15">
        <f t="shared" si="0"/>
        <v>8.0500000000000007</v>
      </c>
      <c r="F28" s="15">
        <v>1.24</v>
      </c>
      <c r="G28" s="15">
        <f t="shared" si="1"/>
        <v>9.9820000000000011</v>
      </c>
      <c r="H28" s="15">
        <v>1.1214999999999999</v>
      </c>
      <c r="I28" s="15">
        <f t="shared" si="2"/>
        <v>11.194813</v>
      </c>
      <c r="J28" s="15">
        <v>1.49</v>
      </c>
      <c r="K28" s="15">
        <f t="shared" si="3"/>
        <v>12.684813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spans="1:29" x14ac:dyDescent="0.2">
      <c r="A29" s="12" t="s">
        <v>1497</v>
      </c>
      <c r="B29" s="12">
        <v>4744183012004</v>
      </c>
      <c r="C29" s="12">
        <v>6.5</v>
      </c>
      <c r="D29" s="12">
        <v>0.9</v>
      </c>
      <c r="E29" s="12">
        <f t="shared" si="0"/>
        <v>7.4</v>
      </c>
      <c r="F29" s="12">
        <v>1.24</v>
      </c>
      <c r="G29" s="12">
        <f t="shared" si="1"/>
        <v>9.1760000000000002</v>
      </c>
      <c r="H29" s="12">
        <v>1.1214999999999999</v>
      </c>
      <c r="I29" s="12">
        <f t="shared" si="2"/>
        <v>10.290884</v>
      </c>
      <c r="J29" s="12">
        <v>1.49</v>
      </c>
      <c r="K29" s="12">
        <f t="shared" si="3"/>
        <v>11.780884</v>
      </c>
    </row>
    <row r="30" spans="1:29" x14ac:dyDescent="0.2">
      <c r="A30" s="12" t="s">
        <v>1498</v>
      </c>
      <c r="B30" s="12">
        <v>4743318143347</v>
      </c>
      <c r="C30" s="12">
        <v>6.5</v>
      </c>
      <c r="D30" s="12">
        <v>0.9</v>
      </c>
      <c r="E30" s="12">
        <f t="shared" si="0"/>
        <v>7.4</v>
      </c>
      <c r="F30" s="12">
        <v>1.24</v>
      </c>
      <c r="G30" s="12">
        <f t="shared" si="1"/>
        <v>9.1760000000000002</v>
      </c>
      <c r="H30" s="12">
        <v>1.1214999999999999</v>
      </c>
      <c r="I30" s="12">
        <f t="shared" si="2"/>
        <v>10.290884</v>
      </c>
      <c r="J30" s="12">
        <v>1.49</v>
      </c>
      <c r="K30" s="12">
        <f t="shared" si="3"/>
        <v>11.780884</v>
      </c>
    </row>
    <row r="31" spans="1:29" x14ac:dyDescent="0.2">
      <c r="A31" s="12" t="s">
        <v>1499</v>
      </c>
      <c r="B31" s="12">
        <v>4743318103600</v>
      </c>
      <c r="C31" s="12">
        <v>3.81</v>
      </c>
      <c r="D31" s="12">
        <v>0.9</v>
      </c>
      <c r="E31" s="12">
        <f t="shared" si="0"/>
        <v>4.71</v>
      </c>
      <c r="F31" s="12">
        <v>1.24</v>
      </c>
      <c r="G31" s="12">
        <f t="shared" si="1"/>
        <v>5.8403999999999998</v>
      </c>
      <c r="H31" s="12">
        <v>1.1214999999999999</v>
      </c>
      <c r="I31" s="12">
        <f t="shared" si="2"/>
        <v>6.5500085999999991</v>
      </c>
      <c r="J31" s="12">
        <v>0.25</v>
      </c>
      <c r="K31" s="12">
        <f t="shared" si="3"/>
        <v>6.8000085999999991</v>
      </c>
    </row>
    <row r="32" spans="1:29" x14ac:dyDescent="0.2">
      <c r="A32" s="12" t="s">
        <v>1500</v>
      </c>
      <c r="B32" s="12">
        <v>4743318144689</v>
      </c>
      <c r="C32" s="12">
        <v>7.7</v>
      </c>
      <c r="D32" s="12">
        <v>0.9</v>
      </c>
      <c r="E32" s="12">
        <f t="shared" si="0"/>
        <v>8.6</v>
      </c>
      <c r="F32" s="12">
        <v>1.24</v>
      </c>
      <c r="G32" s="12">
        <f t="shared" si="1"/>
        <v>10.664</v>
      </c>
      <c r="H32" s="12">
        <v>1.1214999999999999</v>
      </c>
      <c r="I32" s="12">
        <f t="shared" si="2"/>
        <v>11.959675999999998</v>
      </c>
      <c r="J32" s="12">
        <v>0.73999999999999899</v>
      </c>
      <c r="K32" s="12">
        <f t="shared" si="3"/>
        <v>12.699675999999997</v>
      </c>
    </row>
    <row r="33" spans="1:11" x14ac:dyDescent="0.2">
      <c r="A33" s="12" t="s">
        <v>1501</v>
      </c>
      <c r="B33" s="12">
        <v>4743318103525</v>
      </c>
      <c r="C33" s="12">
        <v>3.85</v>
      </c>
      <c r="D33" s="12">
        <v>0.9</v>
      </c>
      <c r="E33" s="12">
        <f t="shared" si="0"/>
        <v>4.75</v>
      </c>
      <c r="F33" s="12">
        <v>1.24</v>
      </c>
      <c r="G33" s="12">
        <f t="shared" si="1"/>
        <v>5.89</v>
      </c>
      <c r="H33" s="12">
        <v>1.1214999999999999</v>
      </c>
      <c r="I33" s="12">
        <f t="shared" si="2"/>
        <v>6.6056349999999995</v>
      </c>
      <c r="J33" s="12">
        <v>0.25</v>
      </c>
      <c r="K33" s="12">
        <f t="shared" si="3"/>
        <v>6.8556349999999995</v>
      </c>
    </row>
    <row r="34" spans="1:11" x14ac:dyDescent="0.2">
      <c r="A34" s="12" t="s">
        <v>1502</v>
      </c>
      <c r="B34" s="12">
        <v>4743318140049</v>
      </c>
      <c r="C34" s="12">
        <v>8.7200000000000006</v>
      </c>
      <c r="D34" s="12">
        <v>0.9</v>
      </c>
      <c r="E34" s="12">
        <f t="shared" si="0"/>
        <v>9.620000000000001</v>
      </c>
      <c r="F34" s="12">
        <v>1.24</v>
      </c>
      <c r="G34" s="12">
        <f t="shared" si="1"/>
        <v>11.928800000000001</v>
      </c>
      <c r="H34" s="12">
        <v>1.1214999999999999</v>
      </c>
      <c r="I34" s="12">
        <f t="shared" si="2"/>
        <v>13.378149199999999</v>
      </c>
      <c r="J34" s="12">
        <v>0.73999999999999899</v>
      </c>
      <c r="K34" s="12">
        <f t="shared" si="3"/>
        <v>14.118149199999998</v>
      </c>
    </row>
    <row r="35" spans="1:11" x14ac:dyDescent="0.2">
      <c r="A35" s="12" t="s">
        <v>1503</v>
      </c>
      <c r="B35" s="12">
        <v>4743318148120</v>
      </c>
      <c r="C35" s="12">
        <v>4.78</v>
      </c>
      <c r="D35" s="12">
        <v>0.6</v>
      </c>
      <c r="E35" s="12">
        <f t="shared" si="0"/>
        <v>5.38</v>
      </c>
      <c r="F35" s="12">
        <v>1.24</v>
      </c>
      <c r="G35" s="12">
        <f t="shared" si="1"/>
        <v>6.6711999999999998</v>
      </c>
      <c r="H35" s="12">
        <v>1.1214999999999999</v>
      </c>
      <c r="I35" s="12">
        <f t="shared" si="2"/>
        <v>7.4817507999999995</v>
      </c>
      <c r="J35" s="12">
        <v>0.43</v>
      </c>
      <c r="K35" s="12">
        <f t="shared" si="3"/>
        <v>7.9117507999999992</v>
      </c>
    </row>
    <row r="36" spans="1:11" x14ac:dyDescent="0.2">
      <c r="A36" s="12" t="s">
        <v>1504</v>
      </c>
      <c r="B36" s="12">
        <v>4744183010499</v>
      </c>
      <c r="C36" s="12">
        <v>5.32</v>
      </c>
      <c r="D36" s="12">
        <v>0.6</v>
      </c>
      <c r="E36" s="12">
        <f t="shared" si="0"/>
        <v>5.92</v>
      </c>
      <c r="F36" s="12">
        <v>1.24</v>
      </c>
      <c r="G36" s="12">
        <f t="shared" si="1"/>
        <v>7.3407999999999998</v>
      </c>
      <c r="H36" s="12">
        <v>1.1214999999999999</v>
      </c>
      <c r="I36" s="12">
        <f t="shared" si="2"/>
        <v>8.2327072000000001</v>
      </c>
      <c r="J36" s="12">
        <v>0.43</v>
      </c>
      <c r="K36" s="12">
        <f t="shared" si="3"/>
        <v>8.6627071999999998</v>
      </c>
    </row>
    <row r="37" spans="1:11" x14ac:dyDescent="0.2">
      <c r="A37" s="12" t="s">
        <v>1505</v>
      </c>
      <c r="B37" s="12">
        <v>4743318143330</v>
      </c>
      <c r="C37" s="12">
        <v>8.5500000000000007</v>
      </c>
      <c r="D37" s="12">
        <v>0.9</v>
      </c>
      <c r="E37" s="12">
        <f t="shared" si="0"/>
        <v>9.4500000000000011</v>
      </c>
      <c r="F37" s="12">
        <v>1.24</v>
      </c>
      <c r="G37" s="12">
        <f t="shared" si="1"/>
        <v>11.718000000000002</v>
      </c>
      <c r="H37" s="12">
        <v>1.1214999999999999</v>
      </c>
      <c r="I37" s="12">
        <f t="shared" si="2"/>
        <v>13.141737000000001</v>
      </c>
      <c r="J37" s="12">
        <v>1.49</v>
      </c>
      <c r="K37" s="12">
        <f t="shared" si="3"/>
        <v>14.631737000000001</v>
      </c>
    </row>
    <row r="38" spans="1:11" x14ac:dyDescent="0.2">
      <c r="A38" s="12" t="s">
        <v>1506</v>
      </c>
      <c r="B38" s="12">
        <v>4744183011984</v>
      </c>
      <c r="C38" s="12">
        <v>6.72</v>
      </c>
      <c r="D38" s="12">
        <v>0.9</v>
      </c>
      <c r="E38" s="12">
        <f t="shared" si="0"/>
        <v>7.62</v>
      </c>
      <c r="F38" s="12">
        <v>1.24</v>
      </c>
      <c r="G38" s="12">
        <f t="shared" si="1"/>
        <v>9.4488000000000003</v>
      </c>
      <c r="H38" s="12">
        <v>1.1214999999999999</v>
      </c>
      <c r="I38" s="12">
        <f t="shared" si="2"/>
        <v>10.5968292</v>
      </c>
      <c r="J38" s="12">
        <v>1.48</v>
      </c>
      <c r="K38" s="12">
        <f t="shared" si="3"/>
        <v>12.076829200000001</v>
      </c>
    </row>
    <row r="39" spans="1:11" x14ac:dyDescent="0.2">
      <c r="A39" s="12" t="s">
        <v>1507</v>
      </c>
      <c r="B39" s="12">
        <v>4744183011991</v>
      </c>
      <c r="C39" s="12">
        <v>5.79</v>
      </c>
      <c r="D39" s="12">
        <v>0.5</v>
      </c>
      <c r="E39" s="12">
        <f t="shared" si="0"/>
        <v>6.29</v>
      </c>
      <c r="F39" s="12">
        <v>1.24</v>
      </c>
      <c r="G39" s="12">
        <f t="shared" si="1"/>
        <v>7.7995999999999999</v>
      </c>
      <c r="H39" s="12">
        <v>1.1214999999999999</v>
      </c>
      <c r="I39" s="12">
        <f t="shared" si="2"/>
        <v>8.7472513999999997</v>
      </c>
      <c r="J39" s="12">
        <v>0.43</v>
      </c>
      <c r="K39" s="12">
        <f t="shared" si="3"/>
        <v>9.1772513999999994</v>
      </c>
    </row>
    <row r="40" spans="1:11" x14ac:dyDescent="0.2">
      <c r="A40" s="12" t="s">
        <v>1508</v>
      </c>
      <c r="B40" s="12">
        <v>4743318104485</v>
      </c>
      <c r="C40" s="12">
        <v>17.25</v>
      </c>
      <c r="D40" s="12">
        <v>0.9</v>
      </c>
      <c r="E40" s="12">
        <f t="shared" si="0"/>
        <v>18.149999999999999</v>
      </c>
      <c r="F40" s="12">
        <v>1.24</v>
      </c>
      <c r="G40" s="12">
        <f t="shared" si="1"/>
        <v>22.505999999999997</v>
      </c>
      <c r="H40" s="12">
        <v>1.1214999999999999</v>
      </c>
      <c r="I40" s="12">
        <f t="shared" si="2"/>
        <v>25.240478999999993</v>
      </c>
      <c r="J40" s="12">
        <v>1.48</v>
      </c>
      <c r="K40" s="12">
        <f t="shared" si="3"/>
        <v>26.720478999999994</v>
      </c>
    </row>
    <row r="41" spans="1:11" x14ac:dyDescent="0.2">
      <c r="A41" s="12" t="s">
        <v>1509</v>
      </c>
      <c r="B41" s="12">
        <v>4743318142814</v>
      </c>
      <c r="C41" s="12">
        <v>8.7200000000000006</v>
      </c>
      <c r="D41" s="12">
        <v>0.9</v>
      </c>
      <c r="E41" s="12">
        <f t="shared" si="0"/>
        <v>9.620000000000001</v>
      </c>
      <c r="F41" s="12">
        <v>1.24</v>
      </c>
      <c r="G41" s="12">
        <f t="shared" si="1"/>
        <v>11.928800000000001</v>
      </c>
      <c r="H41" s="12">
        <v>1.1214999999999999</v>
      </c>
      <c r="I41" s="12">
        <f t="shared" si="2"/>
        <v>13.378149199999999</v>
      </c>
      <c r="J41" s="12">
        <v>0.73999999999999899</v>
      </c>
      <c r="K41" s="12">
        <f t="shared" si="3"/>
        <v>14.118149199999998</v>
      </c>
    </row>
    <row r="42" spans="1:11" x14ac:dyDescent="0.2">
      <c r="A42" s="12" t="s">
        <v>1510</v>
      </c>
      <c r="B42" s="12">
        <v>4743318104010</v>
      </c>
      <c r="C42" s="12">
        <v>2.79</v>
      </c>
      <c r="D42" s="12">
        <v>0.3</v>
      </c>
      <c r="E42" s="12">
        <f t="shared" si="0"/>
        <v>3.09</v>
      </c>
      <c r="F42" s="12">
        <v>1.24</v>
      </c>
      <c r="G42" s="12">
        <f t="shared" si="1"/>
        <v>3.8315999999999999</v>
      </c>
      <c r="H42" s="12">
        <v>1.1214999999999999</v>
      </c>
      <c r="I42" s="12">
        <f t="shared" si="2"/>
        <v>4.2971393999999998</v>
      </c>
      <c r="J42" s="12">
        <v>0.25</v>
      </c>
      <c r="K42" s="12">
        <f t="shared" si="3"/>
        <v>4.5471393999999998</v>
      </c>
    </row>
    <row r="43" spans="1:11" x14ac:dyDescent="0.2">
      <c r="A43" s="12" t="s">
        <v>1511</v>
      </c>
      <c r="B43" s="12">
        <v>4743318148137</v>
      </c>
      <c r="C43" s="12">
        <v>4.49</v>
      </c>
      <c r="D43" s="12">
        <v>0.6</v>
      </c>
      <c r="E43" s="12">
        <f t="shared" si="0"/>
        <v>5.09</v>
      </c>
      <c r="F43" s="12">
        <v>1.24</v>
      </c>
      <c r="G43" s="12">
        <f t="shared" si="1"/>
        <v>6.3115999999999994</v>
      </c>
      <c r="H43" s="12">
        <v>1.1214999999999999</v>
      </c>
      <c r="I43" s="12">
        <f t="shared" si="2"/>
        <v>7.078459399999999</v>
      </c>
      <c r="J43" s="12">
        <v>0.43</v>
      </c>
      <c r="K43" s="12">
        <f t="shared" si="3"/>
        <v>7.5084593999999987</v>
      </c>
    </row>
    <row r="44" spans="1:11" x14ac:dyDescent="0.2">
      <c r="A44" s="12" t="s">
        <v>1512</v>
      </c>
      <c r="B44" s="12">
        <v>4744183010536</v>
      </c>
      <c r="C44" s="12">
        <v>12.42</v>
      </c>
      <c r="D44" s="12">
        <v>0.9</v>
      </c>
      <c r="E44" s="12">
        <f t="shared" si="0"/>
        <v>13.32</v>
      </c>
      <c r="F44" s="12">
        <v>1.24</v>
      </c>
      <c r="G44" s="12">
        <f t="shared" si="1"/>
        <v>16.5168</v>
      </c>
      <c r="H44" s="12">
        <v>1.1214999999999999</v>
      </c>
      <c r="I44" s="12">
        <f t="shared" si="2"/>
        <v>18.523591199999998</v>
      </c>
      <c r="J44" s="12">
        <v>1.49</v>
      </c>
      <c r="K44" s="12">
        <f t="shared" si="3"/>
        <v>20.013591199999997</v>
      </c>
    </row>
    <row r="45" spans="1:11" x14ac:dyDescent="0.2">
      <c r="A45" s="12" t="s">
        <v>1513</v>
      </c>
      <c r="B45" s="12">
        <v>4744183010505</v>
      </c>
      <c r="C45" s="12">
        <v>11.38</v>
      </c>
      <c r="D45" s="12">
        <v>0.9</v>
      </c>
      <c r="E45" s="12">
        <f t="shared" si="0"/>
        <v>12.280000000000001</v>
      </c>
      <c r="F45" s="12">
        <v>1.24</v>
      </c>
      <c r="G45" s="12">
        <f t="shared" si="1"/>
        <v>15.227200000000002</v>
      </c>
      <c r="H45" s="12">
        <v>1.1214999999999999</v>
      </c>
      <c r="I45" s="12">
        <f t="shared" si="2"/>
        <v>17.0773048</v>
      </c>
      <c r="J45" s="12">
        <v>1.49</v>
      </c>
      <c r="K45" s="12">
        <f t="shared" si="3"/>
        <v>18.567304799999999</v>
      </c>
    </row>
    <row r="46" spans="1:11" x14ac:dyDescent="0.2">
      <c r="A46" s="12" t="s">
        <v>1514</v>
      </c>
      <c r="B46" s="12">
        <v>4743318104003</v>
      </c>
      <c r="C46" s="12">
        <v>2.79</v>
      </c>
      <c r="D46" s="12">
        <v>0.4</v>
      </c>
      <c r="E46" s="12">
        <f t="shared" si="0"/>
        <v>3.19</v>
      </c>
      <c r="F46" s="12">
        <v>1.24</v>
      </c>
      <c r="G46" s="12">
        <f t="shared" si="1"/>
        <v>3.9556</v>
      </c>
      <c r="H46" s="12">
        <v>1.1214999999999999</v>
      </c>
      <c r="I46" s="12">
        <f t="shared" si="2"/>
        <v>4.4362053999999995</v>
      </c>
      <c r="J46" s="12">
        <v>0.25</v>
      </c>
      <c r="K46" s="12">
        <f t="shared" si="3"/>
        <v>4.6862053999999995</v>
      </c>
    </row>
    <row r="47" spans="1:11" x14ac:dyDescent="0.2">
      <c r="A47" s="12" t="s">
        <v>1515</v>
      </c>
      <c r="B47" s="12">
        <v>4743318144665</v>
      </c>
      <c r="C47" s="12">
        <v>6.98</v>
      </c>
      <c r="D47" s="12">
        <v>0.9</v>
      </c>
      <c r="E47" s="12">
        <f t="shared" si="0"/>
        <v>7.8800000000000008</v>
      </c>
      <c r="F47" s="12">
        <v>1.24</v>
      </c>
      <c r="G47" s="12">
        <f t="shared" si="1"/>
        <v>9.7712000000000003</v>
      </c>
      <c r="H47" s="12">
        <v>1.1214999999999999</v>
      </c>
      <c r="I47" s="12">
        <f t="shared" si="2"/>
        <v>10.9584008</v>
      </c>
      <c r="J47" s="12">
        <v>0.73999999999999899</v>
      </c>
      <c r="K47" s="12">
        <f t="shared" si="3"/>
        <v>11.698400799999998</v>
      </c>
    </row>
    <row r="48" spans="1:11" x14ac:dyDescent="0.2">
      <c r="A48" s="12" t="s">
        <v>1516</v>
      </c>
      <c r="B48" s="12">
        <v>4743318139739</v>
      </c>
      <c r="C48" s="12">
        <v>8.73</v>
      </c>
      <c r="D48" s="12">
        <v>0.9</v>
      </c>
      <c r="E48" s="12">
        <f t="shared" si="0"/>
        <v>9.6300000000000008</v>
      </c>
      <c r="F48" s="12">
        <v>1.24</v>
      </c>
      <c r="G48" s="12">
        <f t="shared" si="1"/>
        <v>11.9412</v>
      </c>
      <c r="H48" s="12">
        <v>1.1214999999999999</v>
      </c>
      <c r="I48" s="12">
        <f t="shared" si="2"/>
        <v>13.3920558</v>
      </c>
      <c r="J48" s="12">
        <v>0.73999999999999899</v>
      </c>
      <c r="K48" s="12">
        <f t="shared" si="3"/>
        <v>14.132055799999998</v>
      </c>
    </row>
    <row r="49" spans="1:11" x14ac:dyDescent="0.2">
      <c r="A49" s="12" t="s">
        <v>1517</v>
      </c>
      <c r="B49" s="12">
        <v>4744183010543</v>
      </c>
      <c r="C49" s="12">
        <v>12.42</v>
      </c>
      <c r="D49" s="12">
        <v>0.9</v>
      </c>
      <c r="E49" s="12">
        <f t="shared" si="0"/>
        <v>13.32</v>
      </c>
      <c r="F49" s="12">
        <v>1.24</v>
      </c>
      <c r="G49" s="12">
        <f t="shared" si="1"/>
        <v>16.5168</v>
      </c>
      <c r="H49" s="12">
        <v>1.1214999999999999</v>
      </c>
      <c r="I49" s="12">
        <f t="shared" si="2"/>
        <v>18.523591199999998</v>
      </c>
      <c r="J49" s="12">
        <v>1.49</v>
      </c>
      <c r="K49" s="12">
        <f t="shared" si="3"/>
        <v>20.013591199999997</v>
      </c>
    </row>
    <row r="50" spans="1:11" x14ac:dyDescent="0.2">
      <c r="A50" s="12" t="s">
        <v>1518</v>
      </c>
      <c r="B50" s="12">
        <v>4743318143361</v>
      </c>
      <c r="C50" s="12">
        <v>5.78</v>
      </c>
      <c r="D50" s="12">
        <v>0.9</v>
      </c>
      <c r="E50" s="12">
        <f t="shared" si="0"/>
        <v>6.6800000000000006</v>
      </c>
      <c r="F50" s="12">
        <v>1.24</v>
      </c>
      <c r="G50" s="12">
        <f t="shared" si="1"/>
        <v>8.2832000000000008</v>
      </c>
      <c r="H50" s="12">
        <v>1.1214999999999999</v>
      </c>
      <c r="I50" s="12">
        <f t="shared" si="2"/>
        <v>9.2896087999999999</v>
      </c>
      <c r="J50" s="12">
        <v>1.49</v>
      </c>
      <c r="K50" s="12">
        <f t="shared" si="3"/>
        <v>10.7796088</v>
      </c>
    </row>
    <row r="51" spans="1:11" x14ac:dyDescent="0.2">
      <c r="A51" s="12" t="s">
        <v>1519</v>
      </c>
      <c r="B51" s="12">
        <v>4744183012035</v>
      </c>
      <c r="C51" s="12">
        <v>5.79</v>
      </c>
      <c r="D51" s="12">
        <v>0.9</v>
      </c>
      <c r="E51" s="12">
        <f t="shared" si="0"/>
        <v>6.69</v>
      </c>
      <c r="F51" s="12">
        <v>1.24</v>
      </c>
      <c r="G51" s="12">
        <f t="shared" si="1"/>
        <v>8.2956000000000003</v>
      </c>
      <c r="H51" s="12">
        <v>1.1214999999999999</v>
      </c>
      <c r="I51" s="12">
        <f t="shared" si="2"/>
        <v>9.3035154000000002</v>
      </c>
      <c r="J51" s="12">
        <v>1.49</v>
      </c>
      <c r="K51" s="12">
        <f t="shared" si="3"/>
        <v>10.7935154</v>
      </c>
    </row>
    <row r="52" spans="1:11" x14ac:dyDescent="0.2">
      <c r="A52" s="12" t="s">
        <v>1520</v>
      </c>
      <c r="B52" s="12">
        <v>4744183012073</v>
      </c>
      <c r="C52" s="12">
        <v>7.85</v>
      </c>
      <c r="D52" s="12">
        <v>0.9</v>
      </c>
      <c r="E52" s="12">
        <f t="shared" si="0"/>
        <v>8.75</v>
      </c>
      <c r="F52" s="12">
        <v>1.24</v>
      </c>
      <c r="G52" s="12">
        <f t="shared" si="1"/>
        <v>10.85</v>
      </c>
      <c r="H52" s="12">
        <v>1.1214999999999999</v>
      </c>
      <c r="I52" s="12">
        <f t="shared" si="2"/>
        <v>12.168275</v>
      </c>
      <c r="J52" s="12">
        <v>0.72</v>
      </c>
      <c r="K52" s="12">
        <f t="shared" si="3"/>
        <v>12.888275</v>
      </c>
    </row>
    <row r="53" spans="1:11" x14ac:dyDescent="0.2">
      <c r="A53" s="12" t="s">
        <v>1521</v>
      </c>
      <c r="B53" s="12">
        <v>4744183012028</v>
      </c>
      <c r="C53" s="12">
        <v>5.79</v>
      </c>
      <c r="D53" s="12">
        <v>0.7</v>
      </c>
      <c r="E53" s="12">
        <f t="shared" si="0"/>
        <v>6.49</v>
      </c>
      <c r="F53" s="12">
        <v>1.24</v>
      </c>
      <c r="G53" s="12">
        <f t="shared" si="1"/>
        <v>8.047600000000001</v>
      </c>
      <c r="H53" s="12">
        <v>1.1214999999999999</v>
      </c>
      <c r="I53" s="12">
        <f t="shared" si="2"/>
        <v>9.0253834000000008</v>
      </c>
      <c r="J53" s="12">
        <v>0.43</v>
      </c>
      <c r="K53" s="12">
        <f t="shared" si="3"/>
        <v>9.4553834000000005</v>
      </c>
    </row>
    <row r="54" spans="1:11" x14ac:dyDescent="0.2">
      <c r="A54" s="12" t="s">
        <v>1522</v>
      </c>
      <c r="B54" s="12">
        <v>4743318143354</v>
      </c>
      <c r="C54" s="12">
        <v>7.85</v>
      </c>
      <c r="D54" s="12">
        <v>0.9</v>
      </c>
      <c r="E54" s="12">
        <f t="shared" si="0"/>
        <v>8.75</v>
      </c>
      <c r="F54" s="12">
        <v>1.24</v>
      </c>
      <c r="G54" s="12">
        <f t="shared" si="1"/>
        <v>10.85</v>
      </c>
      <c r="H54" s="12">
        <v>1.1214999999999999</v>
      </c>
      <c r="I54" s="12">
        <f t="shared" si="2"/>
        <v>12.168275</v>
      </c>
      <c r="J54" s="12">
        <v>0.75</v>
      </c>
      <c r="K54" s="12">
        <f t="shared" si="3"/>
        <v>12.918275</v>
      </c>
    </row>
    <row r="55" spans="1:11" x14ac:dyDescent="0.2">
      <c r="A55" s="12" t="s">
        <v>1523</v>
      </c>
      <c r="B55" s="12">
        <v>4744183012417</v>
      </c>
      <c r="C55" s="12">
        <v>2.76</v>
      </c>
      <c r="D55" s="12">
        <v>0.4</v>
      </c>
      <c r="E55" s="12">
        <f t="shared" si="0"/>
        <v>3.1599999999999997</v>
      </c>
      <c r="F55" s="12">
        <v>1.24</v>
      </c>
      <c r="G55" s="12">
        <f t="shared" si="1"/>
        <v>3.9183999999999997</v>
      </c>
      <c r="H55" s="12">
        <v>1.1214999999999999</v>
      </c>
      <c r="I55" s="12">
        <f t="shared" si="2"/>
        <v>4.3944855999999994</v>
      </c>
      <c r="J55" s="12">
        <v>0.25</v>
      </c>
      <c r="K55" s="12">
        <f t="shared" si="3"/>
        <v>4.6444855999999994</v>
      </c>
    </row>
    <row r="56" spans="1:11" x14ac:dyDescent="0.2">
      <c r="A56" s="12" t="s">
        <v>1524</v>
      </c>
      <c r="B56" s="12">
        <v>4744183012592</v>
      </c>
      <c r="C56" s="12">
        <v>3.06</v>
      </c>
      <c r="D56" s="12">
        <v>0.4</v>
      </c>
      <c r="E56" s="12">
        <f t="shared" si="0"/>
        <v>3.46</v>
      </c>
      <c r="F56" s="12">
        <v>1.24</v>
      </c>
      <c r="G56" s="12">
        <f t="shared" si="1"/>
        <v>4.2904</v>
      </c>
      <c r="H56" s="12">
        <v>1.1214999999999999</v>
      </c>
      <c r="I56" s="12">
        <f t="shared" si="2"/>
        <v>4.8116835999999994</v>
      </c>
      <c r="J56" s="12">
        <v>0.25</v>
      </c>
      <c r="K56" s="12">
        <f t="shared" si="3"/>
        <v>5.0616835999999994</v>
      </c>
    </row>
    <row r="57" spans="1:11" x14ac:dyDescent="0.2">
      <c r="A57" s="12" t="s">
        <v>1525</v>
      </c>
      <c r="B57" s="12">
        <v>4744183012486</v>
      </c>
      <c r="C57" s="12">
        <v>2.76</v>
      </c>
      <c r="D57" s="12">
        <v>0.4</v>
      </c>
      <c r="E57" s="12">
        <f t="shared" si="0"/>
        <v>3.1599999999999997</v>
      </c>
      <c r="F57" s="12">
        <v>1.24</v>
      </c>
      <c r="G57" s="12">
        <f t="shared" si="1"/>
        <v>3.9183999999999997</v>
      </c>
      <c r="H57" s="12">
        <v>1.1214999999999999</v>
      </c>
      <c r="I57" s="12">
        <f t="shared" si="2"/>
        <v>4.3944855999999994</v>
      </c>
      <c r="J57" s="12">
        <v>0.25</v>
      </c>
      <c r="K57" s="12">
        <f t="shared" si="3"/>
        <v>4.6444855999999994</v>
      </c>
    </row>
    <row r="58" spans="1:11" x14ac:dyDescent="0.2">
      <c r="A58" s="12" t="s">
        <v>1526</v>
      </c>
      <c r="B58" s="12">
        <v>4744183012608</v>
      </c>
      <c r="C58" s="12">
        <v>3.05</v>
      </c>
      <c r="D58" s="12">
        <v>0.4</v>
      </c>
      <c r="E58" s="12">
        <f t="shared" si="0"/>
        <v>3.4499999999999997</v>
      </c>
      <c r="F58" s="12">
        <v>1.24</v>
      </c>
      <c r="G58" s="12">
        <f t="shared" si="1"/>
        <v>4.2779999999999996</v>
      </c>
      <c r="H58" s="12">
        <v>1.1214999999999999</v>
      </c>
      <c r="I58" s="12">
        <f t="shared" si="2"/>
        <v>4.7977769999999991</v>
      </c>
      <c r="J58" s="12">
        <v>0.25</v>
      </c>
      <c r="K58" s="12">
        <f t="shared" si="3"/>
        <v>5.0477769999999991</v>
      </c>
    </row>
    <row r="59" spans="1:11" x14ac:dyDescent="0.2">
      <c r="A59" s="12" t="s">
        <v>1527</v>
      </c>
      <c r="B59" s="12">
        <v>4743318143392</v>
      </c>
      <c r="C59" s="12">
        <v>2.29</v>
      </c>
      <c r="D59" s="12">
        <v>0.3</v>
      </c>
      <c r="E59" s="12">
        <f t="shared" si="0"/>
        <v>2.59</v>
      </c>
      <c r="F59" s="12">
        <v>1.24</v>
      </c>
      <c r="G59" s="12">
        <f t="shared" si="1"/>
        <v>3.2115999999999998</v>
      </c>
      <c r="H59" s="12">
        <v>1.1214999999999999</v>
      </c>
      <c r="I59" s="12">
        <f t="shared" si="2"/>
        <v>3.6018093999999996</v>
      </c>
      <c r="J59" s="12">
        <v>0.25</v>
      </c>
      <c r="K59" s="12">
        <f t="shared" si="3"/>
        <v>3.8518093999999996</v>
      </c>
    </row>
    <row r="60" spans="1:11" x14ac:dyDescent="0.2">
      <c r="A60" s="12" t="s">
        <v>1528</v>
      </c>
      <c r="B60" s="12">
        <v>4743318143385</v>
      </c>
      <c r="C60" s="12">
        <v>2.79</v>
      </c>
      <c r="D60" s="12">
        <v>0.3</v>
      </c>
      <c r="E60" s="12">
        <f t="shared" si="0"/>
        <v>3.09</v>
      </c>
      <c r="F60" s="12">
        <v>1.24</v>
      </c>
      <c r="G60" s="12">
        <f t="shared" si="1"/>
        <v>3.8315999999999999</v>
      </c>
      <c r="H60" s="12">
        <v>1.1214999999999999</v>
      </c>
      <c r="I60" s="12">
        <f t="shared" si="2"/>
        <v>4.2971393999999998</v>
      </c>
      <c r="J60" s="12">
        <v>0.25</v>
      </c>
      <c r="K60" s="12">
        <f t="shared" si="3"/>
        <v>4.5471393999999998</v>
      </c>
    </row>
    <row r="61" spans="1:11" x14ac:dyDescent="0.2">
      <c r="A61" s="12" t="s">
        <v>1529</v>
      </c>
      <c r="B61" s="12">
        <v>4743318143408</v>
      </c>
      <c r="C61" s="12">
        <v>2.56</v>
      </c>
      <c r="D61" s="12">
        <v>0.9</v>
      </c>
      <c r="E61" s="12">
        <f t="shared" si="0"/>
        <v>3.46</v>
      </c>
      <c r="F61" s="12">
        <v>1.24</v>
      </c>
      <c r="G61" s="12">
        <f t="shared" si="1"/>
        <v>4.2904</v>
      </c>
      <c r="H61" s="12">
        <v>1.1214999999999999</v>
      </c>
      <c r="I61" s="12">
        <f t="shared" si="2"/>
        <v>4.8116835999999994</v>
      </c>
      <c r="J61" s="12">
        <v>0.25</v>
      </c>
      <c r="K61" s="12">
        <f t="shared" si="3"/>
        <v>5.0616835999999994</v>
      </c>
    </row>
    <row r="62" spans="1:11" x14ac:dyDescent="0.2">
      <c r="A62" s="12" t="s">
        <v>1530</v>
      </c>
      <c r="B62" s="12">
        <v>4743318139715</v>
      </c>
      <c r="C62" s="12">
        <v>8.7200000000000006</v>
      </c>
      <c r="D62" s="12">
        <v>0.9</v>
      </c>
      <c r="E62" s="12">
        <f t="shared" si="0"/>
        <v>9.620000000000001</v>
      </c>
      <c r="F62" s="12">
        <v>1.24</v>
      </c>
      <c r="G62" s="12">
        <f t="shared" si="1"/>
        <v>11.928800000000001</v>
      </c>
      <c r="H62" s="12">
        <v>1.1214999999999999</v>
      </c>
      <c r="I62" s="12">
        <f t="shared" si="2"/>
        <v>13.378149199999999</v>
      </c>
      <c r="J62" s="12">
        <v>0.73999999999999899</v>
      </c>
      <c r="K62" s="12">
        <f t="shared" si="3"/>
        <v>14.118149199999998</v>
      </c>
    </row>
    <row r="63" spans="1:11" x14ac:dyDescent="0.2">
      <c r="A63" s="12" t="s">
        <v>1531</v>
      </c>
      <c r="B63" s="12">
        <v>4743318143705</v>
      </c>
      <c r="C63" s="12">
        <v>8.7200000000000006</v>
      </c>
      <c r="D63" s="12">
        <v>0.9</v>
      </c>
      <c r="E63" s="12">
        <f t="shared" si="0"/>
        <v>9.620000000000001</v>
      </c>
      <c r="F63" s="12">
        <v>1.24</v>
      </c>
      <c r="G63" s="12">
        <f t="shared" si="1"/>
        <v>11.928800000000001</v>
      </c>
      <c r="H63" s="12">
        <v>1.1214999999999999</v>
      </c>
      <c r="I63" s="12">
        <f t="shared" si="2"/>
        <v>13.378149199999999</v>
      </c>
      <c r="J63" s="12">
        <v>0.73999999999999899</v>
      </c>
      <c r="K63" s="12">
        <f t="shared" si="3"/>
        <v>14.118149199999998</v>
      </c>
    </row>
    <row r="64" spans="1:11" x14ac:dyDescent="0.2">
      <c r="A64" s="12" t="s">
        <v>1532</v>
      </c>
      <c r="B64" s="12">
        <v>4743318144764</v>
      </c>
      <c r="C64" s="12">
        <v>8.7200000000000006</v>
      </c>
      <c r="D64" s="12">
        <v>0.9</v>
      </c>
      <c r="E64" s="12">
        <f t="shared" si="0"/>
        <v>9.620000000000001</v>
      </c>
      <c r="F64" s="12">
        <v>1.24</v>
      </c>
      <c r="G64" s="12">
        <f t="shared" si="1"/>
        <v>11.928800000000001</v>
      </c>
      <c r="H64" s="12">
        <v>1.1214999999999999</v>
      </c>
      <c r="I64" s="12">
        <f t="shared" si="2"/>
        <v>13.378149199999999</v>
      </c>
      <c r="J64" s="12">
        <v>0.73999999999999899</v>
      </c>
      <c r="K64" s="12">
        <f t="shared" si="3"/>
        <v>14.118149199999998</v>
      </c>
    </row>
    <row r="65" spans="1:12" x14ac:dyDescent="0.2">
      <c r="A65" s="12" t="s">
        <v>1533</v>
      </c>
      <c r="B65" s="12">
        <v>4743318141510</v>
      </c>
      <c r="C65" s="12">
        <v>11.08</v>
      </c>
      <c r="D65" s="12">
        <v>0.9</v>
      </c>
      <c r="E65" s="12">
        <f t="shared" si="0"/>
        <v>11.98</v>
      </c>
      <c r="F65" s="12">
        <v>1.24</v>
      </c>
      <c r="G65" s="12">
        <f t="shared" si="1"/>
        <v>14.8552</v>
      </c>
      <c r="H65" s="12">
        <v>1.1214999999999999</v>
      </c>
      <c r="I65" s="12">
        <f t="shared" si="2"/>
        <v>16.660106799999998</v>
      </c>
      <c r="J65" s="12">
        <v>0.73999999999999899</v>
      </c>
      <c r="K65" s="12">
        <f t="shared" si="3"/>
        <v>17.400106799999996</v>
      </c>
    </row>
    <row r="66" spans="1:12" x14ac:dyDescent="0.2">
      <c r="A66" s="12" t="s">
        <v>1534</v>
      </c>
      <c r="B66" s="12">
        <v>4744183012080</v>
      </c>
      <c r="C66" s="12">
        <v>0</v>
      </c>
      <c r="D66" s="12">
        <v>0.9</v>
      </c>
      <c r="E66" s="12">
        <f t="shared" si="0"/>
        <v>0.9</v>
      </c>
      <c r="F66" s="12">
        <v>1.24</v>
      </c>
      <c r="G66" s="12">
        <f t="shared" si="1"/>
        <v>1.1160000000000001</v>
      </c>
      <c r="H66" s="12">
        <v>1.1214999999999999</v>
      </c>
      <c r="I66" s="12">
        <f t="shared" si="2"/>
        <v>1.2515940000000001</v>
      </c>
      <c r="J66" s="12">
        <v>1.42</v>
      </c>
      <c r="K66" s="12">
        <f t="shared" si="3"/>
        <v>2.6715939999999998</v>
      </c>
      <c r="L66" s="12">
        <v>14.8</v>
      </c>
    </row>
    <row r="67" spans="1:12" x14ac:dyDescent="0.2">
      <c r="A67" s="6" t="s">
        <v>1535</v>
      </c>
      <c r="B67" s="6" t="s">
        <v>1536</v>
      </c>
      <c r="C67" s="12">
        <v>3.85</v>
      </c>
      <c r="D67" s="12">
        <v>0.3</v>
      </c>
      <c r="E67" s="12">
        <f t="shared" si="0"/>
        <v>4.1500000000000004</v>
      </c>
      <c r="F67" s="12">
        <v>1.24</v>
      </c>
      <c r="G67" s="12">
        <f t="shared" si="1"/>
        <v>5.1460000000000008</v>
      </c>
      <c r="H67" s="12">
        <v>1.1214999999999999</v>
      </c>
      <c r="I67" s="12">
        <f t="shared" si="2"/>
        <v>5.7712390000000005</v>
      </c>
      <c r="J67" s="21">
        <v>0.25</v>
      </c>
      <c r="K67" s="12">
        <f t="shared" si="3"/>
        <v>6.0212390000000005</v>
      </c>
    </row>
    <row r="68" spans="1:12" x14ac:dyDescent="0.2">
      <c r="A68" s="6" t="s">
        <v>1537</v>
      </c>
      <c r="B68" s="6" t="s">
        <v>1538</v>
      </c>
      <c r="C68" s="12">
        <v>4.01</v>
      </c>
      <c r="D68" s="12">
        <v>0.3</v>
      </c>
      <c r="E68" s="12">
        <f t="shared" si="0"/>
        <v>4.3099999999999996</v>
      </c>
      <c r="F68" s="12">
        <v>1.24</v>
      </c>
      <c r="G68" s="12">
        <f t="shared" si="1"/>
        <v>5.3443999999999994</v>
      </c>
      <c r="H68" s="12">
        <v>1.1214999999999999</v>
      </c>
      <c r="I68" s="12">
        <f t="shared" si="2"/>
        <v>5.9937445999999994</v>
      </c>
      <c r="J68" s="21">
        <v>0.25</v>
      </c>
      <c r="K68" s="12">
        <f t="shared" si="3"/>
        <v>6.2437445999999994</v>
      </c>
    </row>
    <row r="69" spans="1:12" x14ac:dyDescent="0.2">
      <c r="A69" s="6" t="s">
        <v>1539</v>
      </c>
      <c r="B69" s="6" t="s">
        <v>1540</v>
      </c>
      <c r="C69" s="12">
        <v>4.51</v>
      </c>
      <c r="D69" s="12">
        <v>0.3</v>
      </c>
      <c r="E69" s="12">
        <f t="shared" si="0"/>
        <v>4.8099999999999996</v>
      </c>
      <c r="F69" s="12">
        <v>1.24</v>
      </c>
      <c r="G69" s="12">
        <f t="shared" si="1"/>
        <v>5.9643999999999995</v>
      </c>
      <c r="H69" s="12">
        <v>1.1214999999999999</v>
      </c>
      <c r="I69" s="12">
        <f t="shared" si="2"/>
        <v>6.6890745999999988</v>
      </c>
      <c r="J69" s="21">
        <v>0.25</v>
      </c>
      <c r="K69" s="12">
        <f t="shared" si="3"/>
        <v>6.9390745999999988</v>
      </c>
    </row>
    <row r="70" spans="1:12" x14ac:dyDescent="0.2">
      <c r="A70" s="6" t="s">
        <v>1541</v>
      </c>
      <c r="B70" s="6" t="s">
        <v>1542</v>
      </c>
      <c r="C70" s="12">
        <v>5.56</v>
      </c>
      <c r="D70" s="12">
        <v>0.6</v>
      </c>
      <c r="E70" s="12">
        <f t="shared" si="0"/>
        <v>6.1599999999999993</v>
      </c>
      <c r="F70" s="12">
        <v>1.24</v>
      </c>
      <c r="G70" s="12">
        <f t="shared" si="1"/>
        <v>7.638399999999999</v>
      </c>
      <c r="H70" s="12">
        <v>1.1214999999999999</v>
      </c>
      <c r="I70" s="12">
        <f t="shared" si="2"/>
        <v>8.566465599999999</v>
      </c>
      <c r="J70" s="21">
        <v>0.43</v>
      </c>
      <c r="K70" s="12">
        <f t="shared" si="3"/>
        <v>8.9964655999999987</v>
      </c>
    </row>
    <row r="71" spans="1:12" x14ac:dyDescent="0.2">
      <c r="A71" s="6" t="s">
        <v>1543</v>
      </c>
      <c r="B71" s="6" t="s">
        <v>1544</v>
      </c>
      <c r="C71" s="12">
        <v>0</v>
      </c>
      <c r="D71" s="12">
        <v>0.9</v>
      </c>
      <c r="E71" s="12">
        <f t="shared" si="0"/>
        <v>0.9</v>
      </c>
      <c r="F71" s="12">
        <v>1.24</v>
      </c>
      <c r="G71" s="12">
        <f t="shared" si="1"/>
        <v>1.1160000000000001</v>
      </c>
      <c r="H71" s="12">
        <v>1.1214999999999999</v>
      </c>
      <c r="I71" s="12">
        <f t="shared" si="2"/>
        <v>1.2515940000000001</v>
      </c>
      <c r="J71" s="21">
        <v>0.7</v>
      </c>
      <c r="K71" s="12">
        <f t="shared" si="3"/>
        <v>1.9515940000000001</v>
      </c>
      <c r="L71" s="12">
        <v>21.05</v>
      </c>
    </row>
    <row r="72" spans="1:12" x14ac:dyDescent="0.2">
      <c r="A72" s="12" t="s">
        <v>1545</v>
      </c>
      <c r="B72" s="12">
        <v>4743318143415</v>
      </c>
      <c r="C72" s="12">
        <v>2.67</v>
      </c>
      <c r="D72" s="12">
        <v>0.3</v>
      </c>
      <c r="E72" s="12">
        <f t="shared" si="0"/>
        <v>2.9699999999999998</v>
      </c>
      <c r="F72" s="12">
        <v>1.24</v>
      </c>
      <c r="G72" s="12">
        <f t="shared" si="1"/>
        <v>3.6827999999999999</v>
      </c>
      <c r="H72" s="12">
        <v>1.1214999999999999</v>
      </c>
      <c r="I72" s="12">
        <f t="shared" si="2"/>
        <v>4.1302601999999995</v>
      </c>
      <c r="J72" s="12">
        <v>0.25</v>
      </c>
      <c r="K72" s="12">
        <f t="shared" si="3"/>
        <v>4.3802601999999995</v>
      </c>
    </row>
    <row r="73" spans="1:12" x14ac:dyDescent="0.2">
      <c r="A73" s="12" t="s">
        <v>1510</v>
      </c>
      <c r="B73" s="12">
        <v>4743318103990</v>
      </c>
      <c r="C73" s="12">
        <v>2.79</v>
      </c>
      <c r="D73" s="12">
        <v>0.3</v>
      </c>
      <c r="E73" s="12">
        <f t="shared" si="0"/>
        <v>3.09</v>
      </c>
      <c r="F73" s="12">
        <v>1.24</v>
      </c>
      <c r="G73" s="12">
        <f t="shared" si="1"/>
        <v>3.8315999999999999</v>
      </c>
      <c r="H73" s="12">
        <v>1.1214999999999999</v>
      </c>
      <c r="I73" s="12">
        <f t="shared" si="2"/>
        <v>4.2971393999999998</v>
      </c>
      <c r="J73" s="12">
        <v>0.25</v>
      </c>
      <c r="K73" s="12">
        <f t="shared" si="3"/>
        <v>4.5471393999999998</v>
      </c>
    </row>
    <row r="74" spans="1:12" x14ac:dyDescent="0.2">
      <c r="A74" s="12" t="s">
        <v>1546</v>
      </c>
      <c r="B74" s="12">
        <v>4744183010550</v>
      </c>
      <c r="C74" s="12">
        <v>12.42</v>
      </c>
      <c r="D74" s="12">
        <v>0.9</v>
      </c>
      <c r="E74" s="12">
        <f t="shared" si="0"/>
        <v>13.32</v>
      </c>
      <c r="F74" s="12">
        <v>1.24</v>
      </c>
      <c r="G74" s="12">
        <f t="shared" si="1"/>
        <v>16.5168</v>
      </c>
      <c r="H74" s="12">
        <v>1.1214999999999999</v>
      </c>
      <c r="I74" s="12">
        <f t="shared" si="2"/>
        <v>18.523591199999998</v>
      </c>
      <c r="J74" s="12">
        <v>1.42</v>
      </c>
      <c r="K74" s="12">
        <f t="shared" si="3"/>
        <v>19.9435912</v>
      </c>
    </row>
    <row r="75" spans="1:12" x14ac:dyDescent="0.2">
      <c r="B75" s="12">
        <v>4744183012479</v>
      </c>
      <c r="C75" s="12">
        <v>2.76</v>
      </c>
      <c r="D75" s="12">
        <v>0.3</v>
      </c>
      <c r="E75" s="12">
        <f t="shared" si="0"/>
        <v>3.0599999999999996</v>
      </c>
      <c r="F75" s="12">
        <v>1.24</v>
      </c>
      <c r="G75" s="12">
        <f t="shared" si="1"/>
        <v>3.7943999999999996</v>
      </c>
      <c r="H75" s="12">
        <v>1.1214999999999999</v>
      </c>
      <c r="I75" s="12">
        <f t="shared" si="2"/>
        <v>4.2554195999999989</v>
      </c>
      <c r="J75" s="12">
        <v>0.25</v>
      </c>
      <c r="K75" s="12">
        <f t="shared" si="3"/>
        <v>4.5054195999999989</v>
      </c>
    </row>
    <row r="76" spans="1:12" x14ac:dyDescent="0.2">
      <c r="A76" s="12" t="s">
        <v>1547</v>
      </c>
      <c r="B76" s="12">
        <v>4743318139708</v>
      </c>
      <c r="C76" s="12">
        <v>8.7200000000000006</v>
      </c>
      <c r="D76" s="12">
        <v>0.9</v>
      </c>
      <c r="E76" s="12">
        <f t="shared" si="0"/>
        <v>9.620000000000001</v>
      </c>
      <c r="F76" s="12">
        <v>1.24</v>
      </c>
      <c r="G76" s="12">
        <f t="shared" si="1"/>
        <v>11.928800000000001</v>
      </c>
      <c r="H76" s="12">
        <v>1.1214999999999999</v>
      </c>
      <c r="I76" s="12">
        <f t="shared" si="2"/>
        <v>13.378149199999999</v>
      </c>
      <c r="J76" s="12">
        <v>0.73999999999999899</v>
      </c>
      <c r="K76" s="12">
        <f t="shared" si="3"/>
        <v>14.118149199999998</v>
      </c>
    </row>
    <row r="77" spans="1:12" x14ac:dyDescent="0.2">
      <c r="A77" s="6" t="s">
        <v>1548</v>
      </c>
      <c r="B77" s="6" t="s">
        <v>1549</v>
      </c>
      <c r="C77" s="12">
        <v>8.81</v>
      </c>
      <c r="D77" s="12">
        <v>0.9</v>
      </c>
      <c r="E77" s="12">
        <f t="shared" si="0"/>
        <v>9.7100000000000009</v>
      </c>
      <c r="F77" s="12">
        <v>1.24</v>
      </c>
      <c r="G77" s="12">
        <f t="shared" si="1"/>
        <v>12.040400000000002</v>
      </c>
      <c r="H77" s="12">
        <v>1.1214999999999999</v>
      </c>
      <c r="I77" s="12">
        <f t="shared" si="2"/>
        <v>13.5033086</v>
      </c>
      <c r="J77" s="21">
        <v>1.42</v>
      </c>
      <c r="K77" s="12">
        <f t="shared" si="3"/>
        <v>14.9233086</v>
      </c>
    </row>
    <row r="78" spans="1:12" x14ac:dyDescent="0.2">
      <c r="A78" s="6" t="s">
        <v>1550</v>
      </c>
      <c r="B78" s="6" t="s">
        <v>1551</v>
      </c>
      <c r="C78" s="12">
        <v>4.17</v>
      </c>
      <c r="D78" s="12">
        <v>0.6</v>
      </c>
      <c r="E78" s="12">
        <f t="shared" si="0"/>
        <v>4.7699999999999996</v>
      </c>
      <c r="F78" s="12">
        <v>1.24</v>
      </c>
      <c r="G78" s="12">
        <f t="shared" si="1"/>
        <v>5.9147999999999996</v>
      </c>
      <c r="H78" s="12">
        <v>1.1214999999999999</v>
      </c>
      <c r="I78" s="12">
        <f t="shared" si="2"/>
        <v>6.6334481999999992</v>
      </c>
      <c r="J78" s="21">
        <v>0.25</v>
      </c>
      <c r="K78" s="12">
        <f t="shared" si="3"/>
        <v>6.8834481999999992</v>
      </c>
    </row>
    <row r="79" spans="1:12" x14ac:dyDescent="0.2">
      <c r="A79" s="6" t="s">
        <v>1552</v>
      </c>
      <c r="B79" s="6" t="s">
        <v>1553</v>
      </c>
      <c r="C79" s="12">
        <v>3.39</v>
      </c>
      <c r="D79" s="12">
        <v>0.3</v>
      </c>
      <c r="E79" s="12">
        <f t="shared" si="0"/>
        <v>3.69</v>
      </c>
      <c r="F79" s="12">
        <v>1.24</v>
      </c>
      <c r="G79" s="12">
        <f t="shared" si="1"/>
        <v>4.5755999999999997</v>
      </c>
      <c r="H79" s="12">
        <v>1.1214999999999999</v>
      </c>
      <c r="I79" s="12">
        <f t="shared" si="2"/>
        <v>5.1315353999999997</v>
      </c>
      <c r="J79" s="21">
        <v>0.25</v>
      </c>
      <c r="K79" s="12">
        <f t="shared" si="3"/>
        <v>5.3815353999999997</v>
      </c>
    </row>
    <row r="80" spans="1:12" x14ac:dyDescent="0.2">
      <c r="A80" s="6" t="s">
        <v>1554</v>
      </c>
      <c r="B80" s="6" t="s">
        <v>1555</v>
      </c>
      <c r="C80" s="12">
        <v>3.85</v>
      </c>
      <c r="D80" s="12">
        <v>0.3</v>
      </c>
      <c r="E80" s="12">
        <f t="shared" si="0"/>
        <v>4.1500000000000004</v>
      </c>
      <c r="F80" s="12">
        <v>1.24</v>
      </c>
      <c r="G80" s="12">
        <f t="shared" si="1"/>
        <v>5.1460000000000008</v>
      </c>
      <c r="H80" s="12">
        <v>1.1214999999999999</v>
      </c>
      <c r="I80" s="12">
        <f t="shared" si="2"/>
        <v>5.7712390000000005</v>
      </c>
      <c r="J80" s="21">
        <v>0.25</v>
      </c>
      <c r="K80" s="12">
        <f t="shared" si="3"/>
        <v>6.0212390000000005</v>
      </c>
    </row>
    <row r="81" spans="1:11" x14ac:dyDescent="0.2">
      <c r="A81" s="6" t="s">
        <v>1556</v>
      </c>
      <c r="B81" s="6" t="s">
        <v>1557</v>
      </c>
      <c r="C81" s="12">
        <v>7.7</v>
      </c>
      <c r="D81" s="12">
        <v>0.9</v>
      </c>
      <c r="E81" s="12">
        <f t="shared" si="0"/>
        <v>8.6</v>
      </c>
      <c r="F81" s="12">
        <v>1.24</v>
      </c>
      <c r="G81" s="12">
        <f t="shared" si="1"/>
        <v>10.664</v>
      </c>
      <c r="H81" s="12">
        <v>1.1214999999999999</v>
      </c>
      <c r="I81" s="12">
        <f t="shared" si="2"/>
        <v>11.959675999999998</v>
      </c>
      <c r="J81" s="21">
        <v>0.7</v>
      </c>
      <c r="K81" s="12">
        <f t="shared" si="3"/>
        <v>12.659675999999997</v>
      </c>
    </row>
    <row r="82" spans="1:11" x14ac:dyDescent="0.2">
      <c r="A82" s="6" t="s">
        <v>1558</v>
      </c>
      <c r="B82" s="6" t="s">
        <v>1559</v>
      </c>
      <c r="C82" s="12">
        <v>5.55</v>
      </c>
      <c r="D82" s="12">
        <v>0.9</v>
      </c>
      <c r="E82" s="12">
        <f t="shared" si="0"/>
        <v>6.45</v>
      </c>
      <c r="F82" s="12">
        <v>1.24</v>
      </c>
      <c r="G82" s="12">
        <f t="shared" si="1"/>
        <v>7.9980000000000002</v>
      </c>
      <c r="H82" s="12">
        <v>1.1214999999999999</v>
      </c>
      <c r="I82" s="12">
        <f t="shared" si="2"/>
        <v>8.9697569999999995</v>
      </c>
      <c r="J82" s="21">
        <v>0.7</v>
      </c>
      <c r="K82" s="12">
        <f t="shared" si="3"/>
        <v>9.6697569999999988</v>
      </c>
    </row>
    <row r="83" spans="1:11" x14ac:dyDescent="0.2">
      <c r="A83" s="6" t="s">
        <v>1560</v>
      </c>
      <c r="B83" s="6" t="s">
        <v>1561</v>
      </c>
      <c r="C83" s="12">
        <v>3.85</v>
      </c>
      <c r="D83" s="12">
        <v>0.3</v>
      </c>
      <c r="E83" s="12">
        <f t="shared" si="0"/>
        <v>4.1500000000000004</v>
      </c>
      <c r="F83" s="12">
        <v>1.24</v>
      </c>
      <c r="G83" s="12">
        <f t="shared" si="1"/>
        <v>5.1460000000000008</v>
      </c>
      <c r="H83" s="12">
        <v>1.1214999999999999</v>
      </c>
      <c r="I83" s="12">
        <f t="shared" si="2"/>
        <v>5.7712390000000005</v>
      </c>
      <c r="J83" s="21">
        <v>0.25</v>
      </c>
      <c r="K83" s="12">
        <f t="shared" si="3"/>
        <v>6.0212390000000005</v>
      </c>
    </row>
    <row r="84" spans="1:11" x14ac:dyDescent="0.2">
      <c r="A84" s="6" t="s">
        <v>1562</v>
      </c>
      <c r="B84" s="6" t="s">
        <v>1563</v>
      </c>
      <c r="C84" s="12">
        <v>5.55</v>
      </c>
      <c r="D84" s="12">
        <v>0.65</v>
      </c>
      <c r="E84" s="12">
        <f t="shared" si="0"/>
        <v>6.2</v>
      </c>
      <c r="F84" s="12">
        <v>1.24</v>
      </c>
      <c r="G84" s="12">
        <f t="shared" si="1"/>
        <v>7.6879999999999997</v>
      </c>
      <c r="H84" s="12">
        <v>1.1214999999999999</v>
      </c>
      <c r="I84" s="12">
        <f t="shared" si="2"/>
        <v>8.6220919999999985</v>
      </c>
      <c r="J84" s="21">
        <v>0.43</v>
      </c>
      <c r="K84" s="12">
        <f t="shared" si="3"/>
        <v>9.0520919999999983</v>
      </c>
    </row>
    <row r="85" spans="1:11" x14ac:dyDescent="0.2">
      <c r="A85" s="6" t="s">
        <v>1564</v>
      </c>
      <c r="B85" s="6" t="s">
        <v>1565</v>
      </c>
      <c r="C85" s="12">
        <v>5.82</v>
      </c>
      <c r="D85" s="12">
        <v>0.6</v>
      </c>
      <c r="E85" s="12">
        <f t="shared" si="0"/>
        <v>6.42</v>
      </c>
      <c r="F85" s="12">
        <v>1.24</v>
      </c>
      <c r="G85" s="12">
        <f t="shared" si="1"/>
        <v>7.9607999999999999</v>
      </c>
      <c r="H85" s="12">
        <v>1.1214999999999999</v>
      </c>
      <c r="I85" s="12">
        <f t="shared" si="2"/>
        <v>8.9280371999999986</v>
      </c>
      <c r="J85" s="21">
        <v>0.43</v>
      </c>
      <c r="K85" s="12">
        <f t="shared" si="3"/>
        <v>9.3580371999999983</v>
      </c>
    </row>
    <row r="86" spans="1:11" x14ac:dyDescent="0.2">
      <c r="A86" s="6" t="s">
        <v>1566</v>
      </c>
      <c r="B86" s="6" t="s">
        <v>1567</v>
      </c>
      <c r="C86" s="12">
        <v>4</v>
      </c>
      <c r="D86" s="12">
        <v>0.3</v>
      </c>
      <c r="E86" s="12">
        <f t="shared" si="0"/>
        <v>4.3</v>
      </c>
      <c r="F86" s="12">
        <v>1.24</v>
      </c>
      <c r="G86" s="12">
        <f t="shared" si="1"/>
        <v>5.3319999999999999</v>
      </c>
      <c r="H86" s="12">
        <v>1.1214999999999999</v>
      </c>
      <c r="I86" s="12">
        <f t="shared" si="2"/>
        <v>5.9798379999999991</v>
      </c>
      <c r="J86" s="21">
        <v>0.25</v>
      </c>
      <c r="K86" s="12">
        <f t="shared" si="3"/>
        <v>6.2298379999999991</v>
      </c>
    </row>
    <row r="87" spans="1:11" x14ac:dyDescent="0.2">
      <c r="A87" s="6" t="s">
        <v>1568</v>
      </c>
      <c r="B87" s="6" t="s">
        <v>1569</v>
      </c>
      <c r="C87" s="12">
        <v>5.18</v>
      </c>
      <c r="D87" s="12">
        <v>0.6</v>
      </c>
      <c r="E87" s="12">
        <f t="shared" si="0"/>
        <v>5.7799999999999994</v>
      </c>
      <c r="F87" s="12">
        <v>1.24</v>
      </c>
      <c r="G87" s="12">
        <f t="shared" si="1"/>
        <v>7.1671999999999993</v>
      </c>
      <c r="H87" s="12">
        <v>1.1214999999999999</v>
      </c>
      <c r="I87" s="12">
        <f t="shared" si="2"/>
        <v>8.0380147999999991</v>
      </c>
      <c r="J87" s="12">
        <v>0.42</v>
      </c>
      <c r="K87" s="12">
        <f t="shared" si="3"/>
        <v>8.4580147999999991</v>
      </c>
    </row>
    <row r="88" spans="1:11" x14ac:dyDescent="0.2">
      <c r="A88" s="12" t="s">
        <v>1570</v>
      </c>
      <c r="B88" s="12">
        <v>4743318104287</v>
      </c>
      <c r="C88" s="12">
        <v>3.39</v>
      </c>
      <c r="D88" s="12">
        <v>0.3</v>
      </c>
      <c r="E88" s="12">
        <f t="shared" si="0"/>
        <v>3.69</v>
      </c>
      <c r="F88" s="12">
        <v>1.24</v>
      </c>
      <c r="G88" s="12">
        <f t="shared" si="1"/>
        <v>4.5755999999999997</v>
      </c>
      <c r="H88" s="12">
        <v>1.1214999999999999</v>
      </c>
      <c r="I88" s="12">
        <f t="shared" si="2"/>
        <v>5.1315353999999997</v>
      </c>
      <c r="J88" s="12">
        <v>0.43</v>
      </c>
      <c r="K88" s="12">
        <f t="shared" si="3"/>
        <v>5.5615353999999995</v>
      </c>
    </row>
    <row r="89" spans="1:11" x14ac:dyDescent="0.2">
      <c r="A89" s="12" t="s">
        <v>1571</v>
      </c>
      <c r="B89" s="12">
        <v>4744183010567</v>
      </c>
      <c r="C89" s="12">
        <v>12.42</v>
      </c>
      <c r="D89" s="12">
        <v>0.9</v>
      </c>
      <c r="E89" s="12">
        <f t="shared" si="0"/>
        <v>13.32</v>
      </c>
      <c r="F89" s="12">
        <v>1.24</v>
      </c>
      <c r="G89" s="12">
        <f t="shared" si="1"/>
        <v>16.5168</v>
      </c>
      <c r="H89" s="12">
        <v>1.1214999999999999</v>
      </c>
      <c r="I89" s="12">
        <f t="shared" si="2"/>
        <v>18.523591199999998</v>
      </c>
      <c r="J89" s="12">
        <v>1.42</v>
      </c>
      <c r="K89" s="12">
        <f t="shared" si="3"/>
        <v>19.9435912</v>
      </c>
    </row>
    <row r="90" spans="1:11" x14ac:dyDescent="0.2">
      <c r="A90" s="12" t="s">
        <v>1572</v>
      </c>
      <c r="B90" s="12">
        <v>4743318104300</v>
      </c>
      <c r="C90" s="12">
        <v>3.39</v>
      </c>
      <c r="D90" s="12">
        <v>0.3</v>
      </c>
      <c r="E90" s="12">
        <f t="shared" si="0"/>
        <v>3.69</v>
      </c>
      <c r="F90" s="12">
        <v>1.24</v>
      </c>
      <c r="G90" s="12">
        <f t="shared" si="1"/>
        <v>4.5755999999999997</v>
      </c>
      <c r="H90" s="12">
        <v>1.1214999999999999</v>
      </c>
      <c r="I90" s="12">
        <f t="shared" si="2"/>
        <v>5.1315353999999997</v>
      </c>
      <c r="J90" s="12">
        <v>0.25</v>
      </c>
      <c r="K90" s="12">
        <f t="shared" si="3"/>
        <v>5.3815353999999997</v>
      </c>
    </row>
    <row r="91" spans="1:11" x14ac:dyDescent="0.2">
      <c r="A91" s="12" t="s">
        <v>1573</v>
      </c>
      <c r="B91" s="12">
        <v>4743318104874</v>
      </c>
      <c r="C91" s="12">
        <v>8.7200000000000006</v>
      </c>
      <c r="D91" s="12">
        <v>0.9</v>
      </c>
      <c r="E91" s="12">
        <f t="shared" si="0"/>
        <v>9.620000000000001</v>
      </c>
      <c r="F91" s="12">
        <v>1.24</v>
      </c>
      <c r="G91" s="12">
        <f t="shared" si="1"/>
        <v>11.928800000000001</v>
      </c>
      <c r="H91" s="12">
        <v>1.1214999999999999</v>
      </c>
      <c r="I91" s="12">
        <f t="shared" si="2"/>
        <v>13.378149199999999</v>
      </c>
      <c r="J91" s="12">
        <v>0.73999999999999899</v>
      </c>
      <c r="K91" s="12">
        <f t="shared" si="3"/>
        <v>14.118149199999998</v>
      </c>
    </row>
    <row r="92" spans="1:11" x14ac:dyDescent="0.2">
      <c r="A92" s="12" t="s">
        <v>1574</v>
      </c>
      <c r="B92" s="12">
        <v>4744183012639</v>
      </c>
      <c r="C92" s="12">
        <v>3.06</v>
      </c>
      <c r="D92" s="12">
        <v>0.3</v>
      </c>
      <c r="E92" s="12">
        <f t="shared" si="0"/>
        <v>3.36</v>
      </c>
      <c r="F92" s="12">
        <v>1.24</v>
      </c>
      <c r="G92" s="12">
        <f t="shared" si="1"/>
        <v>4.1663999999999994</v>
      </c>
      <c r="H92" s="12">
        <v>1.1214999999999999</v>
      </c>
      <c r="I92" s="12">
        <f t="shared" si="2"/>
        <v>4.6726175999999988</v>
      </c>
      <c r="J92" s="12">
        <v>0.25</v>
      </c>
      <c r="K92" s="12">
        <f t="shared" si="3"/>
        <v>4.9226175999999988</v>
      </c>
    </row>
    <row r="93" spans="1:11" x14ac:dyDescent="0.2">
      <c r="A93" s="12" t="s">
        <v>1575</v>
      </c>
      <c r="B93" s="12">
        <v>4744183012103</v>
      </c>
      <c r="C93" s="12">
        <v>7.84</v>
      </c>
      <c r="D93" s="12">
        <v>0.9</v>
      </c>
      <c r="E93" s="12">
        <f t="shared" si="0"/>
        <v>8.74</v>
      </c>
      <c r="F93" s="12">
        <v>1.24</v>
      </c>
      <c r="G93" s="12">
        <f t="shared" si="1"/>
        <v>10.8376</v>
      </c>
      <c r="H93" s="12">
        <v>1.1214999999999999</v>
      </c>
      <c r="I93" s="12">
        <f t="shared" si="2"/>
        <v>12.154368399999999</v>
      </c>
      <c r="J93" s="12">
        <v>1.42</v>
      </c>
      <c r="K93" s="12">
        <f t="shared" si="3"/>
        <v>13.574368399999999</v>
      </c>
    </row>
    <row r="94" spans="1:11" x14ac:dyDescent="0.2">
      <c r="A94" s="12" t="s">
        <v>1576</v>
      </c>
      <c r="B94" s="12">
        <v>4743318144757</v>
      </c>
      <c r="C94" s="12">
        <v>5.88</v>
      </c>
      <c r="D94" s="12">
        <v>0.6</v>
      </c>
      <c r="E94" s="12">
        <f t="shared" si="0"/>
        <v>6.4799999999999995</v>
      </c>
      <c r="F94" s="12">
        <v>1.24</v>
      </c>
      <c r="G94" s="12">
        <f t="shared" si="1"/>
        <v>8.0351999999999997</v>
      </c>
      <c r="H94" s="12">
        <v>1.1214999999999999</v>
      </c>
      <c r="I94" s="12">
        <f t="shared" si="2"/>
        <v>9.0114767999999987</v>
      </c>
      <c r="J94" s="12">
        <v>0.42</v>
      </c>
      <c r="K94" s="12">
        <f t="shared" si="3"/>
        <v>9.4314767999999987</v>
      </c>
    </row>
    <row r="95" spans="1:11" x14ac:dyDescent="0.2">
      <c r="A95" s="12" t="s">
        <v>1500</v>
      </c>
      <c r="B95" s="12">
        <v>4743318144634</v>
      </c>
      <c r="C95" s="12">
        <v>6.98</v>
      </c>
      <c r="D95" s="12">
        <v>0.9</v>
      </c>
      <c r="E95" s="12">
        <f t="shared" si="0"/>
        <v>7.8800000000000008</v>
      </c>
      <c r="F95" s="12">
        <v>1.24</v>
      </c>
      <c r="G95" s="12">
        <f t="shared" si="1"/>
        <v>9.7712000000000003</v>
      </c>
      <c r="H95" s="12">
        <v>1.1214999999999999</v>
      </c>
      <c r="I95" s="12">
        <f t="shared" si="2"/>
        <v>10.9584008</v>
      </c>
      <c r="J95" s="12">
        <v>0.73999999999999899</v>
      </c>
      <c r="K95" s="12">
        <f t="shared" si="3"/>
        <v>11.698400799999998</v>
      </c>
    </row>
    <row r="96" spans="1:11" x14ac:dyDescent="0.2">
      <c r="A96" s="12" t="s">
        <v>1577</v>
      </c>
      <c r="B96" s="12">
        <v>4743318144412</v>
      </c>
      <c r="C96" s="12">
        <v>3.32</v>
      </c>
      <c r="D96" s="12">
        <v>0.4</v>
      </c>
      <c r="E96" s="12">
        <f t="shared" si="0"/>
        <v>3.7199999999999998</v>
      </c>
      <c r="F96" s="12">
        <v>1.24</v>
      </c>
      <c r="G96" s="12">
        <f t="shared" si="1"/>
        <v>4.6128</v>
      </c>
      <c r="H96" s="12">
        <v>1.1214999999999999</v>
      </c>
      <c r="I96" s="12">
        <f t="shared" si="2"/>
        <v>5.1732551999999998</v>
      </c>
      <c r="J96" s="12">
        <v>0.25</v>
      </c>
      <c r="K96" s="12">
        <f t="shared" si="3"/>
        <v>5.4232551999999998</v>
      </c>
    </row>
    <row r="97" spans="1:12" x14ac:dyDescent="0.2">
      <c r="A97" s="12" t="s">
        <v>1578</v>
      </c>
      <c r="B97" s="12">
        <v>4744183012660</v>
      </c>
      <c r="C97" s="12">
        <v>0</v>
      </c>
      <c r="D97" s="12">
        <v>0.9</v>
      </c>
      <c r="E97" s="12">
        <f t="shared" si="0"/>
        <v>0.9</v>
      </c>
      <c r="F97" s="12">
        <v>1.24</v>
      </c>
      <c r="G97" s="12">
        <f t="shared" si="1"/>
        <v>1.1160000000000001</v>
      </c>
      <c r="H97" s="12">
        <v>1.1214999999999999</v>
      </c>
      <c r="I97" s="12">
        <f t="shared" si="2"/>
        <v>1.2515940000000001</v>
      </c>
      <c r="J97" s="12">
        <v>0.45</v>
      </c>
      <c r="K97" s="12">
        <f t="shared" si="3"/>
        <v>1.7015940000000001</v>
      </c>
    </row>
    <row r="98" spans="1:12" x14ac:dyDescent="0.2">
      <c r="A98" s="12" t="s">
        <v>1579</v>
      </c>
      <c r="B98" s="12">
        <v>4744183012646</v>
      </c>
      <c r="C98" s="12">
        <v>0</v>
      </c>
      <c r="D98" s="12">
        <v>0.9</v>
      </c>
      <c r="E98" s="12">
        <f t="shared" si="0"/>
        <v>0.9</v>
      </c>
      <c r="F98" s="12">
        <v>1.24</v>
      </c>
      <c r="G98" s="12">
        <f t="shared" si="1"/>
        <v>1.1160000000000001</v>
      </c>
      <c r="H98" s="12">
        <v>1.1214999999999999</v>
      </c>
      <c r="I98" s="12">
        <f t="shared" si="2"/>
        <v>1.2515940000000001</v>
      </c>
      <c r="J98" s="12">
        <v>0.73999999999999899</v>
      </c>
      <c r="K98" s="12">
        <f t="shared" si="3"/>
        <v>1.9915939999999992</v>
      </c>
    </row>
    <row r="99" spans="1:12" x14ac:dyDescent="0.2">
      <c r="A99" s="12" t="s">
        <v>1580</v>
      </c>
      <c r="B99" s="12">
        <v>4744183011977</v>
      </c>
      <c r="C99" s="12">
        <v>6.72</v>
      </c>
      <c r="D99" s="12">
        <v>0.9</v>
      </c>
      <c r="E99" s="12">
        <f t="shared" si="0"/>
        <v>7.62</v>
      </c>
      <c r="F99" s="12">
        <v>1.24</v>
      </c>
      <c r="G99" s="12">
        <f t="shared" si="1"/>
        <v>9.4488000000000003</v>
      </c>
      <c r="H99" s="12">
        <v>1.1214999999999999</v>
      </c>
      <c r="I99" s="12">
        <f t="shared" si="2"/>
        <v>10.5968292</v>
      </c>
      <c r="J99" s="12">
        <v>0.73999999999999899</v>
      </c>
      <c r="K99" s="12">
        <f t="shared" si="3"/>
        <v>11.336829199999999</v>
      </c>
    </row>
    <row r="100" spans="1:12" x14ac:dyDescent="0.2">
      <c r="A100" s="12" t="s">
        <v>1581</v>
      </c>
      <c r="B100" s="12">
        <v>4744183012431</v>
      </c>
      <c r="C100" s="12">
        <v>2.76</v>
      </c>
      <c r="D100" s="12">
        <v>0.65</v>
      </c>
      <c r="E100" s="12">
        <f t="shared" si="0"/>
        <v>3.4099999999999997</v>
      </c>
      <c r="F100" s="12">
        <v>1.24</v>
      </c>
      <c r="G100" s="12">
        <f t="shared" si="1"/>
        <v>4.2283999999999997</v>
      </c>
      <c r="H100" s="12">
        <v>1.1214999999999999</v>
      </c>
      <c r="I100" s="12">
        <f t="shared" si="2"/>
        <v>4.7421505999999995</v>
      </c>
      <c r="J100" s="12">
        <v>0.25</v>
      </c>
      <c r="K100" s="12">
        <f t="shared" si="3"/>
        <v>4.9921505999999995</v>
      </c>
    </row>
    <row r="101" spans="1:12" x14ac:dyDescent="0.2">
      <c r="A101" s="6" t="s">
        <v>1582</v>
      </c>
      <c r="B101" s="6" t="s">
        <v>1583</v>
      </c>
      <c r="C101" s="12">
        <v>0</v>
      </c>
      <c r="D101" s="12">
        <v>0.9</v>
      </c>
      <c r="E101" s="12">
        <f t="shared" si="0"/>
        <v>0.9</v>
      </c>
      <c r="F101" s="12">
        <v>1.24</v>
      </c>
      <c r="G101" s="12">
        <f t="shared" si="1"/>
        <v>1.1160000000000001</v>
      </c>
      <c r="H101" s="12">
        <v>1.1214999999999999</v>
      </c>
      <c r="I101" s="12">
        <f t="shared" si="2"/>
        <v>1.2515940000000001</v>
      </c>
      <c r="J101" s="12">
        <v>0.25</v>
      </c>
      <c r="K101" s="12">
        <f t="shared" si="3"/>
        <v>1.5015940000000001</v>
      </c>
      <c r="L101" s="12">
        <v>2.7</v>
      </c>
    </row>
    <row r="102" spans="1:12" x14ac:dyDescent="0.2">
      <c r="A102" s="6" t="s">
        <v>1584</v>
      </c>
      <c r="B102" s="6" t="s">
        <v>1585</v>
      </c>
      <c r="C102" s="12">
        <v>0</v>
      </c>
      <c r="D102" s="12">
        <v>0.9</v>
      </c>
      <c r="E102" s="12">
        <f t="shared" si="0"/>
        <v>0.9</v>
      </c>
      <c r="F102" s="12">
        <v>1.24</v>
      </c>
      <c r="G102" s="12">
        <f t="shared" si="1"/>
        <v>1.1160000000000001</v>
      </c>
      <c r="H102" s="12">
        <v>1.1214999999999999</v>
      </c>
      <c r="I102" s="12">
        <f t="shared" si="2"/>
        <v>1.2515940000000001</v>
      </c>
      <c r="J102" s="12">
        <v>0.45</v>
      </c>
      <c r="K102" s="12">
        <f t="shared" si="3"/>
        <v>1.7015940000000001</v>
      </c>
      <c r="L102" s="12">
        <v>3.9</v>
      </c>
    </row>
    <row r="103" spans="1:12" x14ac:dyDescent="0.2">
      <c r="A103" s="6" t="s">
        <v>1586</v>
      </c>
      <c r="B103" s="6" t="s">
        <v>1587</v>
      </c>
      <c r="C103" s="12">
        <v>0</v>
      </c>
      <c r="D103" s="12">
        <v>0.9</v>
      </c>
      <c r="E103" s="12">
        <f t="shared" si="0"/>
        <v>0.9</v>
      </c>
      <c r="F103" s="12">
        <v>1.24</v>
      </c>
      <c r="G103" s="12">
        <f t="shared" si="1"/>
        <v>1.1160000000000001</v>
      </c>
      <c r="H103" s="12">
        <v>1.1214999999999999</v>
      </c>
      <c r="I103" s="12">
        <f t="shared" si="2"/>
        <v>1.2515940000000001</v>
      </c>
      <c r="J103" s="12">
        <v>0.45</v>
      </c>
      <c r="K103" s="12">
        <f t="shared" si="3"/>
        <v>1.7015940000000001</v>
      </c>
      <c r="L103" s="12">
        <v>3.9</v>
      </c>
    </row>
    <row r="104" spans="1:12" x14ac:dyDescent="0.2">
      <c r="A104" s="6" t="s">
        <v>1493</v>
      </c>
      <c r="B104" s="6" t="s">
        <v>1494</v>
      </c>
      <c r="C104" s="12">
        <v>0</v>
      </c>
      <c r="D104" s="12">
        <v>0.9</v>
      </c>
      <c r="E104" s="12">
        <f t="shared" si="0"/>
        <v>0.9</v>
      </c>
      <c r="F104" s="12">
        <v>1.24</v>
      </c>
      <c r="G104" s="12">
        <f t="shared" si="1"/>
        <v>1.1160000000000001</v>
      </c>
      <c r="H104" s="12">
        <v>1.1214999999999999</v>
      </c>
      <c r="I104" s="12">
        <f t="shared" si="2"/>
        <v>1.2515940000000001</v>
      </c>
      <c r="J104" s="12">
        <v>0.74</v>
      </c>
      <c r="K104" s="12">
        <f t="shared" si="3"/>
        <v>1.9915940000000001</v>
      </c>
      <c r="L104" s="12">
        <v>9.9</v>
      </c>
    </row>
    <row r="105" spans="1:12" x14ac:dyDescent="0.2">
      <c r="A105" s="6" t="s">
        <v>1588</v>
      </c>
      <c r="B105" s="6" t="s">
        <v>1589</v>
      </c>
      <c r="C105" s="12">
        <v>0</v>
      </c>
      <c r="D105" s="12">
        <v>0.9</v>
      </c>
      <c r="E105" s="12">
        <f t="shared" si="0"/>
        <v>0.9</v>
      </c>
      <c r="F105" s="12">
        <v>1.24</v>
      </c>
      <c r="G105" s="12">
        <f t="shared" si="1"/>
        <v>1.1160000000000001</v>
      </c>
      <c r="H105" s="12">
        <v>1.1214999999999999</v>
      </c>
      <c r="I105" s="12">
        <f t="shared" si="2"/>
        <v>1.2515940000000001</v>
      </c>
      <c r="J105" s="12">
        <v>0.45</v>
      </c>
      <c r="K105" s="12">
        <f t="shared" si="3"/>
        <v>1.7015940000000001</v>
      </c>
      <c r="L105" s="12">
        <v>3.9</v>
      </c>
    </row>
    <row r="106" spans="1:12" x14ac:dyDescent="0.2">
      <c r="A106" s="12" t="s">
        <v>1590</v>
      </c>
      <c r="B106" s="12">
        <v>4743318145099</v>
      </c>
      <c r="C106" s="12">
        <v>5.75</v>
      </c>
      <c r="D106" s="12">
        <v>0.55000000000000004</v>
      </c>
      <c r="E106" s="12">
        <f t="shared" si="0"/>
        <v>6.3</v>
      </c>
      <c r="F106" s="12">
        <v>1.24</v>
      </c>
      <c r="G106" s="12">
        <f t="shared" si="1"/>
        <v>7.8119999999999994</v>
      </c>
      <c r="H106" s="12">
        <v>1.1214999999999999</v>
      </c>
      <c r="I106" s="12">
        <f t="shared" si="2"/>
        <v>8.7611579999999982</v>
      </c>
      <c r="J106" s="12">
        <v>0.45</v>
      </c>
      <c r="K106" s="12">
        <f t="shared" si="3"/>
        <v>9.2111579999999975</v>
      </c>
    </row>
    <row r="107" spans="1:12" x14ac:dyDescent="0.2">
      <c r="A107" s="12" t="s">
        <v>1591</v>
      </c>
      <c r="B107" s="12">
        <v>4743318145167</v>
      </c>
      <c r="C107" s="12">
        <v>5.16</v>
      </c>
      <c r="D107" s="12">
        <v>0.9</v>
      </c>
      <c r="E107" s="12">
        <f t="shared" si="0"/>
        <v>6.0600000000000005</v>
      </c>
      <c r="F107" s="12">
        <v>1.24</v>
      </c>
      <c r="G107" s="12">
        <f t="shared" si="1"/>
        <v>7.5144000000000002</v>
      </c>
      <c r="H107" s="12">
        <v>1.1214999999999999</v>
      </c>
      <c r="I107" s="12">
        <f t="shared" si="2"/>
        <v>8.4273995999999993</v>
      </c>
      <c r="J107" s="12">
        <v>0.73999999999999899</v>
      </c>
      <c r="K107" s="12">
        <f t="shared" si="3"/>
        <v>9.1673995999999978</v>
      </c>
    </row>
    <row r="108" spans="1:12" x14ac:dyDescent="0.2">
      <c r="A108" s="12" t="s">
        <v>1592</v>
      </c>
      <c r="B108" s="12">
        <v>4743318145082</v>
      </c>
      <c r="C108" s="12">
        <v>5.75</v>
      </c>
      <c r="D108" s="12">
        <v>0.9</v>
      </c>
      <c r="E108" s="12">
        <f t="shared" si="0"/>
        <v>6.65</v>
      </c>
      <c r="F108" s="12">
        <v>1.24</v>
      </c>
      <c r="G108" s="12">
        <f t="shared" si="1"/>
        <v>8.2460000000000004</v>
      </c>
      <c r="H108" s="12">
        <v>1.1214999999999999</v>
      </c>
      <c r="I108" s="12">
        <f t="shared" si="2"/>
        <v>9.2478890000000007</v>
      </c>
      <c r="J108" s="12">
        <v>0.73999999999999899</v>
      </c>
      <c r="K108" s="12">
        <f t="shared" si="3"/>
        <v>9.9878889999999991</v>
      </c>
    </row>
    <row r="109" spans="1:12" x14ac:dyDescent="0.2">
      <c r="A109" s="12" t="s">
        <v>1593</v>
      </c>
      <c r="B109" s="12">
        <v>4743318145150</v>
      </c>
      <c r="C109" s="12">
        <v>4.66</v>
      </c>
      <c r="D109" s="12">
        <v>0.76</v>
      </c>
      <c r="E109" s="12">
        <f t="shared" si="0"/>
        <v>5.42</v>
      </c>
      <c r="F109" s="12">
        <v>1.24</v>
      </c>
      <c r="G109" s="12">
        <f t="shared" si="1"/>
        <v>6.7207999999999997</v>
      </c>
      <c r="H109" s="12">
        <v>1.1214999999999999</v>
      </c>
      <c r="I109" s="12">
        <f t="shared" si="2"/>
        <v>7.537377199999999</v>
      </c>
      <c r="J109" s="12">
        <v>0.45</v>
      </c>
      <c r="K109" s="12">
        <f t="shared" si="3"/>
        <v>7.9873771999999992</v>
      </c>
    </row>
    <row r="110" spans="1:12" x14ac:dyDescent="0.2">
      <c r="A110" s="12" t="s">
        <v>1594</v>
      </c>
      <c r="B110" s="12">
        <v>4743318145303</v>
      </c>
      <c r="C110" s="12">
        <v>4.8</v>
      </c>
      <c r="D110" s="12">
        <v>0.9</v>
      </c>
      <c r="E110" s="12">
        <f t="shared" si="0"/>
        <v>5.7</v>
      </c>
      <c r="F110" s="12">
        <v>1.24</v>
      </c>
      <c r="G110" s="12">
        <f t="shared" si="1"/>
        <v>7.0680000000000005</v>
      </c>
      <c r="H110" s="12">
        <v>1.1214999999999999</v>
      </c>
      <c r="I110" s="12">
        <f t="shared" si="2"/>
        <v>7.9267620000000001</v>
      </c>
      <c r="J110" s="12">
        <v>0.73999999999999899</v>
      </c>
      <c r="K110" s="12">
        <f t="shared" si="3"/>
        <v>8.6667619999999985</v>
      </c>
    </row>
    <row r="111" spans="1:12" x14ac:dyDescent="0.2">
      <c r="B111" s="12">
        <v>4743318145112</v>
      </c>
      <c r="C111" s="12">
        <v>7.24</v>
      </c>
      <c r="D111" s="12">
        <v>0.4</v>
      </c>
      <c r="E111" s="12">
        <f t="shared" si="0"/>
        <v>7.6400000000000006</v>
      </c>
      <c r="F111" s="12">
        <v>1.24</v>
      </c>
      <c r="G111" s="12">
        <f t="shared" si="1"/>
        <v>9.4736000000000011</v>
      </c>
      <c r="H111" s="12">
        <v>1.1214999999999999</v>
      </c>
      <c r="I111" s="12">
        <f t="shared" si="2"/>
        <v>10.624642400000001</v>
      </c>
      <c r="J111" s="12">
        <v>0.73999999999999899</v>
      </c>
      <c r="K111" s="12">
        <f t="shared" si="3"/>
        <v>11.364642399999999</v>
      </c>
    </row>
    <row r="112" spans="1:12" x14ac:dyDescent="0.2">
      <c r="A112" s="12" t="s">
        <v>1595</v>
      </c>
      <c r="B112" s="12">
        <v>4743318104881</v>
      </c>
      <c r="C112" s="12">
        <v>8.7200000000000006</v>
      </c>
      <c r="D112" s="12">
        <v>0.9</v>
      </c>
      <c r="E112" s="12">
        <f t="shared" si="0"/>
        <v>9.620000000000001</v>
      </c>
      <c r="F112" s="12">
        <v>1.24</v>
      </c>
      <c r="G112" s="12">
        <f t="shared" si="1"/>
        <v>11.928800000000001</v>
      </c>
      <c r="H112" s="12">
        <v>1.1214999999999999</v>
      </c>
      <c r="I112" s="12">
        <f t="shared" si="2"/>
        <v>13.378149199999999</v>
      </c>
      <c r="J112" s="12">
        <v>0.73999999999999899</v>
      </c>
      <c r="K112" s="12">
        <f t="shared" si="3"/>
        <v>14.118149199999998</v>
      </c>
      <c r="L112" s="12">
        <v>12</v>
      </c>
    </row>
    <row r="113" spans="3:11" x14ac:dyDescent="0.2">
      <c r="C113" s="12">
        <v>0</v>
      </c>
      <c r="D113" s="12">
        <v>0.9</v>
      </c>
      <c r="E113" s="12">
        <f t="shared" si="0"/>
        <v>0.9</v>
      </c>
      <c r="F113" s="12">
        <v>1.24</v>
      </c>
      <c r="G113" s="12">
        <f t="shared" si="1"/>
        <v>1.1160000000000001</v>
      </c>
      <c r="H113" s="12">
        <v>1.1214999999999999</v>
      </c>
      <c r="I113" s="12">
        <f t="shared" si="2"/>
        <v>1.2515940000000001</v>
      </c>
      <c r="J113" s="12">
        <v>0.73999999999999899</v>
      </c>
      <c r="K113" s="12">
        <f t="shared" si="3"/>
        <v>1.9915939999999992</v>
      </c>
    </row>
    <row r="114" spans="3:11" x14ac:dyDescent="0.2">
      <c r="C114" s="12">
        <v>0</v>
      </c>
      <c r="D114" s="12">
        <v>0.9</v>
      </c>
      <c r="E114" s="12">
        <f t="shared" si="0"/>
        <v>0.9</v>
      </c>
      <c r="F114" s="12">
        <v>1.24</v>
      </c>
      <c r="G114" s="12">
        <f t="shared" si="1"/>
        <v>1.1160000000000001</v>
      </c>
      <c r="H114" s="12">
        <v>1.1214999999999999</v>
      </c>
      <c r="I114" s="12">
        <f t="shared" si="2"/>
        <v>1.2515940000000001</v>
      </c>
      <c r="J114" s="12">
        <v>0.73999999999999899</v>
      </c>
      <c r="K114" s="12">
        <f t="shared" si="3"/>
        <v>1.9915939999999992</v>
      </c>
    </row>
    <row r="115" spans="3:11" x14ac:dyDescent="0.2">
      <c r="C115" s="12">
        <v>0</v>
      </c>
      <c r="D115" s="12">
        <v>0.9</v>
      </c>
      <c r="E115" s="12">
        <f t="shared" si="0"/>
        <v>0.9</v>
      </c>
      <c r="F115" s="12">
        <v>1.24</v>
      </c>
      <c r="G115" s="12">
        <f t="shared" si="1"/>
        <v>1.1160000000000001</v>
      </c>
      <c r="H115" s="12">
        <v>1.1214999999999999</v>
      </c>
      <c r="I115" s="12">
        <f t="shared" si="2"/>
        <v>1.2515940000000001</v>
      </c>
      <c r="J115" s="12">
        <v>0.73999999999999899</v>
      </c>
      <c r="K115" s="12">
        <f t="shared" si="3"/>
        <v>1.9915939999999992</v>
      </c>
    </row>
    <row r="116" spans="3:11" x14ac:dyDescent="0.2">
      <c r="C116" s="12">
        <v>0</v>
      </c>
      <c r="D116" s="12">
        <v>0.9</v>
      </c>
      <c r="E116" s="12">
        <f t="shared" si="0"/>
        <v>0.9</v>
      </c>
      <c r="F116" s="12">
        <v>1.24</v>
      </c>
      <c r="G116" s="12">
        <f t="shared" si="1"/>
        <v>1.1160000000000001</v>
      </c>
      <c r="H116" s="12">
        <v>1.1214999999999999</v>
      </c>
      <c r="I116" s="12">
        <f t="shared" si="2"/>
        <v>1.2515940000000001</v>
      </c>
      <c r="J116" s="12">
        <v>0.73999999999999899</v>
      </c>
      <c r="K116" s="12">
        <f t="shared" si="3"/>
        <v>1.9915939999999992</v>
      </c>
    </row>
    <row r="117" spans="3:11" x14ac:dyDescent="0.2">
      <c r="C117" s="12">
        <v>0</v>
      </c>
      <c r="D117" s="12">
        <v>0.9</v>
      </c>
      <c r="E117" s="12">
        <f t="shared" si="0"/>
        <v>0.9</v>
      </c>
      <c r="F117" s="12">
        <v>1.24</v>
      </c>
      <c r="G117" s="12">
        <f t="shared" si="1"/>
        <v>1.1160000000000001</v>
      </c>
      <c r="H117" s="12">
        <v>1.1214999999999999</v>
      </c>
      <c r="I117" s="12">
        <f t="shared" si="2"/>
        <v>1.2515940000000001</v>
      </c>
      <c r="J117" s="12">
        <v>0.73999999999999899</v>
      </c>
      <c r="K117" s="12">
        <f t="shared" si="3"/>
        <v>1.9915939999999992</v>
      </c>
    </row>
    <row r="118" spans="3:11" x14ac:dyDescent="0.2">
      <c r="C118" s="12">
        <v>0</v>
      </c>
      <c r="D118" s="12">
        <v>0.9</v>
      </c>
      <c r="E118" s="12">
        <f t="shared" si="0"/>
        <v>0.9</v>
      </c>
      <c r="F118" s="12">
        <v>1.24</v>
      </c>
      <c r="G118" s="12">
        <f t="shared" si="1"/>
        <v>1.1160000000000001</v>
      </c>
      <c r="H118" s="12">
        <v>1.1214999999999999</v>
      </c>
      <c r="I118" s="12">
        <f t="shared" si="2"/>
        <v>1.2515940000000001</v>
      </c>
      <c r="J118" s="12">
        <v>0.73999999999999899</v>
      </c>
      <c r="K118" s="12">
        <f t="shared" si="3"/>
        <v>1.9915939999999992</v>
      </c>
    </row>
    <row r="119" spans="3:11" x14ac:dyDescent="0.2">
      <c r="C119" s="12">
        <v>12.9</v>
      </c>
      <c r="D119" s="12">
        <v>0.9</v>
      </c>
      <c r="E119" s="12">
        <f t="shared" si="0"/>
        <v>13.8</v>
      </c>
      <c r="F119" s="12">
        <v>1.24</v>
      </c>
      <c r="G119" s="12">
        <f t="shared" si="1"/>
        <v>17.112000000000002</v>
      </c>
      <c r="H119" s="12">
        <v>1.1214999999999999</v>
      </c>
      <c r="I119" s="12">
        <f t="shared" si="2"/>
        <v>19.191108</v>
      </c>
      <c r="J119" s="12">
        <v>0.73999999999999899</v>
      </c>
      <c r="K119" s="12">
        <f t="shared" si="3"/>
        <v>19.931107999999998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D45C1-D606-4193-AA83-1267BFC8C4A0}">
  <sheetPr>
    <tabColor rgb="FF92D050"/>
  </sheetPr>
  <dimension ref="A1:O403"/>
  <sheetViews>
    <sheetView tabSelected="1" workbookViewId="0">
      <selection activeCell="E2" sqref="E2"/>
    </sheetView>
  </sheetViews>
  <sheetFormatPr defaultRowHeight="12.75" x14ac:dyDescent="0.2"/>
  <cols>
    <col min="1" max="1" width="47.5703125" bestFit="1" customWidth="1"/>
    <col min="2" max="2" width="16" bestFit="1" customWidth="1"/>
    <col min="9" max="9" width="16.5703125" customWidth="1"/>
    <col min="15" max="15" width="15.7109375" customWidth="1"/>
  </cols>
  <sheetData>
    <row r="1" spans="1:15" ht="21" x14ac:dyDescent="0.35">
      <c r="A1" s="55"/>
      <c r="B1" s="56"/>
      <c r="C1" s="55" t="s">
        <v>314</v>
      </c>
      <c r="D1" s="55" t="s">
        <v>315</v>
      </c>
      <c r="E1" s="77" t="s">
        <v>316</v>
      </c>
      <c r="F1" s="55" t="s">
        <v>317</v>
      </c>
      <c r="G1" s="55" t="s">
        <v>2086</v>
      </c>
      <c r="H1" s="55" t="s">
        <v>318</v>
      </c>
      <c r="I1" s="55" t="s">
        <v>319</v>
      </c>
      <c r="J1" s="58" t="s">
        <v>320</v>
      </c>
      <c r="K1" s="58" t="s">
        <v>2087</v>
      </c>
      <c r="L1" s="55" t="s">
        <v>321</v>
      </c>
      <c r="M1" s="55" t="s">
        <v>322</v>
      </c>
      <c r="N1" s="55" t="s">
        <v>323</v>
      </c>
      <c r="O1" s="55"/>
    </row>
    <row r="2" spans="1:15" ht="15" x14ac:dyDescent="0.25">
      <c r="A2" s="6" t="s">
        <v>1596</v>
      </c>
      <c r="B2" s="71" t="s">
        <v>1597</v>
      </c>
      <c r="C2" s="12">
        <v>18.399999999999999</v>
      </c>
      <c r="D2" s="88">
        <v>0.9</v>
      </c>
      <c r="E2" s="89" t="e">
        <f>IFERROR(
_xlfn.XLOOKUP(
B2,#REF!,#REF!
),
_xlfn.XLOOKUP(
A2,#REF!,#REF!
)
)</f>
        <v>#REF!</v>
      </c>
      <c r="F2" s="88" t="str">
        <f>IFERROR(
VLOOKUP(
B2,#REF!,
6,
FALSE
),
""
)</f>
        <v/>
      </c>
      <c r="G2" s="88">
        <v>0</v>
      </c>
      <c r="H2" s="88">
        <v>24</v>
      </c>
      <c r="I2" s="90" t="e">
        <f>C2 + D2 + E2 + G2</f>
        <v>#REF!</v>
      </c>
      <c r="J2" s="91" t="e">
        <f>I2 / (1 - F2/100 - (1 - 1/(1 + H2/100)))</f>
        <v>#REF!</v>
      </c>
      <c r="K2" s="91"/>
      <c r="L2" s="88" t="e">
        <f>J2 * F2 / 100</f>
        <v>#REF!</v>
      </c>
      <c r="M2" s="88" t="e">
        <f>J2 - (J2 / (1 + H2/100))</f>
        <v>#REF!</v>
      </c>
      <c r="N2" s="88" t="e">
        <f>J2 - L2 - M2</f>
        <v>#REF!</v>
      </c>
      <c r="O2" s="88"/>
    </row>
    <row r="3" spans="1:15" ht="15" x14ac:dyDescent="0.25">
      <c r="A3" s="6" t="s">
        <v>1598</v>
      </c>
      <c r="B3" s="71" t="s">
        <v>1599</v>
      </c>
      <c r="C3" s="12">
        <v>18.399999999999999</v>
      </c>
      <c r="D3" s="88">
        <v>0.9</v>
      </c>
      <c r="E3" s="89" t="e">
        <f>IFERROR(
_xlfn.XLOOKUP(
B3,#REF!,#REF!
),
_xlfn.XLOOKUP(
A3,#REF!,#REF!
)
)</f>
        <v>#REF!</v>
      </c>
      <c r="F3" s="88" t="str">
        <f>IFERROR(
VLOOKUP(
B3,#REF!,
6,
FALSE
),
""
)</f>
        <v/>
      </c>
      <c r="G3" s="88">
        <v>0</v>
      </c>
      <c r="H3" s="88">
        <v>24</v>
      </c>
      <c r="I3" s="90" t="e">
        <f t="shared" ref="I3:I10" si="0">C3 + D3 + E3 + G3</f>
        <v>#REF!</v>
      </c>
      <c r="J3" s="91" t="e">
        <f t="shared" ref="J3:J10" si="1">I3 / (1 - F3/100 - (1 - 1/(1 + H3/100)))</f>
        <v>#REF!</v>
      </c>
      <c r="K3" s="91"/>
      <c r="L3" s="88" t="e">
        <f t="shared" ref="L3:L10" si="2">J3 * F3 / 100</f>
        <v>#REF!</v>
      </c>
      <c r="M3" s="88" t="e">
        <f t="shared" ref="M3:M10" si="3">J3 - (J3 / (1 + H3/100))</f>
        <v>#REF!</v>
      </c>
      <c r="N3" s="88" t="e">
        <f t="shared" ref="N3:N10" si="4">J3 - L3 - M3</f>
        <v>#REF!</v>
      </c>
      <c r="O3" s="88"/>
    </row>
    <row r="4" spans="1:15" ht="15" x14ac:dyDescent="0.25">
      <c r="A4" s="6" t="s">
        <v>1600</v>
      </c>
      <c r="B4" s="71" t="s">
        <v>1601</v>
      </c>
      <c r="C4" s="12">
        <v>18.399999999999999</v>
      </c>
      <c r="D4" s="88">
        <v>0.9</v>
      </c>
      <c r="E4" s="89" t="e">
        <f>IFERROR(
_xlfn.XLOOKUP(
B4,#REF!,#REF!
),
_xlfn.XLOOKUP(
A4,#REF!,#REF!
)
)</f>
        <v>#REF!</v>
      </c>
      <c r="F4" s="88" t="str">
        <f>IFERROR(
VLOOKUP(
B4,#REF!,
6,
FALSE
),
""
)</f>
        <v/>
      </c>
      <c r="G4" s="88">
        <v>0</v>
      </c>
      <c r="H4" s="88">
        <v>24</v>
      </c>
      <c r="I4" s="90" t="e">
        <f t="shared" si="0"/>
        <v>#REF!</v>
      </c>
      <c r="J4" s="91" t="e">
        <f t="shared" si="1"/>
        <v>#REF!</v>
      </c>
      <c r="K4" s="91"/>
      <c r="L4" s="88" t="e">
        <f t="shared" si="2"/>
        <v>#REF!</v>
      </c>
      <c r="M4" s="88" t="e">
        <f t="shared" si="3"/>
        <v>#REF!</v>
      </c>
      <c r="N4" s="88" t="e">
        <f t="shared" si="4"/>
        <v>#REF!</v>
      </c>
      <c r="O4" s="88"/>
    </row>
    <row r="5" spans="1:15" ht="15" x14ac:dyDescent="0.25">
      <c r="A5" s="6" t="s">
        <v>1602</v>
      </c>
      <c r="B5" s="71" t="s">
        <v>1603</v>
      </c>
      <c r="C5" s="12">
        <v>18.399999999999999</v>
      </c>
      <c r="D5" s="88">
        <v>0.9</v>
      </c>
      <c r="E5" s="89" t="e">
        <f>IFERROR(
_xlfn.XLOOKUP(
B5,#REF!,#REF!
),
_xlfn.XLOOKUP(
A5,#REF!,#REF!
)
)</f>
        <v>#REF!</v>
      </c>
      <c r="F5" s="88" t="str">
        <f>IFERROR(
VLOOKUP(
B5,#REF!,
6,
FALSE
),
""
)</f>
        <v/>
      </c>
      <c r="G5" s="88">
        <v>0</v>
      </c>
      <c r="H5" s="88">
        <v>24</v>
      </c>
      <c r="I5" s="90" t="e">
        <f t="shared" si="0"/>
        <v>#REF!</v>
      </c>
      <c r="J5" s="91" t="e">
        <f t="shared" si="1"/>
        <v>#REF!</v>
      </c>
      <c r="K5" s="91"/>
      <c r="L5" s="88" t="e">
        <f t="shared" si="2"/>
        <v>#REF!</v>
      </c>
      <c r="M5" s="88" t="e">
        <f t="shared" si="3"/>
        <v>#REF!</v>
      </c>
      <c r="N5" s="88" t="e">
        <f t="shared" si="4"/>
        <v>#REF!</v>
      </c>
      <c r="O5" s="88"/>
    </row>
    <row r="6" spans="1:15" ht="15" x14ac:dyDescent="0.25">
      <c r="A6" s="12" t="s">
        <v>1604</v>
      </c>
      <c r="B6" s="75" t="s">
        <v>2134</v>
      </c>
      <c r="C6" s="12">
        <v>18.399999999999999</v>
      </c>
      <c r="D6" s="88">
        <v>0.9</v>
      </c>
      <c r="E6" s="89" t="e">
        <f>IFERROR(
_xlfn.XLOOKUP(
B6,#REF!,#REF!
),
_xlfn.XLOOKUP(
A6,#REF!,#REF!
)
)</f>
        <v>#REF!</v>
      </c>
      <c r="F6" s="88" t="str">
        <f>IFERROR(
VLOOKUP(
B6,#REF!,
6,
FALSE
),
""
)</f>
        <v/>
      </c>
      <c r="G6" s="88">
        <v>0</v>
      </c>
      <c r="H6" s="88">
        <v>24</v>
      </c>
      <c r="I6" s="90" t="e">
        <f t="shared" si="0"/>
        <v>#REF!</v>
      </c>
      <c r="J6" s="91" t="e">
        <f t="shared" si="1"/>
        <v>#REF!</v>
      </c>
      <c r="K6" s="91"/>
      <c r="L6" s="88" t="e">
        <f t="shared" si="2"/>
        <v>#REF!</v>
      </c>
      <c r="M6" s="88" t="e">
        <f t="shared" si="3"/>
        <v>#REF!</v>
      </c>
      <c r="N6" s="88" t="e">
        <f t="shared" si="4"/>
        <v>#REF!</v>
      </c>
      <c r="O6" s="88"/>
    </row>
    <row r="7" spans="1:15" ht="15" x14ac:dyDescent="0.25">
      <c r="A7" s="6" t="s">
        <v>1605</v>
      </c>
      <c r="B7" s="71" t="s">
        <v>1606</v>
      </c>
      <c r="C7" s="12">
        <v>18.399999999999999</v>
      </c>
      <c r="D7" s="88">
        <v>0.9</v>
      </c>
      <c r="E7" s="89" t="e">
        <f>IFERROR(
_xlfn.XLOOKUP(
B7,#REF!,#REF!
),
_xlfn.XLOOKUP(
A7,#REF!,#REF!
)
)</f>
        <v>#REF!</v>
      </c>
      <c r="F7" s="88" t="str">
        <f>IFERROR(
VLOOKUP(
B7,#REF!,
6,
FALSE
),
""
)</f>
        <v/>
      </c>
      <c r="G7" s="88">
        <v>0</v>
      </c>
      <c r="H7" s="88">
        <v>24</v>
      </c>
      <c r="I7" s="90" t="e">
        <f t="shared" si="0"/>
        <v>#REF!</v>
      </c>
      <c r="J7" s="91" t="e">
        <f t="shared" si="1"/>
        <v>#REF!</v>
      </c>
      <c r="K7" s="91"/>
      <c r="L7" s="88" t="e">
        <f t="shared" si="2"/>
        <v>#REF!</v>
      </c>
      <c r="M7" s="88" t="e">
        <f t="shared" si="3"/>
        <v>#REF!</v>
      </c>
      <c r="N7" s="88" t="e">
        <f t="shared" si="4"/>
        <v>#REF!</v>
      </c>
      <c r="O7" s="88"/>
    </row>
    <row r="8" spans="1:15" ht="15" x14ac:dyDescent="0.25">
      <c r="A8" s="6" t="s">
        <v>1607</v>
      </c>
      <c r="B8" s="71" t="s">
        <v>1608</v>
      </c>
      <c r="C8" s="12">
        <v>18.399999999999999</v>
      </c>
      <c r="D8" s="88">
        <v>0.9</v>
      </c>
      <c r="E8" s="89" t="e">
        <f>IFERROR(
_xlfn.XLOOKUP(
B8,#REF!,#REF!
),
_xlfn.XLOOKUP(
A8,#REF!,#REF!
)
)</f>
        <v>#REF!</v>
      </c>
      <c r="F8" s="88" t="str">
        <f>IFERROR(
VLOOKUP(
B8,#REF!,
6,
FALSE
),
""
)</f>
        <v/>
      </c>
      <c r="G8" s="88">
        <v>0</v>
      </c>
      <c r="H8" s="88">
        <v>24</v>
      </c>
      <c r="I8" s="90" t="e">
        <f t="shared" si="0"/>
        <v>#REF!</v>
      </c>
      <c r="J8" s="91" t="e">
        <f t="shared" si="1"/>
        <v>#REF!</v>
      </c>
      <c r="K8" s="91"/>
      <c r="L8" s="88" t="e">
        <f t="shared" si="2"/>
        <v>#REF!</v>
      </c>
      <c r="M8" s="88" t="e">
        <f t="shared" si="3"/>
        <v>#REF!</v>
      </c>
      <c r="N8" s="88" t="e">
        <f t="shared" si="4"/>
        <v>#REF!</v>
      </c>
      <c r="O8" s="88"/>
    </row>
    <row r="9" spans="1:15" ht="15" x14ac:dyDescent="0.25">
      <c r="A9" s="6" t="s">
        <v>1609</v>
      </c>
      <c r="B9" s="71" t="s">
        <v>1610</v>
      </c>
      <c r="C9" s="12">
        <v>18.399999999999999</v>
      </c>
      <c r="D9" s="88">
        <v>0.9</v>
      </c>
      <c r="E9" s="89" t="e">
        <f>IFERROR(
_xlfn.XLOOKUP(
B9,#REF!,#REF!
),
_xlfn.XLOOKUP(
A9,#REF!,#REF!
)
)</f>
        <v>#REF!</v>
      </c>
      <c r="F9" s="88" t="str">
        <f>IFERROR(
VLOOKUP(
B9,#REF!,
6,
FALSE
),
""
)</f>
        <v/>
      </c>
      <c r="G9" s="88">
        <v>0</v>
      </c>
      <c r="H9" s="88">
        <v>24</v>
      </c>
      <c r="I9" s="90" t="e">
        <f t="shared" si="0"/>
        <v>#REF!</v>
      </c>
      <c r="J9" s="91" t="e">
        <f t="shared" si="1"/>
        <v>#REF!</v>
      </c>
      <c r="K9" s="91"/>
      <c r="L9" s="88" t="e">
        <f t="shared" si="2"/>
        <v>#REF!</v>
      </c>
      <c r="M9" s="88" t="e">
        <f t="shared" si="3"/>
        <v>#REF!</v>
      </c>
      <c r="N9" s="88" t="e">
        <f t="shared" si="4"/>
        <v>#REF!</v>
      </c>
      <c r="O9" s="88"/>
    </row>
    <row r="10" spans="1:15" ht="15" x14ac:dyDescent="0.25">
      <c r="A10" s="6" t="s">
        <v>1611</v>
      </c>
      <c r="B10" s="74" t="s">
        <v>2135</v>
      </c>
      <c r="C10" s="12">
        <v>18.399999999999999</v>
      </c>
      <c r="D10" s="88">
        <v>0.9</v>
      </c>
      <c r="E10" s="89" t="e">
        <f>IFERROR(
_xlfn.XLOOKUP(
B10,#REF!,#REF!
),
_xlfn.XLOOKUP(
A10,#REF!,#REF!
)
)</f>
        <v>#REF!</v>
      </c>
      <c r="F10" s="88" t="str">
        <f>IFERROR(
VLOOKUP(
B10,#REF!,
6,
FALSE
),
""
)</f>
        <v/>
      </c>
      <c r="G10" s="88">
        <v>0</v>
      </c>
      <c r="H10" s="88">
        <v>24</v>
      </c>
      <c r="I10" s="90" t="e">
        <f t="shared" si="0"/>
        <v>#REF!</v>
      </c>
      <c r="J10" s="91" t="e">
        <f t="shared" si="1"/>
        <v>#REF!</v>
      </c>
      <c r="K10" s="91"/>
      <c r="L10" s="88" t="e">
        <f t="shared" si="2"/>
        <v>#REF!</v>
      </c>
      <c r="M10" s="88" t="e">
        <f t="shared" si="3"/>
        <v>#REF!</v>
      </c>
      <c r="N10" s="88" t="e">
        <f t="shared" si="4"/>
        <v>#REF!</v>
      </c>
      <c r="O10" s="88"/>
    </row>
    <row r="11" spans="1:15" ht="15" x14ac:dyDescent="0.25">
      <c r="A11" s="6" t="s">
        <v>1612</v>
      </c>
      <c r="B11" s="74" t="s">
        <v>2136</v>
      </c>
      <c r="C11" s="12">
        <v>18.71</v>
      </c>
      <c r="D11" s="88">
        <v>0.9</v>
      </c>
      <c r="E11" s="89" t="e">
        <f>IFERROR(
_xlfn.XLOOKUP(
B11,#REF!,#REF!
),
_xlfn.XLOOKUP(
A11,#REF!,#REF!
)
)</f>
        <v>#REF!</v>
      </c>
      <c r="F11" s="88" t="str">
        <f>IFERROR(
VLOOKUP(
B11,#REF!,
6,
FALSE
),
""
)</f>
        <v/>
      </c>
      <c r="G11" s="88">
        <v>0</v>
      </c>
      <c r="H11" s="88">
        <v>24</v>
      </c>
      <c r="I11" s="90" t="e">
        <f t="shared" ref="I3:I66" si="5">C11+D11+E11</f>
        <v>#REF!</v>
      </c>
      <c r="J11" s="91" t="e">
        <f t="shared" ref="J3:J66" si="6">(I11+G11) / (1 - F11/100 - (1 - 1/(1 + H11/100)))</f>
        <v>#REF!</v>
      </c>
      <c r="K11" s="91"/>
      <c r="L11" s="88" t="e">
        <f t="shared" ref="L3:L66" si="7">J11 * F11 / 100</f>
        <v>#REF!</v>
      </c>
      <c r="M11" s="88" t="e">
        <f t="shared" ref="M3:M66" si="8">J11 - (J11 / (1 + H11/100))</f>
        <v>#REF!</v>
      </c>
      <c r="N11" s="88" t="e">
        <f t="shared" ref="N3:N66" si="9">J11 - L11 - M11</f>
        <v>#REF!</v>
      </c>
      <c r="O11" s="88"/>
    </row>
    <row r="12" spans="1:15" ht="15" x14ac:dyDescent="0.25">
      <c r="A12" s="6" t="s">
        <v>1613</v>
      </c>
      <c r="B12" s="74" t="s">
        <v>2137</v>
      </c>
      <c r="C12" s="12">
        <v>16.72</v>
      </c>
      <c r="D12" s="88">
        <v>0.9</v>
      </c>
      <c r="E12" s="89" t="e">
        <f>IFERROR(
_xlfn.XLOOKUP(
B12,#REF!,#REF!
),
_xlfn.XLOOKUP(
A12,#REF!,#REF!
)
)</f>
        <v>#REF!</v>
      </c>
      <c r="F12" s="88" t="str">
        <f>IFERROR(
VLOOKUP(
B12,#REF!,
6,
FALSE
),
""
)</f>
        <v/>
      </c>
      <c r="G12" s="88">
        <v>0</v>
      </c>
      <c r="H12" s="88">
        <v>24</v>
      </c>
      <c r="I12" s="90" t="e">
        <f t="shared" si="5"/>
        <v>#REF!</v>
      </c>
      <c r="J12" s="91" t="e">
        <f t="shared" si="6"/>
        <v>#REF!</v>
      </c>
      <c r="K12" s="91"/>
      <c r="L12" s="88" t="e">
        <f t="shared" si="7"/>
        <v>#REF!</v>
      </c>
      <c r="M12" s="88" t="e">
        <f t="shared" si="8"/>
        <v>#REF!</v>
      </c>
      <c r="N12" s="88" t="e">
        <f t="shared" si="9"/>
        <v>#REF!</v>
      </c>
      <c r="O12" s="88"/>
    </row>
    <row r="13" spans="1:15" ht="15" x14ac:dyDescent="0.25">
      <c r="A13" s="6" t="s">
        <v>1614</v>
      </c>
      <c r="B13" s="74" t="s">
        <v>2138</v>
      </c>
      <c r="C13" s="12">
        <v>13.8</v>
      </c>
      <c r="D13" s="88">
        <v>0.9</v>
      </c>
      <c r="E13" s="89" t="e">
        <f>IFERROR(
_xlfn.XLOOKUP(
B13,#REF!,#REF!
),
_xlfn.XLOOKUP(
A13,#REF!,#REF!
)
)</f>
        <v>#REF!</v>
      </c>
      <c r="F13" s="88" t="str">
        <f>IFERROR(
VLOOKUP(
B13,#REF!,
6,
FALSE
),
""
)</f>
        <v/>
      </c>
      <c r="G13" s="88">
        <v>0</v>
      </c>
      <c r="H13" s="88">
        <v>24</v>
      </c>
      <c r="I13" s="90" t="e">
        <f t="shared" si="5"/>
        <v>#REF!</v>
      </c>
      <c r="J13" s="91" t="e">
        <f t="shared" si="6"/>
        <v>#REF!</v>
      </c>
      <c r="K13" s="91"/>
      <c r="L13" s="88" t="e">
        <f t="shared" si="7"/>
        <v>#REF!</v>
      </c>
      <c r="M13" s="88" t="e">
        <f t="shared" si="8"/>
        <v>#REF!</v>
      </c>
      <c r="N13" s="88" t="e">
        <f t="shared" si="9"/>
        <v>#REF!</v>
      </c>
      <c r="O13" s="88"/>
    </row>
    <row r="14" spans="1:15" ht="15" x14ac:dyDescent="0.25">
      <c r="A14" s="6" t="s">
        <v>1615</v>
      </c>
      <c r="B14" s="74" t="s">
        <v>2139</v>
      </c>
      <c r="C14" s="12">
        <v>18.79</v>
      </c>
      <c r="D14" s="88">
        <v>0.9</v>
      </c>
      <c r="E14" s="89" t="e">
        <f>IFERROR(
_xlfn.XLOOKUP(
B14,#REF!,#REF!
),
_xlfn.XLOOKUP(
A14,#REF!,#REF!
)
)</f>
        <v>#REF!</v>
      </c>
      <c r="F14" s="88" t="str">
        <f>IFERROR(
VLOOKUP(
B14,#REF!,
6,
FALSE
),
""
)</f>
        <v/>
      </c>
      <c r="G14" s="88">
        <v>0</v>
      </c>
      <c r="H14" s="88">
        <v>24</v>
      </c>
      <c r="I14" s="90" t="e">
        <f t="shared" si="5"/>
        <v>#REF!</v>
      </c>
      <c r="J14" s="91" t="e">
        <f t="shared" si="6"/>
        <v>#REF!</v>
      </c>
      <c r="K14" s="91"/>
      <c r="L14" s="88" t="e">
        <f t="shared" si="7"/>
        <v>#REF!</v>
      </c>
      <c r="M14" s="88" t="e">
        <f t="shared" si="8"/>
        <v>#REF!</v>
      </c>
      <c r="N14" s="88" t="e">
        <f t="shared" si="9"/>
        <v>#REF!</v>
      </c>
      <c r="O14" s="88"/>
    </row>
    <row r="15" spans="1:15" ht="15" x14ac:dyDescent="0.25">
      <c r="A15" s="6" t="s">
        <v>1616</v>
      </c>
      <c r="B15" s="74" t="s">
        <v>2140</v>
      </c>
      <c r="C15" s="12">
        <v>8.7799999999999994</v>
      </c>
      <c r="D15" s="88">
        <v>0.9</v>
      </c>
      <c r="E15" s="89" t="e">
        <f>IFERROR(
_xlfn.XLOOKUP(
B15,#REF!,#REF!
),
_xlfn.XLOOKUP(
A15,#REF!,#REF!
)
)</f>
        <v>#REF!</v>
      </c>
      <c r="F15" s="88" t="str">
        <f>IFERROR(
VLOOKUP(
B15,#REF!,
6,
FALSE
),
""
)</f>
        <v/>
      </c>
      <c r="G15" s="88">
        <v>0</v>
      </c>
      <c r="H15" s="88">
        <v>24</v>
      </c>
      <c r="I15" s="90" t="e">
        <f t="shared" si="5"/>
        <v>#REF!</v>
      </c>
      <c r="J15" s="91" t="e">
        <f t="shared" si="6"/>
        <v>#REF!</v>
      </c>
      <c r="K15" s="91"/>
      <c r="L15" s="88" t="e">
        <f t="shared" si="7"/>
        <v>#REF!</v>
      </c>
      <c r="M15" s="88" t="e">
        <f t="shared" si="8"/>
        <v>#REF!</v>
      </c>
      <c r="N15" s="88" t="e">
        <f t="shared" si="9"/>
        <v>#REF!</v>
      </c>
      <c r="O15" s="88"/>
    </row>
    <row r="16" spans="1:15" ht="15" x14ac:dyDescent="0.25">
      <c r="A16" s="6" t="s">
        <v>1617</v>
      </c>
      <c r="B16" s="74" t="s">
        <v>2141</v>
      </c>
      <c r="C16" s="12">
        <v>10.87</v>
      </c>
      <c r="D16" s="88">
        <v>0.9</v>
      </c>
      <c r="E16" s="89" t="e">
        <f>IFERROR(
_xlfn.XLOOKUP(
B16,#REF!,#REF!
),
_xlfn.XLOOKUP(
A16,#REF!,#REF!
)
)</f>
        <v>#REF!</v>
      </c>
      <c r="F16" s="88" t="str">
        <f>IFERROR(
VLOOKUP(
B16,#REF!,
6,
FALSE
),
""
)</f>
        <v/>
      </c>
      <c r="G16" s="88">
        <v>0</v>
      </c>
      <c r="H16" s="88">
        <v>24</v>
      </c>
      <c r="I16" s="90" t="e">
        <f t="shared" si="5"/>
        <v>#REF!</v>
      </c>
      <c r="J16" s="91" t="e">
        <f t="shared" si="6"/>
        <v>#REF!</v>
      </c>
      <c r="K16" s="91"/>
      <c r="L16" s="88" t="e">
        <f t="shared" si="7"/>
        <v>#REF!</v>
      </c>
      <c r="M16" s="88" t="e">
        <f t="shared" si="8"/>
        <v>#REF!</v>
      </c>
      <c r="N16" s="88" t="e">
        <f t="shared" si="9"/>
        <v>#REF!</v>
      </c>
      <c r="O16" s="88"/>
    </row>
    <row r="17" spans="1:15" ht="15" x14ac:dyDescent="0.25">
      <c r="A17" s="6" t="s">
        <v>1618</v>
      </c>
      <c r="B17" s="74" t="s">
        <v>2142</v>
      </c>
      <c r="C17" s="12">
        <v>18.75</v>
      </c>
      <c r="D17" s="88">
        <v>0.9</v>
      </c>
      <c r="E17" s="89" t="e">
        <f>IFERROR(
_xlfn.XLOOKUP(
B17,#REF!,#REF!
),
_xlfn.XLOOKUP(
A17,#REF!,#REF!
)
)</f>
        <v>#REF!</v>
      </c>
      <c r="F17" s="88" t="str">
        <f>IFERROR(
VLOOKUP(
B17,#REF!,
6,
FALSE
),
""
)</f>
        <v/>
      </c>
      <c r="G17" s="88">
        <v>0</v>
      </c>
      <c r="H17" s="88">
        <v>24</v>
      </c>
      <c r="I17" s="90" t="e">
        <f t="shared" si="5"/>
        <v>#REF!</v>
      </c>
      <c r="J17" s="91" t="e">
        <f t="shared" si="6"/>
        <v>#REF!</v>
      </c>
      <c r="K17" s="91"/>
      <c r="L17" s="88" t="e">
        <f t="shared" si="7"/>
        <v>#REF!</v>
      </c>
      <c r="M17" s="88" t="e">
        <f t="shared" si="8"/>
        <v>#REF!</v>
      </c>
      <c r="N17" s="88" t="e">
        <f t="shared" si="9"/>
        <v>#REF!</v>
      </c>
      <c r="O17" s="88"/>
    </row>
    <row r="18" spans="1:15" ht="15" x14ac:dyDescent="0.25">
      <c r="A18" s="6" t="s">
        <v>1619</v>
      </c>
      <c r="B18" s="74" t="s">
        <v>2143</v>
      </c>
      <c r="C18" s="12">
        <v>12.96</v>
      </c>
      <c r="D18" s="88">
        <v>0.9</v>
      </c>
      <c r="E18" s="89" t="e">
        <f>IFERROR(
_xlfn.XLOOKUP(
B18,#REF!,#REF!
),
_xlfn.XLOOKUP(
A18,#REF!,#REF!
)
)</f>
        <v>#REF!</v>
      </c>
      <c r="F18" s="88" t="str">
        <f>IFERROR(
VLOOKUP(
B18,#REF!,
6,
FALSE
),
""
)</f>
        <v/>
      </c>
      <c r="G18" s="88">
        <v>0</v>
      </c>
      <c r="H18" s="88">
        <v>24</v>
      </c>
      <c r="I18" s="90" t="e">
        <f t="shared" si="5"/>
        <v>#REF!</v>
      </c>
      <c r="J18" s="91" t="e">
        <f t="shared" si="6"/>
        <v>#REF!</v>
      </c>
      <c r="K18" s="91">
        <v>19.489999999999998</v>
      </c>
      <c r="L18" s="88" t="e">
        <f t="shared" si="7"/>
        <v>#REF!</v>
      </c>
      <c r="M18" s="88" t="e">
        <f t="shared" si="8"/>
        <v>#REF!</v>
      </c>
      <c r="N18" s="88" t="e">
        <f t="shared" si="9"/>
        <v>#REF!</v>
      </c>
      <c r="O18" s="88"/>
    </row>
    <row r="19" spans="1:15" ht="15" x14ac:dyDescent="0.25">
      <c r="A19" s="6" t="s">
        <v>1620</v>
      </c>
      <c r="B19" s="74" t="s">
        <v>2144</v>
      </c>
      <c r="C19" s="12">
        <v>8.7799999999999994</v>
      </c>
      <c r="D19" s="88">
        <v>0.9</v>
      </c>
      <c r="E19" s="89" t="e">
        <f>IFERROR(
_xlfn.XLOOKUP(
B19,#REF!,#REF!
),
_xlfn.XLOOKUP(
A19,#REF!,#REF!
)
)</f>
        <v>#REF!</v>
      </c>
      <c r="F19" s="88" t="str">
        <f>IFERROR(
VLOOKUP(
B19,#REF!,
6,
FALSE
),
""
)</f>
        <v/>
      </c>
      <c r="G19" s="88">
        <v>0</v>
      </c>
      <c r="H19" s="88">
        <v>24</v>
      </c>
      <c r="I19" s="90" t="e">
        <f t="shared" si="5"/>
        <v>#REF!</v>
      </c>
      <c r="J19" s="91" t="e">
        <f t="shared" si="6"/>
        <v>#REF!</v>
      </c>
      <c r="K19" s="91">
        <v>12.99</v>
      </c>
      <c r="L19" s="88" t="e">
        <f t="shared" si="7"/>
        <v>#REF!</v>
      </c>
      <c r="M19" s="88" t="e">
        <f t="shared" si="8"/>
        <v>#REF!</v>
      </c>
      <c r="N19" s="88" t="e">
        <f t="shared" si="9"/>
        <v>#REF!</v>
      </c>
      <c r="O19" s="88"/>
    </row>
    <row r="20" spans="1:15" ht="15" x14ac:dyDescent="0.25">
      <c r="A20" s="6" t="s">
        <v>1621</v>
      </c>
      <c r="B20" s="74" t="s">
        <v>2145</v>
      </c>
      <c r="C20" s="12">
        <v>17.98</v>
      </c>
      <c r="D20" s="88">
        <v>0.9</v>
      </c>
      <c r="E20" s="89" t="e">
        <f>IFERROR(
_xlfn.XLOOKUP(
B20,#REF!,#REF!
),
_xlfn.XLOOKUP(
A20,#REF!,#REF!
)
)</f>
        <v>#REF!</v>
      </c>
      <c r="F20" s="88" t="str">
        <f>IFERROR(
VLOOKUP(
B20,#REF!,
6,
FALSE
),
""
)</f>
        <v/>
      </c>
      <c r="G20" s="88">
        <v>0</v>
      </c>
      <c r="H20" s="88">
        <v>24</v>
      </c>
      <c r="I20" s="90" t="e">
        <f t="shared" si="5"/>
        <v>#REF!</v>
      </c>
      <c r="J20" s="91" t="e">
        <f t="shared" si="6"/>
        <v>#REF!</v>
      </c>
      <c r="K20" s="91"/>
      <c r="L20" s="88" t="e">
        <f t="shared" si="7"/>
        <v>#REF!</v>
      </c>
      <c r="M20" s="88" t="e">
        <f t="shared" si="8"/>
        <v>#REF!</v>
      </c>
      <c r="N20" s="88" t="e">
        <f t="shared" si="9"/>
        <v>#REF!</v>
      </c>
      <c r="O20" s="88"/>
    </row>
    <row r="21" spans="1:15" ht="15" x14ac:dyDescent="0.25">
      <c r="A21" s="6" t="s">
        <v>1622</v>
      </c>
      <c r="B21" s="74" t="s">
        <v>2146</v>
      </c>
      <c r="C21" s="12">
        <v>18.71</v>
      </c>
      <c r="D21" s="88">
        <v>0.9</v>
      </c>
      <c r="E21" s="89" t="e">
        <f>IFERROR(
_xlfn.XLOOKUP(
B21,#REF!,#REF!
),
_xlfn.XLOOKUP(
A21,#REF!,#REF!
)
)</f>
        <v>#REF!</v>
      </c>
      <c r="F21" s="88" t="str">
        <f>IFERROR(
VLOOKUP(
B21,#REF!,
6,
FALSE
),
""
)</f>
        <v/>
      </c>
      <c r="G21" s="88">
        <v>0</v>
      </c>
      <c r="H21" s="88">
        <v>24</v>
      </c>
      <c r="I21" s="90" t="e">
        <f t="shared" si="5"/>
        <v>#REF!</v>
      </c>
      <c r="J21" s="91" t="e">
        <f t="shared" si="6"/>
        <v>#REF!</v>
      </c>
      <c r="K21" s="91"/>
      <c r="L21" s="88" t="e">
        <f t="shared" si="7"/>
        <v>#REF!</v>
      </c>
      <c r="M21" s="88" t="e">
        <f t="shared" si="8"/>
        <v>#REF!</v>
      </c>
      <c r="N21" s="88" t="e">
        <f t="shared" si="9"/>
        <v>#REF!</v>
      </c>
      <c r="O21" s="88"/>
    </row>
    <row r="22" spans="1:15" ht="15" x14ac:dyDescent="0.25">
      <c r="A22" s="12" t="s">
        <v>1623</v>
      </c>
      <c r="B22" s="75" t="s">
        <v>2147</v>
      </c>
      <c r="C22" s="12">
        <v>17.14</v>
      </c>
      <c r="D22" s="88">
        <v>0.9</v>
      </c>
      <c r="E22" s="89" t="e">
        <f>IFERROR(
_xlfn.XLOOKUP(
B22,#REF!,#REF!
),
_xlfn.XLOOKUP(
A22,#REF!,#REF!
)
)</f>
        <v>#REF!</v>
      </c>
      <c r="F22" s="88" t="str">
        <f>IFERROR(
VLOOKUP(
B22,#REF!,
6,
FALSE
),
""
)</f>
        <v/>
      </c>
      <c r="G22" s="88">
        <v>0</v>
      </c>
      <c r="H22" s="88">
        <v>24</v>
      </c>
      <c r="I22" s="90" t="e">
        <f t="shared" si="5"/>
        <v>#REF!</v>
      </c>
      <c r="J22" s="91" t="e">
        <f t="shared" si="6"/>
        <v>#REF!</v>
      </c>
      <c r="K22" s="91"/>
      <c r="L22" s="88" t="e">
        <f t="shared" si="7"/>
        <v>#REF!</v>
      </c>
      <c r="M22" s="88" t="e">
        <f t="shared" si="8"/>
        <v>#REF!</v>
      </c>
      <c r="N22" s="88" t="e">
        <f t="shared" si="9"/>
        <v>#REF!</v>
      </c>
      <c r="O22" s="88"/>
    </row>
    <row r="23" spans="1:15" ht="15" x14ac:dyDescent="0.25">
      <c r="A23" s="12" t="s">
        <v>1624</v>
      </c>
      <c r="B23" s="75" t="s">
        <v>2153</v>
      </c>
      <c r="C23" s="12">
        <v>16.72</v>
      </c>
      <c r="D23" s="88">
        <v>0.9</v>
      </c>
      <c r="E23" s="89" t="e">
        <f>IFERROR(
_xlfn.XLOOKUP(
B23,#REF!,#REF!
),
_xlfn.XLOOKUP(
A23,#REF!,#REF!
)
)</f>
        <v>#REF!</v>
      </c>
      <c r="F23" s="88" t="str">
        <f>IFERROR(
VLOOKUP(
B23,#REF!,
6,
FALSE
),
""
)</f>
        <v/>
      </c>
      <c r="G23" s="88">
        <v>0</v>
      </c>
      <c r="H23" s="88">
        <v>24</v>
      </c>
      <c r="I23" s="90" t="e">
        <f t="shared" si="5"/>
        <v>#REF!</v>
      </c>
      <c r="J23" s="91" t="e">
        <f t="shared" si="6"/>
        <v>#REF!</v>
      </c>
      <c r="K23" s="91"/>
      <c r="L23" s="88" t="e">
        <f t="shared" si="7"/>
        <v>#REF!</v>
      </c>
      <c r="M23" s="88" t="e">
        <f t="shared" si="8"/>
        <v>#REF!</v>
      </c>
      <c r="N23" s="88" t="e">
        <f t="shared" si="9"/>
        <v>#REF!</v>
      </c>
      <c r="O23" s="88"/>
    </row>
    <row r="24" spans="1:15" ht="15" x14ac:dyDescent="0.25">
      <c r="A24" s="6" t="s">
        <v>1625</v>
      </c>
      <c r="B24" s="71" t="s">
        <v>1626</v>
      </c>
      <c r="C24" s="12">
        <v>19.23</v>
      </c>
      <c r="D24" s="88">
        <v>0.9</v>
      </c>
      <c r="E24" s="89" t="e">
        <f>IFERROR(
_xlfn.XLOOKUP(
B24,#REF!,#REF!
),
_xlfn.XLOOKUP(
A24,#REF!,#REF!
)
)</f>
        <v>#REF!</v>
      </c>
      <c r="F24" s="88" t="str">
        <f>IFERROR(
VLOOKUP(
B24,#REF!,
6,
FALSE
),
""
)</f>
        <v/>
      </c>
      <c r="G24" s="88">
        <v>0</v>
      </c>
      <c r="H24" s="88">
        <v>24</v>
      </c>
      <c r="I24" s="90" t="e">
        <f t="shared" si="5"/>
        <v>#REF!</v>
      </c>
      <c r="J24" s="91" t="e">
        <f t="shared" si="6"/>
        <v>#REF!</v>
      </c>
      <c r="K24" s="91"/>
      <c r="L24" s="88" t="e">
        <f t="shared" si="7"/>
        <v>#REF!</v>
      </c>
      <c r="M24" s="88" t="e">
        <f t="shared" si="8"/>
        <v>#REF!</v>
      </c>
      <c r="N24" s="88" t="e">
        <f t="shared" si="9"/>
        <v>#REF!</v>
      </c>
      <c r="O24" s="88"/>
    </row>
    <row r="25" spans="1:15" ht="15" x14ac:dyDescent="0.25">
      <c r="A25" s="6" t="s">
        <v>1627</v>
      </c>
      <c r="B25" s="71" t="s">
        <v>1628</v>
      </c>
      <c r="C25" s="12">
        <v>18.77</v>
      </c>
      <c r="D25" s="88">
        <v>0.9</v>
      </c>
      <c r="E25" s="89" t="e">
        <f>IFERROR(
_xlfn.XLOOKUP(
B25,#REF!,#REF!
),
_xlfn.XLOOKUP(
A25,#REF!,#REF!
)
)</f>
        <v>#REF!</v>
      </c>
      <c r="F25" s="88" t="str">
        <f>IFERROR(
VLOOKUP(
B25,#REF!,
6,
FALSE
),
""
)</f>
        <v/>
      </c>
      <c r="G25" s="88">
        <v>0</v>
      </c>
      <c r="H25" s="88">
        <v>24</v>
      </c>
      <c r="I25" s="90" t="e">
        <f t="shared" si="5"/>
        <v>#REF!</v>
      </c>
      <c r="J25" s="91" t="e">
        <f t="shared" si="6"/>
        <v>#REF!</v>
      </c>
      <c r="K25" s="91"/>
      <c r="L25" s="88" t="e">
        <f t="shared" si="7"/>
        <v>#REF!</v>
      </c>
      <c r="M25" s="88" t="e">
        <f t="shared" si="8"/>
        <v>#REF!</v>
      </c>
      <c r="N25" s="88" t="e">
        <f t="shared" si="9"/>
        <v>#REF!</v>
      </c>
      <c r="O25" s="88"/>
    </row>
    <row r="26" spans="1:15" ht="15" x14ac:dyDescent="0.25">
      <c r="A26" s="12" t="s">
        <v>1629</v>
      </c>
      <c r="B26" s="75" t="s">
        <v>2154</v>
      </c>
      <c r="C26" s="12">
        <v>15.87</v>
      </c>
      <c r="D26" s="88">
        <v>0.9</v>
      </c>
      <c r="E26" s="89" t="e">
        <f>IFERROR(
_xlfn.XLOOKUP(
B26,#REF!,#REF!
),
_xlfn.XLOOKUP(
A26,#REF!,#REF!
)
)</f>
        <v>#REF!</v>
      </c>
      <c r="F26" s="88" t="str">
        <f>IFERROR(
VLOOKUP(
B26,#REF!,
6,
FALSE
),
""
)</f>
        <v/>
      </c>
      <c r="G26" s="88">
        <v>0</v>
      </c>
      <c r="H26" s="88">
        <v>24</v>
      </c>
      <c r="I26" s="90" t="e">
        <f t="shared" si="5"/>
        <v>#REF!</v>
      </c>
      <c r="J26" s="91" t="e">
        <f t="shared" si="6"/>
        <v>#REF!</v>
      </c>
      <c r="K26" s="91">
        <v>23.63</v>
      </c>
      <c r="L26" s="88" t="e">
        <f t="shared" si="7"/>
        <v>#REF!</v>
      </c>
      <c r="M26" s="88" t="e">
        <f t="shared" si="8"/>
        <v>#REF!</v>
      </c>
      <c r="N26" s="88" t="e">
        <f t="shared" si="9"/>
        <v>#REF!</v>
      </c>
      <c r="O26" s="88"/>
    </row>
    <row r="27" spans="1:15" ht="15" x14ac:dyDescent="0.25">
      <c r="A27" s="12" t="s">
        <v>1630</v>
      </c>
      <c r="B27" s="75" t="s">
        <v>2155</v>
      </c>
      <c r="C27" s="12">
        <v>22.58</v>
      </c>
      <c r="D27" s="88">
        <v>0.9</v>
      </c>
      <c r="E27" s="89" t="e">
        <f>IFERROR(
_xlfn.XLOOKUP(
B27,#REF!,#REF!
),
_xlfn.XLOOKUP(
A27,#REF!,#REF!
)
)</f>
        <v>#REF!</v>
      </c>
      <c r="F27" s="88" t="str">
        <f>IFERROR(
VLOOKUP(
B27,#REF!,
6,
FALSE
),
""
)</f>
        <v/>
      </c>
      <c r="G27" s="88">
        <v>0</v>
      </c>
      <c r="H27" s="88">
        <v>24</v>
      </c>
      <c r="I27" s="90" t="e">
        <f t="shared" si="5"/>
        <v>#REF!</v>
      </c>
      <c r="J27" s="91" t="e">
        <f t="shared" si="6"/>
        <v>#REF!</v>
      </c>
      <c r="K27" s="91"/>
      <c r="L27" s="88" t="e">
        <f t="shared" si="7"/>
        <v>#REF!</v>
      </c>
      <c r="M27" s="88" t="e">
        <f t="shared" si="8"/>
        <v>#REF!</v>
      </c>
      <c r="N27" s="88" t="e">
        <f t="shared" si="9"/>
        <v>#REF!</v>
      </c>
      <c r="O27" s="88"/>
    </row>
    <row r="28" spans="1:15" ht="15" x14ac:dyDescent="0.25">
      <c r="A28" s="12" t="s">
        <v>1631</v>
      </c>
      <c r="B28" s="75" t="s">
        <v>2156</v>
      </c>
      <c r="C28" s="12">
        <v>10.41</v>
      </c>
      <c r="D28" s="88">
        <v>0.9</v>
      </c>
      <c r="E28" s="89" t="e">
        <f>IFERROR(
_xlfn.XLOOKUP(
B28,#REF!,#REF!
),
_xlfn.XLOOKUP(
A28,#REF!,#REF!
)
)</f>
        <v>#REF!</v>
      </c>
      <c r="F28" s="88" t="str">
        <f>IFERROR(
VLOOKUP(
B28,#REF!,
6,
FALSE
),
""
)</f>
        <v/>
      </c>
      <c r="G28" s="88">
        <v>0</v>
      </c>
      <c r="H28" s="88">
        <v>24</v>
      </c>
      <c r="I28" s="90" t="e">
        <f t="shared" si="5"/>
        <v>#REF!</v>
      </c>
      <c r="J28" s="91" t="e">
        <f t="shared" si="6"/>
        <v>#REF!</v>
      </c>
      <c r="K28" s="91">
        <v>15.99</v>
      </c>
      <c r="L28" s="88" t="e">
        <f t="shared" si="7"/>
        <v>#REF!</v>
      </c>
      <c r="M28" s="88" t="e">
        <f t="shared" si="8"/>
        <v>#REF!</v>
      </c>
      <c r="N28" s="88" t="e">
        <f t="shared" si="9"/>
        <v>#REF!</v>
      </c>
      <c r="O28" s="88"/>
    </row>
    <row r="29" spans="1:15" ht="15" x14ac:dyDescent="0.25">
      <c r="A29" s="12" t="s">
        <v>1632</v>
      </c>
      <c r="B29" s="75" t="s">
        <v>2161</v>
      </c>
      <c r="C29" s="12">
        <v>15.04</v>
      </c>
      <c r="D29" s="88">
        <v>0.9</v>
      </c>
      <c r="E29" s="89" t="e">
        <f>IFERROR(
_xlfn.XLOOKUP(
B29,#REF!,#REF!
),
_xlfn.XLOOKUP(
A29,#REF!,#REF!
)
)</f>
        <v>#REF!</v>
      </c>
      <c r="F29" s="88" t="str">
        <f>IFERROR(
VLOOKUP(
B29,#REF!,
6,
FALSE
),
""
)</f>
        <v/>
      </c>
      <c r="G29" s="88">
        <v>0</v>
      </c>
      <c r="H29" s="88">
        <v>24</v>
      </c>
      <c r="I29" s="90" t="e">
        <f t="shared" si="5"/>
        <v>#REF!</v>
      </c>
      <c r="J29" s="91" t="e">
        <f t="shared" si="6"/>
        <v>#REF!</v>
      </c>
      <c r="K29" s="91">
        <v>21.92</v>
      </c>
      <c r="L29" s="88" t="e">
        <f t="shared" si="7"/>
        <v>#REF!</v>
      </c>
      <c r="M29" s="88" t="e">
        <f t="shared" si="8"/>
        <v>#REF!</v>
      </c>
      <c r="N29" s="88" t="e">
        <f t="shared" si="9"/>
        <v>#REF!</v>
      </c>
      <c r="O29" s="88"/>
    </row>
    <row r="30" spans="1:15" ht="15" x14ac:dyDescent="0.25">
      <c r="A30" s="94" t="s">
        <v>1633</v>
      </c>
      <c r="B30" s="95" t="s">
        <v>2160</v>
      </c>
      <c r="C30" s="94">
        <v>13.8</v>
      </c>
      <c r="D30" s="88">
        <v>0.9</v>
      </c>
      <c r="E30" s="89" t="e">
        <f>IFERROR(
_xlfn.XLOOKUP(
B30,#REF!,#REF!
),
_xlfn.XLOOKUP(
A30,#REF!,#REF!
)
)</f>
        <v>#REF!</v>
      </c>
      <c r="F30" s="88" t="str">
        <f>IFERROR(
VLOOKUP(
B30,#REF!,
6,
FALSE
),
""
)</f>
        <v/>
      </c>
      <c r="G30" s="88">
        <v>0</v>
      </c>
      <c r="H30" s="88">
        <v>24</v>
      </c>
      <c r="I30" s="90" t="e">
        <f t="shared" si="5"/>
        <v>#REF!</v>
      </c>
      <c r="J30" s="91" t="e">
        <f t="shared" si="6"/>
        <v>#REF!</v>
      </c>
      <c r="K30" s="91"/>
      <c r="L30" s="88" t="e">
        <f t="shared" si="7"/>
        <v>#REF!</v>
      </c>
      <c r="M30" s="88" t="e">
        <f t="shared" si="8"/>
        <v>#REF!</v>
      </c>
      <c r="N30" s="88" t="e">
        <f t="shared" si="9"/>
        <v>#REF!</v>
      </c>
      <c r="O30" s="88"/>
    </row>
    <row r="31" spans="1:15" ht="15" x14ac:dyDescent="0.25">
      <c r="A31" s="12" t="s">
        <v>1634</v>
      </c>
      <c r="B31" s="75" t="s">
        <v>2159</v>
      </c>
      <c r="C31" s="12">
        <v>10.87</v>
      </c>
      <c r="D31" s="88">
        <v>0.9</v>
      </c>
      <c r="E31" s="89" t="e">
        <f>IFERROR(
_xlfn.XLOOKUP(
B31,#REF!,#REF!
),
_xlfn.XLOOKUP(
A31,#REF!,#REF!
)
)</f>
        <v>#REF!</v>
      </c>
      <c r="F31" s="88" t="str">
        <f>IFERROR(
VLOOKUP(
B31,#REF!,
6,
FALSE
),
""
)</f>
        <v/>
      </c>
      <c r="G31" s="88">
        <v>0</v>
      </c>
      <c r="H31" s="88">
        <v>24</v>
      </c>
      <c r="I31" s="90" t="e">
        <f t="shared" si="5"/>
        <v>#REF!</v>
      </c>
      <c r="J31" s="91" t="e">
        <f t="shared" si="6"/>
        <v>#REF!</v>
      </c>
      <c r="K31" s="91">
        <v>15.85</v>
      </c>
      <c r="L31" s="88" t="e">
        <f t="shared" si="7"/>
        <v>#REF!</v>
      </c>
      <c r="M31" s="88" t="e">
        <f t="shared" si="8"/>
        <v>#REF!</v>
      </c>
      <c r="N31" s="88" t="e">
        <f t="shared" si="9"/>
        <v>#REF!</v>
      </c>
      <c r="O31" s="88"/>
    </row>
    <row r="32" spans="1:15" ht="15" x14ac:dyDescent="0.25">
      <c r="A32" s="12" t="s">
        <v>1635</v>
      </c>
      <c r="B32" s="75" t="s">
        <v>2158</v>
      </c>
      <c r="C32" s="12">
        <v>11.7</v>
      </c>
      <c r="D32" s="88">
        <v>0.9</v>
      </c>
      <c r="E32" s="89" t="e">
        <f>IFERROR(
_xlfn.XLOOKUP(
B32,#REF!,#REF!
),
_xlfn.XLOOKUP(
A32,#REF!,#REF!
)
)</f>
        <v>#REF!</v>
      </c>
      <c r="F32" s="88" t="str">
        <f>IFERROR(
VLOOKUP(
B32,#REF!,
6,
FALSE
),
""
)</f>
        <v/>
      </c>
      <c r="G32" s="88">
        <v>0</v>
      </c>
      <c r="H32" s="88">
        <v>24</v>
      </c>
      <c r="I32" s="90" t="e">
        <f t="shared" si="5"/>
        <v>#REF!</v>
      </c>
      <c r="J32" s="91" t="e">
        <f t="shared" si="6"/>
        <v>#REF!</v>
      </c>
      <c r="K32" s="91">
        <v>18</v>
      </c>
      <c r="L32" s="88" t="e">
        <f t="shared" si="7"/>
        <v>#REF!</v>
      </c>
      <c r="M32" s="88" t="e">
        <f t="shared" si="8"/>
        <v>#REF!</v>
      </c>
      <c r="N32" s="88" t="e">
        <f t="shared" si="9"/>
        <v>#REF!</v>
      </c>
      <c r="O32" s="88"/>
    </row>
    <row r="33" spans="1:15" ht="15" x14ac:dyDescent="0.25">
      <c r="A33" s="94" t="s">
        <v>1636</v>
      </c>
      <c r="B33" s="95" t="s">
        <v>2157</v>
      </c>
      <c r="C33" s="94">
        <v>8.26</v>
      </c>
      <c r="D33" s="88">
        <v>0.9</v>
      </c>
      <c r="E33" s="89" t="e">
        <f>IFERROR(
_xlfn.XLOOKUP(
B33,#REF!,#REF!
),
_xlfn.XLOOKUP(
A33,#REF!,#REF!
)
)</f>
        <v>#REF!</v>
      </c>
      <c r="F33" s="88" t="str">
        <f>IFERROR(
VLOOKUP(
B33,#REF!,
6,
FALSE
),
""
)</f>
        <v/>
      </c>
      <c r="G33" s="88">
        <v>0</v>
      </c>
      <c r="H33" s="88">
        <v>24</v>
      </c>
      <c r="I33" s="90" t="e">
        <f t="shared" si="5"/>
        <v>#REF!</v>
      </c>
      <c r="J33" s="91" t="e">
        <f t="shared" si="6"/>
        <v>#REF!</v>
      </c>
      <c r="K33" s="91"/>
      <c r="L33" s="88" t="e">
        <f t="shared" si="7"/>
        <v>#REF!</v>
      </c>
      <c r="M33" s="88" t="e">
        <f t="shared" si="8"/>
        <v>#REF!</v>
      </c>
      <c r="N33" s="88" t="e">
        <f t="shared" si="9"/>
        <v>#REF!</v>
      </c>
      <c r="O33" s="88"/>
    </row>
    <row r="34" spans="1:15" ht="15" x14ac:dyDescent="0.25">
      <c r="A34" s="6" t="s">
        <v>1637</v>
      </c>
      <c r="B34" s="71" t="s">
        <v>1638</v>
      </c>
      <c r="C34" s="12">
        <v>11.08</v>
      </c>
      <c r="D34" s="88">
        <v>0.9</v>
      </c>
      <c r="E34" s="89" t="e">
        <f>IFERROR(
_xlfn.XLOOKUP(
B34,#REF!,#REF!
),
_xlfn.XLOOKUP(
A34,#REF!,#REF!
)
)</f>
        <v>#REF!</v>
      </c>
      <c r="F34" s="88" t="str">
        <f>IFERROR(
VLOOKUP(
B34,#REF!,
6,
FALSE
),
""
)</f>
        <v/>
      </c>
      <c r="G34" s="88">
        <v>0</v>
      </c>
      <c r="H34" s="88">
        <v>24</v>
      </c>
      <c r="I34" s="90" t="e">
        <f t="shared" si="5"/>
        <v>#REF!</v>
      </c>
      <c r="J34" s="91" t="e">
        <f t="shared" si="6"/>
        <v>#REF!</v>
      </c>
      <c r="K34" s="91"/>
      <c r="L34" s="88" t="e">
        <f t="shared" si="7"/>
        <v>#REF!</v>
      </c>
      <c r="M34" s="88" t="e">
        <f t="shared" si="8"/>
        <v>#REF!</v>
      </c>
      <c r="N34" s="88" t="e">
        <f t="shared" si="9"/>
        <v>#REF!</v>
      </c>
      <c r="O34" s="88"/>
    </row>
    <row r="35" spans="1:15" ht="15" x14ac:dyDescent="0.25">
      <c r="A35" s="6" t="s">
        <v>1639</v>
      </c>
      <c r="B35" s="71" t="s">
        <v>1640</v>
      </c>
      <c r="C35" s="12">
        <v>8.34</v>
      </c>
      <c r="D35" s="88">
        <v>0.9</v>
      </c>
      <c r="E35" s="89" t="e">
        <f>IFERROR(
_xlfn.XLOOKUP(
B35,#REF!,#REF!
),
_xlfn.XLOOKUP(
A35,#REF!,#REF!
)
)</f>
        <v>#REF!</v>
      </c>
      <c r="F35" s="88" t="str">
        <f>IFERROR(
VLOOKUP(
B35,#REF!,
6,
FALSE
),
""
)</f>
        <v/>
      </c>
      <c r="G35" s="88">
        <v>0</v>
      </c>
      <c r="H35" s="88">
        <v>24</v>
      </c>
      <c r="I35" s="90" t="e">
        <f t="shared" si="5"/>
        <v>#REF!</v>
      </c>
      <c r="J35" s="91" t="e">
        <f t="shared" si="6"/>
        <v>#REF!</v>
      </c>
      <c r="K35" s="91"/>
      <c r="L35" s="88" t="e">
        <f t="shared" si="7"/>
        <v>#REF!</v>
      </c>
      <c r="M35" s="88" t="e">
        <f t="shared" si="8"/>
        <v>#REF!</v>
      </c>
      <c r="N35" s="88" t="e">
        <f t="shared" si="9"/>
        <v>#REF!</v>
      </c>
      <c r="O35" s="88"/>
    </row>
    <row r="36" spans="1:15" ht="15" x14ac:dyDescent="0.25">
      <c r="A36" s="6" t="s">
        <v>1641</v>
      </c>
      <c r="B36" s="71" t="s">
        <v>1642</v>
      </c>
      <c r="C36" s="12">
        <v>7.05</v>
      </c>
      <c r="D36" s="88">
        <v>0.9</v>
      </c>
      <c r="E36" s="89" t="e">
        <f>IFERROR(
_xlfn.XLOOKUP(
B36,#REF!,#REF!
),
_xlfn.XLOOKUP(
A36,#REF!,#REF!
)
)</f>
        <v>#REF!</v>
      </c>
      <c r="F36" s="88" t="str">
        <f>IFERROR(
VLOOKUP(
B36,#REF!,
6,
FALSE
),
""
)</f>
        <v/>
      </c>
      <c r="G36" s="88">
        <v>0</v>
      </c>
      <c r="H36" s="88">
        <v>24</v>
      </c>
      <c r="I36" s="90" t="e">
        <f t="shared" si="5"/>
        <v>#REF!</v>
      </c>
      <c r="J36" s="91" t="e">
        <f t="shared" si="6"/>
        <v>#REF!</v>
      </c>
      <c r="K36" s="91"/>
      <c r="L36" s="88" t="e">
        <f t="shared" si="7"/>
        <v>#REF!</v>
      </c>
      <c r="M36" s="88" t="e">
        <f t="shared" si="8"/>
        <v>#REF!</v>
      </c>
      <c r="N36" s="88" t="e">
        <f t="shared" si="9"/>
        <v>#REF!</v>
      </c>
      <c r="O36" s="88"/>
    </row>
    <row r="37" spans="1:15" ht="15" x14ac:dyDescent="0.25">
      <c r="A37" s="6" t="s">
        <v>1643</v>
      </c>
      <c r="B37" s="71" t="s">
        <v>1644</v>
      </c>
      <c r="C37" s="12">
        <v>25.5</v>
      </c>
      <c r="D37" s="88">
        <v>0.9</v>
      </c>
      <c r="E37" s="89" t="e">
        <f>IFERROR(
_xlfn.XLOOKUP(
B37,#REF!,#REF!
),
_xlfn.XLOOKUP(
A37,#REF!,#REF!
)
)</f>
        <v>#REF!</v>
      </c>
      <c r="F37" s="88" t="str">
        <f>IFERROR(
VLOOKUP(
B37,#REF!,
6,
FALSE
),
""
)</f>
        <v/>
      </c>
      <c r="G37" s="88">
        <v>0</v>
      </c>
      <c r="H37" s="88">
        <v>24</v>
      </c>
      <c r="I37" s="90" t="e">
        <f t="shared" si="5"/>
        <v>#REF!</v>
      </c>
      <c r="J37" s="91" t="e">
        <f t="shared" si="6"/>
        <v>#REF!</v>
      </c>
      <c r="K37" s="91"/>
      <c r="L37" s="88" t="e">
        <f t="shared" si="7"/>
        <v>#REF!</v>
      </c>
      <c r="M37" s="88" t="e">
        <f t="shared" si="8"/>
        <v>#REF!</v>
      </c>
      <c r="N37" s="88" t="e">
        <f t="shared" si="9"/>
        <v>#REF!</v>
      </c>
      <c r="O37" s="88"/>
    </row>
    <row r="38" spans="1:15" ht="15" x14ac:dyDescent="0.25">
      <c r="A38" s="6" t="s">
        <v>1645</v>
      </c>
      <c r="B38" s="71" t="s">
        <v>1646</v>
      </c>
      <c r="C38" s="12">
        <v>10</v>
      </c>
      <c r="D38" s="88">
        <v>0.9</v>
      </c>
      <c r="E38" s="89" t="e">
        <f>IFERROR(
_xlfn.XLOOKUP(
B38,#REF!,#REF!
),
_xlfn.XLOOKUP(
A38,#REF!,#REF!
)
)</f>
        <v>#REF!</v>
      </c>
      <c r="F38" s="88" t="str">
        <f>IFERROR(
VLOOKUP(
B38,#REF!,
6,
FALSE
),
""
)</f>
        <v/>
      </c>
      <c r="G38" s="88">
        <v>0</v>
      </c>
      <c r="H38" s="88">
        <v>24</v>
      </c>
      <c r="I38" s="90" t="e">
        <f t="shared" si="5"/>
        <v>#REF!</v>
      </c>
      <c r="J38" s="91" t="e">
        <f t="shared" si="6"/>
        <v>#REF!</v>
      </c>
      <c r="K38" s="91"/>
      <c r="L38" s="88" t="e">
        <f t="shared" si="7"/>
        <v>#REF!</v>
      </c>
      <c r="M38" s="88" t="e">
        <f t="shared" si="8"/>
        <v>#REF!</v>
      </c>
      <c r="N38" s="88" t="e">
        <f t="shared" si="9"/>
        <v>#REF!</v>
      </c>
      <c r="O38" s="88"/>
    </row>
    <row r="39" spans="1:15" ht="15" x14ac:dyDescent="0.25">
      <c r="A39" s="6" t="s">
        <v>1647</v>
      </c>
      <c r="B39" s="71" t="s">
        <v>1648</v>
      </c>
      <c r="C39" s="12">
        <v>10.02</v>
      </c>
      <c r="D39" s="88">
        <v>0.9</v>
      </c>
      <c r="E39" s="89" t="e">
        <f>IFERROR(
_xlfn.XLOOKUP(
B39,#REF!,#REF!
),
_xlfn.XLOOKUP(
A39,#REF!,#REF!
)
)</f>
        <v>#REF!</v>
      </c>
      <c r="F39" s="88" t="str">
        <f>IFERROR(
VLOOKUP(
B39,#REF!,
6,
FALSE
),
""
)</f>
        <v/>
      </c>
      <c r="G39" s="88">
        <v>0</v>
      </c>
      <c r="H39" s="88">
        <v>24</v>
      </c>
      <c r="I39" s="90" t="e">
        <f t="shared" si="5"/>
        <v>#REF!</v>
      </c>
      <c r="J39" s="91" t="e">
        <f t="shared" si="6"/>
        <v>#REF!</v>
      </c>
      <c r="K39" s="91"/>
      <c r="L39" s="88" t="e">
        <f t="shared" si="7"/>
        <v>#REF!</v>
      </c>
      <c r="M39" s="88" t="e">
        <f t="shared" si="8"/>
        <v>#REF!</v>
      </c>
      <c r="N39" s="88" t="e">
        <f t="shared" si="9"/>
        <v>#REF!</v>
      </c>
      <c r="O39" s="88"/>
    </row>
    <row r="40" spans="1:15" ht="15" x14ac:dyDescent="0.25">
      <c r="A40" s="6" t="s">
        <v>1649</v>
      </c>
      <c r="B40" s="71" t="s">
        <v>1650</v>
      </c>
      <c r="C40" s="12">
        <v>14.57</v>
      </c>
      <c r="D40" s="88">
        <v>0.9</v>
      </c>
      <c r="E40" s="89" t="e">
        <f>IFERROR(
_xlfn.XLOOKUP(
B40,#REF!,#REF!
),
_xlfn.XLOOKUP(
A40,#REF!,#REF!
)
)</f>
        <v>#REF!</v>
      </c>
      <c r="F40" s="88" t="str">
        <f>IFERROR(
VLOOKUP(
B40,#REF!,
6,
FALSE
),
""
)</f>
        <v/>
      </c>
      <c r="G40" s="88">
        <v>0</v>
      </c>
      <c r="H40" s="88">
        <v>24</v>
      </c>
      <c r="I40" s="90" t="e">
        <f t="shared" si="5"/>
        <v>#REF!</v>
      </c>
      <c r="J40" s="91" t="e">
        <f t="shared" si="6"/>
        <v>#REF!</v>
      </c>
      <c r="K40" s="91"/>
      <c r="L40" s="88" t="e">
        <f t="shared" si="7"/>
        <v>#REF!</v>
      </c>
      <c r="M40" s="88" t="e">
        <f t="shared" si="8"/>
        <v>#REF!</v>
      </c>
      <c r="N40" s="88" t="e">
        <f t="shared" si="9"/>
        <v>#REF!</v>
      </c>
      <c r="O40" s="88"/>
    </row>
    <row r="41" spans="1:15" ht="15" x14ac:dyDescent="0.25">
      <c r="A41" s="6" t="s">
        <v>1651</v>
      </c>
      <c r="B41" s="71" t="s">
        <v>1652</v>
      </c>
      <c r="C41" s="12">
        <v>10.43</v>
      </c>
      <c r="D41" s="88">
        <v>0.9</v>
      </c>
      <c r="E41" s="89" t="e">
        <f>IFERROR(
_xlfn.XLOOKUP(
B41,#REF!,#REF!
),
_xlfn.XLOOKUP(
A41,#REF!,#REF!
)
)</f>
        <v>#REF!</v>
      </c>
      <c r="F41" s="88" t="str">
        <f>IFERROR(
VLOOKUP(
B41,#REF!,
6,
FALSE
),
""
)</f>
        <v/>
      </c>
      <c r="G41" s="88">
        <v>0</v>
      </c>
      <c r="H41" s="88">
        <v>24</v>
      </c>
      <c r="I41" s="90" t="e">
        <f t="shared" si="5"/>
        <v>#REF!</v>
      </c>
      <c r="J41" s="91" t="e">
        <f t="shared" si="6"/>
        <v>#REF!</v>
      </c>
      <c r="K41" s="91"/>
      <c r="L41" s="88" t="e">
        <f t="shared" si="7"/>
        <v>#REF!</v>
      </c>
      <c r="M41" s="88" t="e">
        <f t="shared" si="8"/>
        <v>#REF!</v>
      </c>
      <c r="N41" s="88" t="e">
        <f t="shared" si="9"/>
        <v>#REF!</v>
      </c>
      <c r="O41" s="88"/>
    </row>
    <row r="42" spans="1:15" ht="15" x14ac:dyDescent="0.25">
      <c r="A42" s="6" t="s">
        <v>1653</v>
      </c>
      <c r="B42" s="71" t="s">
        <v>1654</v>
      </c>
      <c r="C42" s="12">
        <v>9.1999999999999993</v>
      </c>
      <c r="D42" s="88">
        <v>0.9</v>
      </c>
      <c r="E42" s="89" t="e">
        <f>IFERROR(
_xlfn.XLOOKUP(
B42,#REF!,#REF!
),
_xlfn.XLOOKUP(
A42,#REF!,#REF!
)
)</f>
        <v>#REF!</v>
      </c>
      <c r="F42" s="88" t="str">
        <f>IFERROR(
VLOOKUP(
B42,#REF!,
6,
FALSE
),
""
)</f>
        <v/>
      </c>
      <c r="G42" s="88">
        <v>0</v>
      </c>
      <c r="H42" s="88">
        <v>24</v>
      </c>
      <c r="I42" s="90" t="e">
        <f t="shared" si="5"/>
        <v>#REF!</v>
      </c>
      <c r="J42" s="91" t="e">
        <f t="shared" si="6"/>
        <v>#REF!</v>
      </c>
      <c r="K42" s="91"/>
      <c r="L42" s="88" t="e">
        <f t="shared" si="7"/>
        <v>#REF!</v>
      </c>
      <c r="M42" s="88" t="e">
        <f t="shared" si="8"/>
        <v>#REF!</v>
      </c>
      <c r="N42" s="88" t="e">
        <f t="shared" si="9"/>
        <v>#REF!</v>
      </c>
      <c r="O42" s="88"/>
    </row>
    <row r="43" spans="1:15" ht="15" x14ac:dyDescent="0.25">
      <c r="A43" s="6" t="s">
        <v>1655</v>
      </c>
      <c r="B43" s="71" t="s">
        <v>1656</v>
      </c>
      <c r="C43" s="12">
        <v>6.67</v>
      </c>
      <c r="D43" s="88">
        <v>0.9</v>
      </c>
      <c r="E43" s="89" t="e">
        <f>IFERROR(
_xlfn.XLOOKUP(
B43,#REF!,#REF!
),
_xlfn.XLOOKUP(
A43,#REF!,#REF!
)
)</f>
        <v>#REF!</v>
      </c>
      <c r="F43" s="88" t="str">
        <f>IFERROR(
VLOOKUP(
B43,#REF!,
6,
FALSE
),
""
)</f>
        <v/>
      </c>
      <c r="G43" s="88">
        <v>0</v>
      </c>
      <c r="H43" s="88">
        <v>24</v>
      </c>
      <c r="I43" s="90" t="e">
        <f t="shared" si="5"/>
        <v>#REF!</v>
      </c>
      <c r="J43" s="91" t="e">
        <f t="shared" si="6"/>
        <v>#REF!</v>
      </c>
      <c r="K43" s="91"/>
      <c r="L43" s="88" t="e">
        <f t="shared" si="7"/>
        <v>#REF!</v>
      </c>
      <c r="M43" s="88" t="e">
        <f t="shared" si="8"/>
        <v>#REF!</v>
      </c>
      <c r="N43" s="88" t="e">
        <f t="shared" si="9"/>
        <v>#REF!</v>
      </c>
      <c r="O43" s="88"/>
    </row>
    <row r="44" spans="1:15" ht="15" x14ac:dyDescent="0.25">
      <c r="A44" s="6" t="s">
        <v>1657</v>
      </c>
      <c r="B44" s="71" t="s">
        <v>1658</v>
      </c>
      <c r="C44" s="12">
        <v>8.99</v>
      </c>
      <c r="D44" s="88">
        <v>0.9</v>
      </c>
      <c r="E44" s="89" t="e">
        <f>IFERROR(
_xlfn.XLOOKUP(
B44,#REF!,#REF!
),
_xlfn.XLOOKUP(
A44,#REF!,#REF!
)
)</f>
        <v>#REF!</v>
      </c>
      <c r="F44" s="88" t="str">
        <f>IFERROR(
VLOOKUP(
B44,#REF!,
6,
FALSE
),
""
)</f>
        <v/>
      </c>
      <c r="G44" s="88">
        <v>0</v>
      </c>
      <c r="H44" s="88">
        <v>24</v>
      </c>
      <c r="I44" s="90" t="e">
        <f t="shared" si="5"/>
        <v>#REF!</v>
      </c>
      <c r="J44" s="91" t="e">
        <f t="shared" si="6"/>
        <v>#REF!</v>
      </c>
      <c r="K44" s="91"/>
      <c r="L44" s="88" t="e">
        <f t="shared" si="7"/>
        <v>#REF!</v>
      </c>
      <c r="M44" s="88" t="e">
        <f t="shared" si="8"/>
        <v>#REF!</v>
      </c>
      <c r="N44" s="88" t="e">
        <f t="shared" si="9"/>
        <v>#REF!</v>
      </c>
      <c r="O44" s="88"/>
    </row>
    <row r="45" spans="1:15" ht="15" x14ac:dyDescent="0.25">
      <c r="A45" s="6" t="s">
        <v>1659</v>
      </c>
      <c r="B45" s="71" t="s">
        <v>1660</v>
      </c>
      <c r="C45" s="12">
        <v>13.67</v>
      </c>
      <c r="D45" s="88">
        <v>0.9</v>
      </c>
      <c r="E45" s="89" t="e">
        <f>IFERROR(
_xlfn.XLOOKUP(
B45,#REF!,#REF!
),
_xlfn.XLOOKUP(
A45,#REF!,#REF!
)
)</f>
        <v>#REF!</v>
      </c>
      <c r="F45" s="88" t="str">
        <f>IFERROR(
VLOOKUP(
B45,#REF!,
6,
FALSE
),
""
)</f>
        <v/>
      </c>
      <c r="G45" s="88">
        <v>0</v>
      </c>
      <c r="H45" s="88">
        <v>24</v>
      </c>
      <c r="I45" s="90" t="e">
        <f t="shared" si="5"/>
        <v>#REF!</v>
      </c>
      <c r="J45" s="91" t="e">
        <f t="shared" si="6"/>
        <v>#REF!</v>
      </c>
      <c r="K45" s="91"/>
      <c r="L45" s="88" t="e">
        <f t="shared" si="7"/>
        <v>#REF!</v>
      </c>
      <c r="M45" s="88" t="e">
        <f t="shared" si="8"/>
        <v>#REF!</v>
      </c>
      <c r="N45" s="88" t="e">
        <f t="shared" si="9"/>
        <v>#REF!</v>
      </c>
      <c r="O45" s="88"/>
    </row>
    <row r="46" spans="1:15" ht="15" x14ac:dyDescent="0.25">
      <c r="A46" s="12" t="s">
        <v>1661</v>
      </c>
      <c r="B46" s="75" t="s">
        <v>2152</v>
      </c>
      <c r="C46" s="12">
        <v>12.48</v>
      </c>
      <c r="D46" s="88">
        <v>0.9</v>
      </c>
      <c r="E46" s="89" t="e">
        <f>IFERROR(
_xlfn.XLOOKUP(
B46,#REF!,#REF!
),
_xlfn.XLOOKUP(
A46,#REF!,#REF!
)
)</f>
        <v>#REF!</v>
      </c>
      <c r="F46" s="88" t="str">
        <f>IFERROR(
VLOOKUP(
B46,#REF!,
6,
FALSE
),
""
)</f>
        <v/>
      </c>
      <c r="G46" s="88">
        <v>0</v>
      </c>
      <c r="H46" s="88">
        <v>24</v>
      </c>
      <c r="I46" s="90" t="e">
        <f t="shared" si="5"/>
        <v>#REF!</v>
      </c>
      <c r="J46" s="91" t="e">
        <f t="shared" si="6"/>
        <v>#REF!</v>
      </c>
      <c r="K46" s="91"/>
      <c r="L46" s="88" t="e">
        <f t="shared" si="7"/>
        <v>#REF!</v>
      </c>
      <c r="M46" s="88" t="e">
        <f t="shared" si="8"/>
        <v>#REF!</v>
      </c>
      <c r="N46" s="88" t="e">
        <f t="shared" si="9"/>
        <v>#REF!</v>
      </c>
      <c r="O46" s="88"/>
    </row>
    <row r="47" spans="1:15" ht="15" x14ac:dyDescent="0.25">
      <c r="A47" s="12" t="s">
        <v>1662</v>
      </c>
      <c r="B47" s="75" t="s">
        <v>2151</v>
      </c>
      <c r="C47" s="12">
        <v>17.77</v>
      </c>
      <c r="D47" s="88">
        <v>0.9</v>
      </c>
      <c r="E47" s="89" t="e">
        <f>IFERROR(
_xlfn.XLOOKUP(
B47,#REF!,#REF!
),
_xlfn.XLOOKUP(
A47,#REF!,#REF!
)
)</f>
        <v>#REF!</v>
      </c>
      <c r="F47" s="88" t="str">
        <f>IFERROR(
VLOOKUP(
B47,#REF!,
6,
FALSE
),
""
)</f>
        <v/>
      </c>
      <c r="G47" s="88">
        <v>0</v>
      </c>
      <c r="H47" s="88">
        <v>24</v>
      </c>
      <c r="I47" s="90" t="e">
        <f t="shared" si="5"/>
        <v>#REF!</v>
      </c>
      <c r="J47" s="91" t="e">
        <f t="shared" si="6"/>
        <v>#REF!</v>
      </c>
      <c r="K47" s="91"/>
      <c r="L47" s="88" t="e">
        <f t="shared" si="7"/>
        <v>#REF!</v>
      </c>
      <c r="M47" s="88" t="e">
        <f t="shared" si="8"/>
        <v>#REF!</v>
      </c>
      <c r="N47" s="88" t="e">
        <f t="shared" si="9"/>
        <v>#REF!</v>
      </c>
      <c r="O47" s="88"/>
    </row>
    <row r="48" spans="1:15" ht="15" x14ac:dyDescent="0.25">
      <c r="A48" s="6" t="s">
        <v>1663</v>
      </c>
      <c r="B48" s="71" t="s">
        <v>1664</v>
      </c>
      <c r="C48" s="12">
        <v>17.809999999999999</v>
      </c>
      <c r="D48" s="88">
        <v>0.9</v>
      </c>
      <c r="E48" s="89" t="e">
        <f>IFERROR(
_xlfn.XLOOKUP(
B48,#REF!,#REF!
),
_xlfn.XLOOKUP(
A48,#REF!,#REF!
)
)</f>
        <v>#REF!</v>
      </c>
      <c r="F48" s="88" t="str">
        <f>IFERROR(
VLOOKUP(
B48,#REF!,
6,
FALSE
),
""
)</f>
        <v/>
      </c>
      <c r="G48" s="88">
        <v>0</v>
      </c>
      <c r="H48" s="88">
        <v>24</v>
      </c>
      <c r="I48" s="90" t="e">
        <f t="shared" si="5"/>
        <v>#REF!</v>
      </c>
      <c r="J48" s="91" t="e">
        <f t="shared" si="6"/>
        <v>#REF!</v>
      </c>
      <c r="K48" s="91"/>
      <c r="L48" s="88" t="e">
        <f t="shared" si="7"/>
        <v>#REF!</v>
      </c>
      <c r="M48" s="88" t="e">
        <f t="shared" si="8"/>
        <v>#REF!</v>
      </c>
      <c r="N48" s="88" t="e">
        <f t="shared" si="9"/>
        <v>#REF!</v>
      </c>
      <c r="O48" s="88"/>
    </row>
    <row r="49" spans="1:15" ht="15" x14ac:dyDescent="0.25">
      <c r="A49" s="6" t="s">
        <v>1665</v>
      </c>
      <c r="B49" s="71" t="s">
        <v>1666</v>
      </c>
      <c r="C49" s="12">
        <v>30.84</v>
      </c>
      <c r="D49" s="88">
        <v>0.9</v>
      </c>
      <c r="E49" s="89" t="e">
        <f>IFERROR(
_xlfn.XLOOKUP(
B49,#REF!,#REF!
),
_xlfn.XLOOKUP(
A49,#REF!,#REF!
)
)</f>
        <v>#REF!</v>
      </c>
      <c r="F49" s="88" t="str">
        <f>IFERROR(
VLOOKUP(
B49,#REF!,
6,
FALSE
),
""
)</f>
        <v/>
      </c>
      <c r="G49" s="88">
        <v>0</v>
      </c>
      <c r="H49" s="88">
        <v>24</v>
      </c>
      <c r="I49" s="90" t="e">
        <f t="shared" si="5"/>
        <v>#REF!</v>
      </c>
      <c r="J49" s="91" t="e">
        <f t="shared" si="6"/>
        <v>#REF!</v>
      </c>
      <c r="K49" s="91"/>
      <c r="L49" s="88" t="e">
        <f t="shared" si="7"/>
        <v>#REF!</v>
      </c>
      <c r="M49" s="88" t="e">
        <f t="shared" si="8"/>
        <v>#REF!</v>
      </c>
      <c r="N49" s="88" t="e">
        <f t="shared" si="9"/>
        <v>#REF!</v>
      </c>
      <c r="O49" s="88"/>
    </row>
    <row r="50" spans="1:15" ht="15" x14ac:dyDescent="0.25">
      <c r="A50" s="12" t="s">
        <v>1667</v>
      </c>
      <c r="B50" s="75" t="s">
        <v>2150</v>
      </c>
      <c r="C50" s="12">
        <v>18.73</v>
      </c>
      <c r="D50" s="88">
        <v>0.9</v>
      </c>
      <c r="E50" s="89" t="e">
        <f>IFERROR(
_xlfn.XLOOKUP(
B50,#REF!,#REF!
),
_xlfn.XLOOKUP(
A50,#REF!,#REF!
)
)</f>
        <v>#REF!</v>
      </c>
      <c r="F50" s="88" t="str">
        <f>IFERROR(
VLOOKUP(
B50,#REF!,
6,
FALSE
),
""
)</f>
        <v/>
      </c>
      <c r="G50" s="88">
        <v>0</v>
      </c>
      <c r="H50" s="88">
        <v>24</v>
      </c>
      <c r="I50" s="90" t="e">
        <f t="shared" si="5"/>
        <v>#REF!</v>
      </c>
      <c r="J50" s="91" t="e">
        <f t="shared" si="6"/>
        <v>#REF!</v>
      </c>
      <c r="K50" s="91"/>
      <c r="L50" s="88" t="e">
        <f t="shared" si="7"/>
        <v>#REF!</v>
      </c>
      <c r="M50" s="88" t="e">
        <f t="shared" si="8"/>
        <v>#REF!</v>
      </c>
      <c r="N50" s="88" t="e">
        <f t="shared" si="9"/>
        <v>#REF!</v>
      </c>
      <c r="O50" s="88"/>
    </row>
    <row r="51" spans="1:15" ht="15" x14ac:dyDescent="0.25">
      <c r="A51" s="1" t="s">
        <v>1668</v>
      </c>
      <c r="B51" s="96" t="s">
        <v>1669</v>
      </c>
      <c r="C51" s="1">
        <v>24.25</v>
      </c>
      <c r="D51" s="88">
        <v>0.9</v>
      </c>
      <c r="E51" s="89" t="e">
        <f>IFERROR(
_xlfn.XLOOKUP(
B51,#REF!,#REF!
),
_xlfn.XLOOKUP(
A51,#REF!,#REF!
)
)</f>
        <v>#REF!</v>
      </c>
      <c r="F51" s="88" t="str">
        <f>IFERROR(
VLOOKUP(
B51,#REF!,
6,
FALSE
),
""
)</f>
        <v/>
      </c>
      <c r="G51" s="88">
        <v>0</v>
      </c>
      <c r="H51" s="88">
        <v>24</v>
      </c>
      <c r="I51" s="90" t="e">
        <f t="shared" si="5"/>
        <v>#REF!</v>
      </c>
      <c r="J51" s="91" t="e">
        <f t="shared" si="6"/>
        <v>#REF!</v>
      </c>
      <c r="K51" s="91"/>
      <c r="L51" s="88" t="e">
        <f t="shared" si="7"/>
        <v>#REF!</v>
      </c>
      <c r="M51" s="88" t="e">
        <f t="shared" si="8"/>
        <v>#REF!</v>
      </c>
      <c r="N51" s="88" t="e">
        <f t="shared" si="9"/>
        <v>#REF!</v>
      </c>
      <c r="O51" s="88"/>
    </row>
    <row r="52" spans="1:15" ht="15" x14ac:dyDescent="0.25">
      <c r="A52" s="1" t="s">
        <v>1670</v>
      </c>
      <c r="B52" s="97" t="s">
        <v>2149</v>
      </c>
      <c r="C52" s="1">
        <v>14.54</v>
      </c>
      <c r="D52" s="88">
        <v>0.9</v>
      </c>
      <c r="E52" s="89" t="e">
        <f>IFERROR(
_xlfn.XLOOKUP(
B52,#REF!,#REF!
),
_xlfn.XLOOKUP(
A52,#REF!,#REF!
)
)</f>
        <v>#REF!</v>
      </c>
      <c r="F52" s="88" t="str">
        <f>IFERROR(
VLOOKUP(
B52,#REF!,
6,
FALSE
),
""
)</f>
        <v/>
      </c>
      <c r="G52" s="88">
        <v>0</v>
      </c>
      <c r="H52" s="88">
        <v>24</v>
      </c>
      <c r="I52" s="90" t="e">
        <f t="shared" si="5"/>
        <v>#REF!</v>
      </c>
      <c r="J52" s="91" t="e">
        <f t="shared" si="6"/>
        <v>#REF!</v>
      </c>
      <c r="K52" s="91"/>
      <c r="L52" s="88" t="e">
        <f t="shared" si="7"/>
        <v>#REF!</v>
      </c>
      <c r="M52" s="88" t="e">
        <f t="shared" si="8"/>
        <v>#REF!</v>
      </c>
      <c r="N52" s="88" t="e">
        <f t="shared" si="9"/>
        <v>#REF!</v>
      </c>
      <c r="O52" s="88"/>
    </row>
    <row r="53" spans="1:15" ht="15" x14ac:dyDescent="0.25">
      <c r="A53" s="12" t="s">
        <v>1671</v>
      </c>
      <c r="B53" s="75" t="s">
        <v>2148</v>
      </c>
      <c r="C53" s="12">
        <v>15.47</v>
      </c>
      <c r="D53" s="88">
        <v>0.9</v>
      </c>
      <c r="E53" s="89" t="e">
        <f>IFERROR(
_xlfn.XLOOKUP(
B53,#REF!,#REF!
),
_xlfn.XLOOKUP(
A53,#REF!,#REF!
)
)</f>
        <v>#REF!</v>
      </c>
      <c r="F53" s="88" t="str">
        <f>IFERROR(
VLOOKUP(
B53,#REF!,
6,
FALSE
),
""
)</f>
        <v/>
      </c>
      <c r="G53" s="88">
        <v>0</v>
      </c>
      <c r="H53" s="88">
        <v>24</v>
      </c>
      <c r="I53" s="90" t="e">
        <f t="shared" si="5"/>
        <v>#REF!</v>
      </c>
      <c r="J53" s="91" t="e">
        <f t="shared" si="6"/>
        <v>#REF!</v>
      </c>
      <c r="K53" s="91"/>
      <c r="L53" s="88" t="e">
        <f t="shared" si="7"/>
        <v>#REF!</v>
      </c>
      <c r="M53" s="88" t="e">
        <f t="shared" si="8"/>
        <v>#REF!</v>
      </c>
      <c r="N53" s="88" t="e">
        <f t="shared" si="9"/>
        <v>#REF!</v>
      </c>
      <c r="O53" s="88"/>
    </row>
    <row r="54" spans="1:15" ht="15" x14ac:dyDescent="0.25">
      <c r="A54" t="s">
        <v>1624</v>
      </c>
      <c r="B54" s="73" t="s">
        <v>2153</v>
      </c>
      <c r="C54" s="106">
        <v>17.98</v>
      </c>
      <c r="D54" s="88">
        <v>0.9</v>
      </c>
      <c r="E54" s="89" t="e">
        <f>IFERROR(
_xlfn.XLOOKUP(
B54,#REF!,#REF!
),
_xlfn.XLOOKUP(
A54,#REF!,#REF!
)
)</f>
        <v>#REF!</v>
      </c>
      <c r="F54" s="88" t="str">
        <f>IFERROR(
VLOOKUP(
B54,#REF!,
6,
FALSE
),
""
)</f>
        <v/>
      </c>
      <c r="G54" s="88">
        <v>0</v>
      </c>
      <c r="H54" s="88">
        <v>24</v>
      </c>
      <c r="I54" s="90" t="e">
        <f t="shared" si="5"/>
        <v>#REF!</v>
      </c>
      <c r="J54" s="91" t="e">
        <f t="shared" si="6"/>
        <v>#REF!</v>
      </c>
      <c r="K54" s="91">
        <v>26.22</v>
      </c>
      <c r="L54" s="88" t="e">
        <f t="shared" si="7"/>
        <v>#REF!</v>
      </c>
      <c r="M54" s="88" t="e">
        <f t="shared" si="8"/>
        <v>#REF!</v>
      </c>
      <c r="N54" s="88" t="e">
        <f t="shared" si="9"/>
        <v>#REF!</v>
      </c>
      <c r="O54" s="88"/>
    </row>
    <row r="55" spans="1:15" ht="15" x14ac:dyDescent="0.25">
      <c r="A55" s="104" t="s">
        <v>1625</v>
      </c>
      <c r="B55" s="105" t="s">
        <v>1626</v>
      </c>
      <c r="C55" s="88">
        <v>22.92</v>
      </c>
      <c r="D55" s="88">
        <v>0.9</v>
      </c>
      <c r="E55" s="89" t="e">
        <f>IFERROR(
_xlfn.XLOOKUP(
B55,#REF!,#REF!
),
_xlfn.XLOOKUP(
A55,#REF!,#REF!
)
)</f>
        <v>#REF!</v>
      </c>
      <c r="F55" s="88" t="str">
        <f>IFERROR(
VLOOKUP(
B55,#REF!,
6,
FALSE
),
""
)</f>
        <v/>
      </c>
      <c r="G55" s="88">
        <v>0</v>
      </c>
      <c r="H55" s="88">
        <v>24</v>
      </c>
      <c r="I55" s="90" t="e">
        <f t="shared" si="5"/>
        <v>#REF!</v>
      </c>
      <c r="J55" s="91" t="e">
        <f t="shared" si="6"/>
        <v>#REF!</v>
      </c>
      <c r="K55" s="91">
        <v>33.43</v>
      </c>
      <c r="L55" s="88" t="e">
        <f t="shared" si="7"/>
        <v>#REF!</v>
      </c>
      <c r="M55" s="88" t="e">
        <f t="shared" si="8"/>
        <v>#REF!</v>
      </c>
      <c r="N55" s="88" t="e">
        <f t="shared" si="9"/>
        <v>#REF!</v>
      </c>
      <c r="O55" s="88"/>
    </row>
    <row r="56" spans="1:15" ht="15" x14ac:dyDescent="0.25">
      <c r="C56" s="88">
        <v>0</v>
      </c>
      <c r="D56" s="88">
        <v>0.9</v>
      </c>
      <c r="E56" s="89" t="e">
        <f>IFERROR(
_xlfn.XLOOKUP(
B56,#REF!,#REF!
),
_xlfn.XLOOKUP(
A56,#REF!,#REF!
)
)</f>
        <v>#REF!</v>
      </c>
      <c r="F56" s="88" t="str">
        <f>IFERROR(
VLOOKUP(
B56,#REF!,
6,
FALSE
),
""
)</f>
        <v/>
      </c>
      <c r="G56" s="88">
        <v>0</v>
      </c>
      <c r="H56" s="88">
        <v>24</v>
      </c>
      <c r="I56" s="90" t="e">
        <f t="shared" si="5"/>
        <v>#REF!</v>
      </c>
      <c r="J56" s="91" t="e">
        <f t="shared" si="6"/>
        <v>#REF!</v>
      </c>
      <c r="K56" s="91"/>
      <c r="L56" s="88" t="e">
        <f t="shared" si="7"/>
        <v>#REF!</v>
      </c>
      <c r="M56" s="88" t="e">
        <f t="shared" si="8"/>
        <v>#REF!</v>
      </c>
      <c r="N56" s="88" t="e">
        <f t="shared" si="9"/>
        <v>#REF!</v>
      </c>
      <c r="O56" s="88"/>
    </row>
    <row r="57" spans="1:15" ht="15" x14ac:dyDescent="0.25">
      <c r="C57" s="88">
        <v>0</v>
      </c>
      <c r="D57" s="88">
        <v>0.9</v>
      </c>
      <c r="E57" s="89" t="e">
        <f>IFERROR(
_xlfn.XLOOKUP(
B57,#REF!,#REF!
),
_xlfn.XLOOKUP(
A57,#REF!,#REF!
)
)</f>
        <v>#REF!</v>
      </c>
      <c r="F57" s="88" t="str">
        <f>IFERROR(
VLOOKUP(
B57,#REF!,
6,
FALSE
),
""
)</f>
        <v/>
      </c>
      <c r="G57" s="88">
        <v>0</v>
      </c>
      <c r="H57" s="88">
        <v>24</v>
      </c>
      <c r="I57" s="90" t="e">
        <f t="shared" si="5"/>
        <v>#REF!</v>
      </c>
      <c r="J57" s="91" t="e">
        <f t="shared" si="6"/>
        <v>#REF!</v>
      </c>
      <c r="K57" s="91"/>
      <c r="L57" s="88" t="e">
        <f t="shared" si="7"/>
        <v>#REF!</v>
      </c>
      <c r="M57" s="88" t="e">
        <f t="shared" si="8"/>
        <v>#REF!</v>
      </c>
      <c r="N57" s="88" t="e">
        <f t="shared" si="9"/>
        <v>#REF!</v>
      </c>
      <c r="O57" s="88"/>
    </row>
    <row r="58" spans="1:15" ht="15" x14ac:dyDescent="0.25">
      <c r="C58" s="88">
        <v>0</v>
      </c>
      <c r="D58" s="88">
        <v>0.9</v>
      </c>
      <c r="E58" s="89" t="e">
        <f>IFERROR(
_xlfn.XLOOKUP(
B58,#REF!,#REF!
),
_xlfn.XLOOKUP(
A58,#REF!,#REF!
)
)</f>
        <v>#REF!</v>
      </c>
      <c r="F58" s="88" t="str">
        <f>IFERROR(
VLOOKUP(
B58,#REF!,
6,
FALSE
),
""
)</f>
        <v/>
      </c>
      <c r="G58" s="88">
        <v>0</v>
      </c>
      <c r="H58" s="88">
        <v>24</v>
      </c>
      <c r="I58" s="90" t="e">
        <f t="shared" si="5"/>
        <v>#REF!</v>
      </c>
      <c r="J58" s="91" t="e">
        <f t="shared" si="6"/>
        <v>#REF!</v>
      </c>
      <c r="K58" s="91"/>
      <c r="L58" s="88" t="e">
        <f t="shared" si="7"/>
        <v>#REF!</v>
      </c>
      <c r="M58" s="88" t="e">
        <f t="shared" si="8"/>
        <v>#REF!</v>
      </c>
      <c r="N58" s="88" t="e">
        <f t="shared" si="9"/>
        <v>#REF!</v>
      </c>
      <c r="O58" s="88"/>
    </row>
    <row r="59" spans="1:15" ht="15" x14ac:dyDescent="0.25">
      <c r="C59" s="88">
        <v>0</v>
      </c>
      <c r="D59" s="88">
        <v>0.9</v>
      </c>
      <c r="E59" s="89" t="e">
        <f>IFERROR(
_xlfn.XLOOKUP(
B59,#REF!,#REF!
),
_xlfn.XLOOKUP(
A59,#REF!,#REF!
)
)</f>
        <v>#REF!</v>
      </c>
      <c r="F59" s="88" t="str">
        <f>IFERROR(
VLOOKUP(
B59,#REF!,
6,
FALSE
),
""
)</f>
        <v/>
      </c>
      <c r="G59" s="88">
        <v>0</v>
      </c>
      <c r="H59" s="88">
        <v>24</v>
      </c>
      <c r="I59" s="90" t="e">
        <f t="shared" si="5"/>
        <v>#REF!</v>
      </c>
      <c r="J59" s="91" t="e">
        <f t="shared" si="6"/>
        <v>#REF!</v>
      </c>
      <c r="K59" s="91"/>
      <c r="L59" s="88" t="e">
        <f t="shared" si="7"/>
        <v>#REF!</v>
      </c>
      <c r="M59" s="88" t="e">
        <f t="shared" si="8"/>
        <v>#REF!</v>
      </c>
      <c r="N59" s="88" t="e">
        <f t="shared" si="9"/>
        <v>#REF!</v>
      </c>
      <c r="O59" s="88"/>
    </row>
    <row r="60" spans="1:15" ht="15" x14ac:dyDescent="0.25">
      <c r="C60" s="88">
        <v>0</v>
      </c>
      <c r="D60" s="88">
        <v>0.9</v>
      </c>
      <c r="E60" s="89" t="e">
        <f>IFERROR(
_xlfn.XLOOKUP(
B60,#REF!,#REF!
),
_xlfn.XLOOKUP(
A60,#REF!,#REF!
)
)</f>
        <v>#REF!</v>
      </c>
      <c r="F60" s="88" t="str">
        <f>IFERROR(
VLOOKUP(
B60,#REF!,
6,
FALSE
),
""
)</f>
        <v/>
      </c>
      <c r="G60" s="88">
        <v>0</v>
      </c>
      <c r="H60" s="88">
        <v>24</v>
      </c>
      <c r="I60" s="90" t="e">
        <f t="shared" si="5"/>
        <v>#REF!</v>
      </c>
      <c r="J60" s="91" t="e">
        <f t="shared" si="6"/>
        <v>#REF!</v>
      </c>
      <c r="K60" s="91"/>
      <c r="L60" s="88" t="e">
        <f t="shared" si="7"/>
        <v>#REF!</v>
      </c>
      <c r="M60" s="88" t="e">
        <f t="shared" si="8"/>
        <v>#REF!</v>
      </c>
      <c r="N60" s="88" t="e">
        <f t="shared" si="9"/>
        <v>#REF!</v>
      </c>
      <c r="O60" s="88"/>
    </row>
    <row r="61" spans="1:15" ht="15" x14ac:dyDescent="0.25">
      <c r="C61" s="88">
        <v>0</v>
      </c>
      <c r="D61" s="88">
        <v>0.9</v>
      </c>
      <c r="E61" s="89" t="e">
        <f>IFERROR(
_xlfn.XLOOKUP(
B61,#REF!,#REF!
),
_xlfn.XLOOKUP(
A61,#REF!,#REF!
)
)</f>
        <v>#REF!</v>
      </c>
      <c r="F61" s="88" t="str">
        <f>IFERROR(
VLOOKUP(
B61,#REF!,
6,
FALSE
),
""
)</f>
        <v/>
      </c>
      <c r="G61" s="88">
        <v>0</v>
      </c>
      <c r="H61" s="88">
        <v>24</v>
      </c>
      <c r="I61" s="90" t="e">
        <f t="shared" si="5"/>
        <v>#REF!</v>
      </c>
      <c r="J61" s="91" t="e">
        <f t="shared" si="6"/>
        <v>#REF!</v>
      </c>
      <c r="K61" s="91"/>
      <c r="L61" s="88" t="e">
        <f t="shared" si="7"/>
        <v>#REF!</v>
      </c>
      <c r="M61" s="88" t="e">
        <f t="shared" si="8"/>
        <v>#REF!</v>
      </c>
      <c r="N61" s="88" t="e">
        <f t="shared" si="9"/>
        <v>#REF!</v>
      </c>
      <c r="O61" s="88"/>
    </row>
    <row r="62" spans="1:15" ht="15" x14ac:dyDescent="0.25">
      <c r="C62" s="88">
        <v>0</v>
      </c>
      <c r="D62" s="88">
        <v>0.9</v>
      </c>
      <c r="E62" s="89" t="e">
        <f>IFERROR(
_xlfn.XLOOKUP(
B62,#REF!,#REF!
),
_xlfn.XLOOKUP(
A62,#REF!,#REF!
)
)</f>
        <v>#REF!</v>
      </c>
      <c r="F62" s="88" t="str">
        <f>IFERROR(
VLOOKUP(
B62,#REF!,
6,
FALSE
),
""
)</f>
        <v/>
      </c>
      <c r="G62" s="88">
        <v>0</v>
      </c>
      <c r="H62" s="88">
        <v>24</v>
      </c>
      <c r="I62" s="90" t="e">
        <f t="shared" si="5"/>
        <v>#REF!</v>
      </c>
      <c r="J62" s="91" t="e">
        <f t="shared" si="6"/>
        <v>#REF!</v>
      </c>
      <c r="K62" s="91"/>
      <c r="L62" s="88" t="e">
        <f t="shared" si="7"/>
        <v>#REF!</v>
      </c>
      <c r="M62" s="88" t="e">
        <f t="shared" si="8"/>
        <v>#REF!</v>
      </c>
      <c r="N62" s="88" t="e">
        <f t="shared" si="9"/>
        <v>#REF!</v>
      </c>
      <c r="O62" s="88"/>
    </row>
    <row r="63" spans="1:15" ht="15" x14ac:dyDescent="0.25">
      <c r="C63" s="88">
        <v>0</v>
      </c>
      <c r="D63" s="88">
        <v>0.9</v>
      </c>
      <c r="E63" s="89" t="e">
        <f>IFERROR(
_xlfn.XLOOKUP(
B63,#REF!,#REF!
),
_xlfn.XLOOKUP(
A63,#REF!,#REF!
)
)</f>
        <v>#REF!</v>
      </c>
      <c r="F63" s="88" t="str">
        <f>IFERROR(
VLOOKUP(
B63,#REF!,
6,
FALSE
),
""
)</f>
        <v/>
      </c>
      <c r="G63" s="88">
        <v>0</v>
      </c>
      <c r="H63" s="88">
        <v>24</v>
      </c>
      <c r="I63" s="90" t="e">
        <f t="shared" si="5"/>
        <v>#REF!</v>
      </c>
      <c r="J63" s="91" t="e">
        <f t="shared" si="6"/>
        <v>#REF!</v>
      </c>
      <c r="K63" s="91"/>
      <c r="L63" s="88" t="e">
        <f t="shared" si="7"/>
        <v>#REF!</v>
      </c>
      <c r="M63" s="88" t="e">
        <f t="shared" si="8"/>
        <v>#REF!</v>
      </c>
      <c r="N63" s="88" t="e">
        <f t="shared" si="9"/>
        <v>#REF!</v>
      </c>
      <c r="O63" s="88"/>
    </row>
    <row r="64" spans="1:15" ht="15" x14ac:dyDescent="0.25">
      <c r="C64" s="88">
        <v>0</v>
      </c>
      <c r="D64" s="88">
        <v>0.9</v>
      </c>
      <c r="E64" s="89" t="e">
        <f>IFERROR(
_xlfn.XLOOKUP(
B64,#REF!,#REF!
),
_xlfn.XLOOKUP(
A64,#REF!,#REF!
)
)</f>
        <v>#REF!</v>
      </c>
      <c r="F64" s="88" t="str">
        <f>IFERROR(
VLOOKUP(
B64,#REF!,
6,
FALSE
),
""
)</f>
        <v/>
      </c>
      <c r="G64" s="88">
        <v>0</v>
      </c>
      <c r="H64" s="88">
        <v>24</v>
      </c>
      <c r="I64" s="90" t="e">
        <f t="shared" si="5"/>
        <v>#REF!</v>
      </c>
      <c r="J64" s="91" t="e">
        <f t="shared" si="6"/>
        <v>#REF!</v>
      </c>
      <c r="K64" s="91"/>
      <c r="L64" s="88" t="e">
        <f t="shared" si="7"/>
        <v>#REF!</v>
      </c>
      <c r="M64" s="88" t="e">
        <f t="shared" si="8"/>
        <v>#REF!</v>
      </c>
      <c r="N64" s="88" t="e">
        <f t="shared" si="9"/>
        <v>#REF!</v>
      </c>
      <c r="O64" s="88"/>
    </row>
    <row r="65" spans="3:15" ht="15" x14ac:dyDescent="0.25">
      <c r="C65" s="88">
        <v>0</v>
      </c>
      <c r="D65" s="88">
        <v>0.9</v>
      </c>
      <c r="E65" s="89" t="e">
        <f>IFERROR(
_xlfn.XLOOKUP(
B65,#REF!,#REF!
),
_xlfn.XLOOKUP(
A65,#REF!,#REF!
)
)</f>
        <v>#REF!</v>
      </c>
      <c r="F65" s="88" t="str">
        <f>IFERROR(
VLOOKUP(
B65,#REF!,
6,
FALSE
),
""
)</f>
        <v/>
      </c>
      <c r="G65" s="88">
        <v>0</v>
      </c>
      <c r="H65" s="88">
        <v>24</v>
      </c>
      <c r="I65" s="90" t="e">
        <f t="shared" si="5"/>
        <v>#REF!</v>
      </c>
      <c r="J65" s="91" t="e">
        <f t="shared" si="6"/>
        <v>#REF!</v>
      </c>
      <c r="K65" s="91"/>
      <c r="L65" s="88" t="e">
        <f t="shared" si="7"/>
        <v>#REF!</v>
      </c>
      <c r="M65" s="88" t="e">
        <f t="shared" si="8"/>
        <v>#REF!</v>
      </c>
      <c r="N65" s="88" t="e">
        <f t="shared" si="9"/>
        <v>#REF!</v>
      </c>
      <c r="O65" s="88"/>
    </row>
    <row r="66" spans="3:15" ht="15" x14ac:dyDescent="0.25">
      <c r="C66" s="88">
        <v>0</v>
      </c>
      <c r="D66" s="88">
        <v>0.9</v>
      </c>
      <c r="E66" s="89" t="e">
        <f>IFERROR(
_xlfn.XLOOKUP(
B66,#REF!,#REF!
),
_xlfn.XLOOKUP(
A66,#REF!,#REF!
)
)</f>
        <v>#REF!</v>
      </c>
      <c r="F66" s="88" t="str">
        <f>IFERROR(
VLOOKUP(
B66,#REF!,
6,
FALSE
),
""
)</f>
        <v/>
      </c>
      <c r="G66" s="88">
        <v>0</v>
      </c>
      <c r="H66" s="88">
        <v>24</v>
      </c>
      <c r="I66" s="90" t="e">
        <f t="shared" si="5"/>
        <v>#REF!</v>
      </c>
      <c r="J66" s="91" t="e">
        <f t="shared" si="6"/>
        <v>#REF!</v>
      </c>
      <c r="K66" s="91"/>
      <c r="L66" s="88" t="e">
        <f t="shared" si="7"/>
        <v>#REF!</v>
      </c>
      <c r="M66" s="88" t="e">
        <f t="shared" si="8"/>
        <v>#REF!</v>
      </c>
      <c r="N66" s="88" t="e">
        <f t="shared" si="9"/>
        <v>#REF!</v>
      </c>
      <c r="O66" s="88"/>
    </row>
    <row r="67" spans="3:15" ht="15" x14ac:dyDescent="0.25">
      <c r="C67" s="88">
        <v>0</v>
      </c>
      <c r="D67" s="88">
        <v>0.9</v>
      </c>
      <c r="E67" s="89" t="e">
        <f>IFERROR(
_xlfn.XLOOKUP(
B67,#REF!,#REF!
),
_xlfn.XLOOKUP(
A67,#REF!,#REF!
)
)</f>
        <v>#REF!</v>
      </c>
      <c r="F67" s="88" t="str">
        <f>IFERROR(
VLOOKUP(
B67,#REF!,
6,
FALSE
),
""
)</f>
        <v/>
      </c>
      <c r="G67" s="88">
        <v>0</v>
      </c>
      <c r="H67" s="88">
        <v>24</v>
      </c>
      <c r="I67" s="90" t="e">
        <f t="shared" ref="I67:I130" si="10">C67+D67+E67</f>
        <v>#REF!</v>
      </c>
      <c r="J67" s="91" t="e">
        <f t="shared" ref="J67:J130" si="11">(I67+G67) / (1 - F67/100 - (1 - 1/(1 + H67/100)))</f>
        <v>#REF!</v>
      </c>
      <c r="K67" s="91"/>
      <c r="L67" s="88" t="e">
        <f t="shared" ref="L67:L130" si="12">J67 * F67 / 100</f>
        <v>#REF!</v>
      </c>
      <c r="M67" s="88" t="e">
        <f t="shared" ref="M67:M130" si="13">J67 - (J67 / (1 + H67/100))</f>
        <v>#REF!</v>
      </c>
      <c r="N67" s="88" t="e">
        <f t="shared" ref="N67:N130" si="14">J67 - L67 - M67</f>
        <v>#REF!</v>
      </c>
      <c r="O67" s="88"/>
    </row>
    <row r="68" spans="3:15" ht="15" x14ac:dyDescent="0.25">
      <c r="C68" s="88">
        <v>0</v>
      </c>
      <c r="D68" s="88">
        <v>0.9</v>
      </c>
      <c r="E68" s="89" t="e">
        <f>IFERROR(
_xlfn.XLOOKUP(
B68,#REF!,#REF!
),
_xlfn.XLOOKUP(
A68,#REF!,#REF!
)
)</f>
        <v>#REF!</v>
      </c>
      <c r="F68" s="88" t="str">
        <f>IFERROR(
VLOOKUP(
B68,#REF!,
6,
FALSE
),
""
)</f>
        <v/>
      </c>
      <c r="G68" s="88">
        <v>0</v>
      </c>
      <c r="H68" s="88">
        <v>24</v>
      </c>
      <c r="I68" s="90" t="e">
        <f t="shared" si="10"/>
        <v>#REF!</v>
      </c>
      <c r="J68" s="91" t="e">
        <f t="shared" si="11"/>
        <v>#REF!</v>
      </c>
      <c r="K68" s="91"/>
      <c r="L68" s="88" t="e">
        <f t="shared" si="12"/>
        <v>#REF!</v>
      </c>
      <c r="M68" s="88" t="e">
        <f t="shared" si="13"/>
        <v>#REF!</v>
      </c>
      <c r="N68" s="88" t="e">
        <f t="shared" si="14"/>
        <v>#REF!</v>
      </c>
      <c r="O68" s="88"/>
    </row>
    <row r="69" spans="3:15" ht="15" x14ac:dyDescent="0.25">
      <c r="C69" s="88">
        <v>0</v>
      </c>
      <c r="D69" s="88">
        <v>0.9</v>
      </c>
      <c r="E69" s="89" t="e">
        <f>IFERROR(
_xlfn.XLOOKUP(
B69,#REF!,#REF!
),
_xlfn.XLOOKUP(
A69,#REF!,#REF!
)
)</f>
        <v>#REF!</v>
      </c>
      <c r="F69" s="88" t="str">
        <f>IFERROR(
VLOOKUP(
B69,#REF!,
6,
FALSE
),
""
)</f>
        <v/>
      </c>
      <c r="G69" s="88">
        <v>0</v>
      </c>
      <c r="H69" s="88">
        <v>24</v>
      </c>
      <c r="I69" s="90" t="e">
        <f t="shared" si="10"/>
        <v>#REF!</v>
      </c>
      <c r="J69" s="91" t="e">
        <f t="shared" si="11"/>
        <v>#REF!</v>
      </c>
      <c r="K69" s="91"/>
      <c r="L69" s="88" t="e">
        <f t="shared" si="12"/>
        <v>#REF!</v>
      </c>
      <c r="M69" s="88" t="e">
        <f t="shared" si="13"/>
        <v>#REF!</v>
      </c>
      <c r="N69" s="88" t="e">
        <f t="shared" si="14"/>
        <v>#REF!</v>
      </c>
      <c r="O69" s="88"/>
    </row>
    <row r="70" spans="3:15" ht="15" x14ac:dyDescent="0.25">
      <c r="C70" s="88">
        <v>0</v>
      </c>
      <c r="D70" s="88">
        <v>0.9</v>
      </c>
      <c r="E70" s="89" t="e">
        <f>IFERROR(
_xlfn.XLOOKUP(
B70,#REF!,#REF!
),
_xlfn.XLOOKUP(
A70,#REF!,#REF!
)
)</f>
        <v>#REF!</v>
      </c>
      <c r="F70" s="88" t="str">
        <f>IFERROR(
VLOOKUP(
B70,#REF!,
6,
FALSE
),
""
)</f>
        <v/>
      </c>
      <c r="G70" s="88">
        <v>0</v>
      </c>
      <c r="H70" s="88">
        <v>24</v>
      </c>
      <c r="I70" s="90" t="e">
        <f t="shared" si="10"/>
        <v>#REF!</v>
      </c>
      <c r="J70" s="91" t="e">
        <f t="shared" si="11"/>
        <v>#REF!</v>
      </c>
      <c r="K70" s="91"/>
      <c r="L70" s="88" t="e">
        <f t="shared" si="12"/>
        <v>#REF!</v>
      </c>
      <c r="M70" s="88" t="e">
        <f t="shared" si="13"/>
        <v>#REF!</v>
      </c>
      <c r="N70" s="88" t="e">
        <f t="shared" si="14"/>
        <v>#REF!</v>
      </c>
      <c r="O70" s="88"/>
    </row>
    <row r="71" spans="3:15" ht="15" x14ac:dyDescent="0.25">
      <c r="C71" s="88">
        <v>0</v>
      </c>
      <c r="D71" s="88">
        <v>0.9</v>
      </c>
      <c r="E71" s="89" t="e">
        <f>IFERROR(
_xlfn.XLOOKUP(
B71,#REF!,#REF!
),
_xlfn.XLOOKUP(
A71,#REF!,#REF!
)
)</f>
        <v>#REF!</v>
      </c>
      <c r="F71" s="88" t="str">
        <f>IFERROR(
VLOOKUP(
B71,#REF!,
6,
FALSE
),
""
)</f>
        <v/>
      </c>
      <c r="G71" s="88">
        <v>0</v>
      </c>
      <c r="H71" s="88">
        <v>24</v>
      </c>
      <c r="I71" s="90" t="e">
        <f t="shared" si="10"/>
        <v>#REF!</v>
      </c>
      <c r="J71" s="91" t="e">
        <f t="shared" si="11"/>
        <v>#REF!</v>
      </c>
      <c r="K71" s="91"/>
      <c r="L71" s="88" t="e">
        <f t="shared" si="12"/>
        <v>#REF!</v>
      </c>
      <c r="M71" s="88" t="e">
        <f t="shared" si="13"/>
        <v>#REF!</v>
      </c>
      <c r="N71" s="88" t="e">
        <f t="shared" si="14"/>
        <v>#REF!</v>
      </c>
      <c r="O71" s="88"/>
    </row>
    <row r="72" spans="3:15" ht="15" x14ac:dyDescent="0.25">
      <c r="C72" s="88">
        <v>0</v>
      </c>
      <c r="D72" s="88">
        <v>0.9</v>
      </c>
      <c r="E72" s="89" t="e">
        <f>IFERROR(
_xlfn.XLOOKUP(
B72,#REF!,#REF!
),
_xlfn.XLOOKUP(
A72,#REF!,#REF!
)
)</f>
        <v>#REF!</v>
      </c>
      <c r="F72" s="88" t="str">
        <f>IFERROR(
VLOOKUP(
B72,#REF!,
6,
FALSE
),
""
)</f>
        <v/>
      </c>
      <c r="G72" s="88">
        <v>0</v>
      </c>
      <c r="H72" s="88">
        <v>24</v>
      </c>
      <c r="I72" s="90" t="e">
        <f t="shared" si="10"/>
        <v>#REF!</v>
      </c>
      <c r="J72" s="91" t="e">
        <f t="shared" si="11"/>
        <v>#REF!</v>
      </c>
      <c r="K72" s="91"/>
      <c r="L72" s="88" t="e">
        <f t="shared" si="12"/>
        <v>#REF!</v>
      </c>
      <c r="M72" s="88" t="e">
        <f t="shared" si="13"/>
        <v>#REF!</v>
      </c>
      <c r="N72" s="88" t="e">
        <f t="shared" si="14"/>
        <v>#REF!</v>
      </c>
      <c r="O72" s="88"/>
    </row>
    <row r="73" spans="3:15" ht="15" x14ac:dyDescent="0.25">
      <c r="C73" s="88">
        <v>0</v>
      </c>
      <c r="D73" s="88">
        <v>0.9</v>
      </c>
      <c r="E73" s="89" t="e">
        <f>IFERROR(
_xlfn.XLOOKUP(
B73,#REF!,#REF!
),
_xlfn.XLOOKUP(
A73,#REF!,#REF!
)
)</f>
        <v>#REF!</v>
      </c>
      <c r="F73" s="88" t="str">
        <f>IFERROR(
VLOOKUP(
B73,#REF!,
6,
FALSE
),
""
)</f>
        <v/>
      </c>
      <c r="G73" s="88">
        <v>0</v>
      </c>
      <c r="H73" s="88">
        <v>24</v>
      </c>
      <c r="I73" s="90" t="e">
        <f t="shared" si="10"/>
        <v>#REF!</v>
      </c>
      <c r="J73" s="91" t="e">
        <f t="shared" si="11"/>
        <v>#REF!</v>
      </c>
      <c r="K73" s="91"/>
      <c r="L73" s="88" t="e">
        <f t="shared" si="12"/>
        <v>#REF!</v>
      </c>
      <c r="M73" s="88" t="e">
        <f t="shared" si="13"/>
        <v>#REF!</v>
      </c>
      <c r="N73" s="88" t="e">
        <f t="shared" si="14"/>
        <v>#REF!</v>
      </c>
      <c r="O73" s="88"/>
    </row>
    <row r="74" spans="3:15" ht="15" x14ac:dyDescent="0.25">
      <c r="C74" s="88">
        <v>0</v>
      </c>
      <c r="D74" s="88">
        <v>0.9</v>
      </c>
      <c r="E74" s="89" t="e">
        <f>IFERROR(
_xlfn.XLOOKUP(
B74,#REF!,#REF!
),
_xlfn.XLOOKUP(
A74,#REF!,#REF!
)
)</f>
        <v>#REF!</v>
      </c>
      <c r="F74" s="88" t="str">
        <f>IFERROR(
VLOOKUP(
B74,#REF!,
6,
FALSE
),
""
)</f>
        <v/>
      </c>
      <c r="G74" s="88">
        <v>0</v>
      </c>
      <c r="H74" s="88">
        <v>24</v>
      </c>
      <c r="I74" s="90" t="e">
        <f t="shared" si="10"/>
        <v>#REF!</v>
      </c>
      <c r="J74" s="91" t="e">
        <f t="shared" si="11"/>
        <v>#REF!</v>
      </c>
      <c r="K74" s="91"/>
      <c r="L74" s="88" t="e">
        <f t="shared" si="12"/>
        <v>#REF!</v>
      </c>
      <c r="M74" s="88" t="e">
        <f t="shared" si="13"/>
        <v>#REF!</v>
      </c>
      <c r="N74" s="88" t="e">
        <f t="shared" si="14"/>
        <v>#REF!</v>
      </c>
      <c r="O74" s="88"/>
    </row>
    <row r="75" spans="3:15" ht="15" x14ac:dyDescent="0.25">
      <c r="C75" s="88">
        <v>0</v>
      </c>
      <c r="D75" s="88">
        <v>0.9</v>
      </c>
      <c r="E75" s="89" t="e">
        <f>IFERROR(
_xlfn.XLOOKUP(
B75,#REF!,#REF!
),
_xlfn.XLOOKUP(
A75,#REF!,#REF!
)
)</f>
        <v>#REF!</v>
      </c>
      <c r="F75" s="88" t="str">
        <f>IFERROR(
VLOOKUP(
B75,#REF!,
6,
FALSE
),
""
)</f>
        <v/>
      </c>
      <c r="G75" s="88">
        <v>0</v>
      </c>
      <c r="H75" s="88">
        <v>24</v>
      </c>
      <c r="I75" s="90" t="e">
        <f t="shared" si="10"/>
        <v>#REF!</v>
      </c>
      <c r="J75" s="91" t="e">
        <f t="shared" si="11"/>
        <v>#REF!</v>
      </c>
      <c r="K75" s="91"/>
      <c r="L75" s="88" t="e">
        <f t="shared" si="12"/>
        <v>#REF!</v>
      </c>
      <c r="M75" s="88" t="e">
        <f t="shared" si="13"/>
        <v>#REF!</v>
      </c>
      <c r="N75" s="88" t="e">
        <f t="shared" si="14"/>
        <v>#REF!</v>
      </c>
      <c r="O75" s="88"/>
    </row>
    <row r="76" spans="3:15" ht="15" x14ac:dyDescent="0.25">
      <c r="C76" s="88">
        <v>0</v>
      </c>
      <c r="D76" s="88">
        <v>0.9</v>
      </c>
      <c r="E76" s="89" t="e">
        <f>IFERROR(
_xlfn.XLOOKUP(
B76,#REF!,#REF!
),
_xlfn.XLOOKUP(
A76,#REF!,#REF!
)
)</f>
        <v>#REF!</v>
      </c>
      <c r="F76" s="88" t="str">
        <f>IFERROR(
VLOOKUP(
B76,#REF!,
6,
FALSE
),
""
)</f>
        <v/>
      </c>
      <c r="G76" s="88">
        <v>0</v>
      </c>
      <c r="H76" s="88">
        <v>24</v>
      </c>
      <c r="I76" s="90" t="e">
        <f t="shared" si="10"/>
        <v>#REF!</v>
      </c>
      <c r="J76" s="91" t="e">
        <f t="shared" si="11"/>
        <v>#REF!</v>
      </c>
      <c r="K76" s="91"/>
      <c r="L76" s="88" t="e">
        <f t="shared" si="12"/>
        <v>#REF!</v>
      </c>
      <c r="M76" s="88" t="e">
        <f t="shared" si="13"/>
        <v>#REF!</v>
      </c>
      <c r="N76" s="88" t="e">
        <f t="shared" si="14"/>
        <v>#REF!</v>
      </c>
      <c r="O76" s="88"/>
    </row>
    <row r="77" spans="3:15" ht="15" x14ac:dyDescent="0.25">
      <c r="C77" s="88">
        <v>0</v>
      </c>
      <c r="D77" s="88">
        <v>0.9</v>
      </c>
      <c r="E77" s="89" t="e">
        <f>IFERROR(
_xlfn.XLOOKUP(
B77,#REF!,#REF!
),
_xlfn.XLOOKUP(
A77,#REF!,#REF!
)
)</f>
        <v>#REF!</v>
      </c>
      <c r="F77" s="88" t="str">
        <f>IFERROR(
VLOOKUP(
B77,#REF!,
6,
FALSE
),
""
)</f>
        <v/>
      </c>
      <c r="G77" s="88">
        <v>0</v>
      </c>
      <c r="H77" s="88">
        <v>24</v>
      </c>
      <c r="I77" s="90" t="e">
        <f t="shared" si="10"/>
        <v>#REF!</v>
      </c>
      <c r="J77" s="91" t="e">
        <f t="shared" si="11"/>
        <v>#REF!</v>
      </c>
      <c r="K77" s="91"/>
      <c r="L77" s="88" t="e">
        <f t="shared" si="12"/>
        <v>#REF!</v>
      </c>
      <c r="M77" s="88" t="e">
        <f t="shared" si="13"/>
        <v>#REF!</v>
      </c>
      <c r="N77" s="88" t="e">
        <f t="shared" si="14"/>
        <v>#REF!</v>
      </c>
      <c r="O77" s="88"/>
    </row>
    <row r="78" spans="3:15" ht="15" x14ac:dyDescent="0.25">
      <c r="C78" s="88">
        <v>0</v>
      </c>
      <c r="D78" s="88">
        <v>0.9</v>
      </c>
      <c r="E78" s="89" t="e">
        <f>IFERROR(
_xlfn.XLOOKUP(
B78,#REF!,#REF!
),
_xlfn.XLOOKUP(
A78,#REF!,#REF!
)
)</f>
        <v>#REF!</v>
      </c>
      <c r="F78" s="88" t="str">
        <f>IFERROR(
VLOOKUP(
B78,#REF!,
6,
FALSE
),
""
)</f>
        <v/>
      </c>
      <c r="G78" s="88">
        <v>0</v>
      </c>
      <c r="H78" s="88">
        <v>24</v>
      </c>
      <c r="I78" s="90" t="e">
        <f t="shared" si="10"/>
        <v>#REF!</v>
      </c>
      <c r="J78" s="91" t="e">
        <f t="shared" si="11"/>
        <v>#REF!</v>
      </c>
      <c r="K78" s="91"/>
      <c r="L78" s="88" t="e">
        <f t="shared" si="12"/>
        <v>#REF!</v>
      </c>
      <c r="M78" s="88" t="e">
        <f t="shared" si="13"/>
        <v>#REF!</v>
      </c>
      <c r="N78" s="88" t="e">
        <f t="shared" si="14"/>
        <v>#REF!</v>
      </c>
      <c r="O78" s="88"/>
    </row>
    <row r="79" spans="3:15" ht="15" x14ac:dyDescent="0.25">
      <c r="C79" s="88">
        <v>0</v>
      </c>
      <c r="D79" s="88">
        <v>0.9</v>
      </c>
      <c r="E79" s="89" t="e">
        <f>IFERROR(
_xlfn.XLOOKUP(
B79,#REF!,#REF!
),
_xlfn.XLOOKUP(
A79,#REF!,#REF!
)
)</f>
        <v>#REF!</v>
      </c>
      <c r="F79" s="88" t="str">
        <f>IFERROR(
VLOOKUP(
B79,#REF!,
6,
FALSE
),
""
)</f>
        <v/>
      </c>
      <c r="G79" s="88">
        <v>0</v>
      </c>
      <c r="H79" s="88">
        <v>24</v>
      </c>
      <c r="I79" s="90" t="e">
        <f t="shared" si="10"/>
        <v>#REF!</v>
      </c>
      <c r="J79" s="91" t="e">
        <f t="shared" si="11"/>
        <v>#REF!</v>
      </c>
      <c r="K79" s="91"/>
      <c r="L79" s="88" t="e">
        <f t="shared" si="12"/>
        <v>#REF!</v>
      </c>
      <c r="M79" s="88" t="e">
        <f t="shared" si="13"/>
        <v>#REF!</v>
      </c>
      <c r="N79" s="88" t="e">
        <f t="shared" si="14"/>
        <v>#REF!</v>
      </c>
      <c r="O79" s="88"/>
    </row>
    <row r="80" spans="3:15" ht="15" x14ac:dyDescent="0.25">
      <c r="C80" s="88">
        <v>0</v>
      </c>
      <c r="D80" s="88">
        <v>0.9</v>
      </c>
      <c r="E80" s="89" t="e">
        <f>IFERROR(
_xlfn.XLOOKUP(
B80,#REF!,#REF!
),
_xlfn.XLOOKUP(
A80,#REF!,#REF!
)
)</f>
        <v>#REF!</v>
      </c>
      <c r="F80" s="88" t="str">
        <f>IFERROR(
VLOOKUP(
B80,#REF!,
6,
FALSE
),
""
)</f>
        <v/>
      </c>
      <c r="G80" s="88">
        <v>0</v>
      </c>
      <c r="H80" s="88">
        <v>24</v>
      </c>
      <c r="I80" s="90" t="e">
        <f t="shared" si="10"/>
        <v>#REF!</v>
      </c>
      <c r="J80" s="91" t="e">
        <f t="shared" si="11"/>
        <v>#REF!</v>
      </c>
      <c r="K80" s="91"/>
      <c r="L80" s="88" t="e">
        <f t="shared" si="12"/>
        <v>#REF!</v>
      </c>
      <c r="M80" s="88" t="e">
        <f t="shared" si="13"/>
        <v>#REF!</v>
      </c>
      <c r="N80" s="88" t="e">
        <f t="shared" si="14"/>
        <v>#REF!</v>
      </c>
      <c r="O80" s="88"/>
    </row>
    <row r="81" spans="3:15" ht="15" x14ac:dyDescent="0.25">
      <c r="C81" s="88">
        <v>0</v>
      </c>
      <c r="D81" s="88">
        <v>0.9</v>
      </c>
      <c r="E81" s="89" t="e">
        <f>IFERROR(
_xlfn.XLOOKUP(
B81,#REF!,#REF!
),
_xlfn.XLOOKUP(
A81,#REF!,#REF!
)
)</f>
        <v>#REF!</v>
      </c>
      <c r="F81" s="88" t="str">
        <f>IFERROR(
VLOOKUP(
B81,#REF!,
6,
FALSE
),
""
)</f>
        <v/>
      </c>
      <c r="G81" s="88">
        <v>0</v>
      </c>
      <c r="H81" s="88">
        <v>24</v>
      </c>
      <c r="I81" s="90" t="e">
        <f t="shared" si="10"/>
        <v>#REF!</v>
      </c>
      <c r="J81" s="91" t="e">
        <f t="shared" si="11"/>
        <v>#REF!</v>
      </c>
      <c r="K81" s="91"/>
      <c r="L81" s="88" t="e">
        <f t="shared" si="12"/>
        <v>#REF!</v>
      </c>
      <c r="M81" s="88" t="e">
        <f t="shared" si="13"/>
        <v>#REF!</v>
      </c>
      <c r="N81" s="88" t="e">
        <f t="shared" si="14"/>
        <v>#REF!</v>
      </c>
      <c r="O81" s="88"/>
    </row>
    <row r="82" spans="3:15" ht="15" x14ac:dyDescent="0.25">
      <c r="C82" s="88">
        <v>0</v>
      </c>
      <c r="D82" s="88">
        <v>0.9</v>
      </c>
      <c r="E82" s="89" t="e">
        <f>IFERROR(
_xlfn.XLOOKUP(
B82,#REF!,#REF!
),
_xlfn.XLOOKUP(
A82,#REF!,#REF!
)
)</f>
        <v>#REF!</v>
      </c>
      <c r="F82" s="88" t="str">
        <f>IFERROR(
VLOOKUP(
B82,#REF!,
6,
FALSE
),
""
)</f>
        <v/>
      </c>
      <c r="G82" s="88">
        <v>0</v>
      </c>
      <c r="H82" s="88">
        <v>24</v>
      </c>
      <c r="I82" s="90" t="e">
        <f t="shared" si="10"/>
        <v>#REF!</v>
      </c>
      <c r="J82" s="91" t="e">
        <f t="shared" si="11"/>
        <v>#REF!</v>
      </c>
      <c r="K82" s="91"/>
      <c r="L82" s="88" t="e">
        <f t="shared" si="12"/>
        <v>#REF!</v>
      </c>
      <c r="M82" s="88" t="e">
        <f t="shared" si="13"/>
        <v>#REF!</v>
      </c>
      <c r="N82" s="88" t="e">
        <f t="shared" si="14"/>
        <v>#REF!</v>
      </c>
      <c r="O82" s="88"/>
    </row>
    <row r="83" spans="3:15" ht="15" x14ac:dyDescent="0.25">
      <c r="C83" s="88">
        <v>0</v>
      </c>
      <c r="D83" s="88">
        <v>0.9</v>
      </c>
      <c r="E83" s="89" t="e">
        <f>IFERROR(
_xlfn.XLOOKUP(
B83,#REF!,#REF!
),
_xlfn.XLOOKUP(
A83,#REF!,#REF!
)
)</f>
        <v>#REF!</v>
      </c>
      <c r="F83" s="88" t="str">
        <f>IFERROR(
VLOOKUP(
B83,#REF!,
6,
FALSE
),
""
)</f>
        <v/>
      </c>
      <c r="G83" s="88">
        <v>0</v>
      </c>
      <c r="H83" s="88">
        <v>24</v>
      </c>
      <c r="I83" s="90" t="e">
        <f t="shared" si="10"/>
        <v>#REF!</v>
      </c>
      <c r="J83" s="91" t="e">
        <f t="shared" si="11"/>
        <v>#REF!</v>
      </c>
      <c r="K83" s="91"/>
      <c r="L83" s="88" t="e">
        <f t="shared" si="12"/>
        <v>#REF!</v>
      </c>
      <c r="M83" s="88" t="e">
        <f t="shared" si="13"/>
        <v>#REF!</v>
      </c>
      <c r="N83" s="88" t="e">
        <f t="shared" si="14"/>
        <v>#REF!</v>
      </c>
      <c r="O83" s="88"/>
    </row>
    <row r="84" spans="3:15" ht="15" x14ac:dyDescent="0.25">
      <c r="C84" s="88">
        <v>0</v>
      </c>
      <c r="D84" s="88">
        <v>0.9</v>
      </c>
      <c r="E84" s="89" t="e">
        <f>IFERROR(
_xlfn.XLOOKUP(
B84,#REF!,#REF!
),
_xlfn.XLOOKUP(
A84,#REF!,#REF!
)
)</f>
        <v>#REF!</v>
      </c>
      <c r="F84" s="88" t="str">
        <f>IFERROR(
VLOOKUP(
B84,#REF!,
6,
FALSE
),
""
)</f>
        <v/>
      </c>
      <c r="G84" s="88">
        <v>0</v>
      </c>
      <c r="H84" s="88">
        <v>24</v>
      </c>
      <c r="I84" s="90" t="e">
        <f t="shared" si="10"/>
        <v>#REF!</v>
      </c>
      <c r="J84" s="91" t="e">
        <f t="shared" si="11"/>
        <v>#REF!</v>
      </c>
      <c r="K84" s="91"/>
      <c r="L84" s="88" t="e">
        <f t="shared" si="12"/>
        <v>#REF!</v>
      </c>
      <c r="M84" s="88" t="e">
        <f t="shared" si="13"/>
        <v>#REF!</v>
      </c>
      <c r="N84" s="88" t="e">
        <f t="shared" si="14"/>
        <v>#REF!</v>
      </c>
      <c r="O84" s="88"/>
    </row>
    <row r="85" spans="3:15" ht="15" x14ac:dyDescent="0.25">
      <c r="C85" s="88">
        <v>0</v>
      </c>
      <c r="D85" s="88">
        <v>0.9</v>
      </c>
      <c r="E85" s="89" t="e">
        <f>IFERROR(
_xlfn.XLOOKUP(
B85,#REF!,#REF!
),
_xlfn.XLOOKUP(
A85,#REF!,#REF!
)
)</f>
        <v>#REF!</v>
      </c>
      <c r="F85" s="88" t="str">
        <f>IFERROR(
VLOOKUP(
B85,#REF!,
6,
FALSE
),
""
)</f>
        <v/>
      </c>
      <c r="G85" s="88">
        <v>0</v>
      </c>
      <c r="H85" s="88">
        <v>24</v>
      </c>
      <c r="I85" s="90" t="e">
        <f t="shared" si="10"/>
        <v>#REF!</v>
      </c>
      <c r="J85" s="91" t="e">
        <f t="shared" si="11"/>
        <v>#REF!</v>
      </c>
      <c r="K85" s="91"/>
      <c r="L85" s="88" t="e">
        <f t="shared" si="12"/>
        <v>#REF!</v>
      </c>
      <c r="M85" s="88" t="e">
        <f t="shared" si="13"/>
        <v>#REF!</v>
      </c>
      <c r="N85" s="88" t="e">
        <f t="shared" si="14"/>
        <v>#REF!</v>
      </c>
      <c r="O85" s="88"/>
    </row>
    <row r="86" spans="3:15" ht="15" x14ac:dyDescent="0.25">
      <c r="C86" s="88">
        <v>0</v>
      </c>
      <c r="D86" s="88">
        <v>0.9</v>
      </c>
      <c r="E86" s="89" t="e">
        <f>IFERROR(
_xlfn.XLOOKUP(
B86,#REF!,#REF!
),
_xlfn.XLOOKUP(
A86,#REF!,#REF!
)
)</f>
        <v>#REF!</v>
      </c>
      <c r="F86" s="88" t="str">
        <f>IFERROR(
VLOOKUP(
B86,#REF!,
6,
FALSE
),
""
)</f>
        <v/>
      </c>
      <c r="G86" s="88">
        <v>0</v>
      </c>
      <c r="H86" s="88">
        <v>24</v>
      </c>
      <c r="I86" s="90" t="e">
        <f t="shared" si="10"/>
        <v>#REF!</v>
      </c>
      <c r="J86" s="91" t="e">
        <f t="shared" si="11"/>
        <v>#REF!</v>
      </c>
      <c r="K86" s="91"/>
      <c r="L86" s="88" t="e">
        <f t="shared" si="12"/>
        <v>#REF!</v>
      </c>
      <c r="M86" s="88" t="e">
        <f t="shared" si="13"/>
        <v>#REF!</v>
      </c>
      <c r="N86" s="88" t="e">
        <f t="shared" si="14"/>
        <v>#REF!</v>
      </c>
      <c r="O86" s="88"/>
    </row>
    <row r="87" spans="3:15" ht="15" x14ac:dyDescent="0.25">
      <c r="C87" s="88">
        <v>0</v>
      </c>
      <c r="D87" s="88">
        <v>0.9</v>
      </c>
      <c r="E87" s="89" t="e">
        <f>IFERROR(
_xlfn.XLOOKUP(
B87,#REF!,#REF!
),
_xlfn.XLOOKUP(
A87,#REF!,#REF!
)
)</f>
        <v>#REF!</v>
      </c>
      <c r="F87" s="88" t="str">
        <f>IFERROR(
VLOOKUP(
B87,#REF!,
6,
FALSE
),
""
)</f>
        <v/>
      </c>
      <c r="G87" s="88">
        <v>0</v>
      </c>
      <c r="H87" s="88">
        <v>24</v>
      </c>
      <c r="I87" s="90" t="e">
        <f t="shared" si="10"/>
        <v>#REF!</v>
      </c>
      <c r="J87" s="91" t="e">
        <f t="shared" si="11"/>
        <v>#REF!</v>
      </c>
      <c r="K87" s="91"/>
      <c r="L87" s="88" t="e">
        <f t="shared" si="12"/>
        <v>#REF!</v>
      </c>
      <c r="M87" s="88" t="e">
        <f t="shared" si="13"/>
        <v>#REF!</v>
      </c>
      <c r="N87" s="88" t="e">
        <f t="shared" si="14"/>
        <v>#REF!</v>
      </c>
      <c r="O87" s="88"/>
    </row>
    <row r="88" spans="3:15" ht="15" x14ac:dyDescent="0.25">
      <c r="C88" s="88">
        <v>0</v>
      </c>
      <c r="D88" s="88">
        <v>0.9</v>
      </c>
      <c r="E88" s="89" t="e">
        <f>IFERROR(
_xlfn.XLOOKUP(
B88,#REF!,#REF!
),
_xlfn.XLOOKUP(
A88,#REF!,#REF!
)
)</f>
        <v>#REF!</v>
      </c>
      <c r="F88" s="88" t="str">
        <f>IFERROR(
VLOOKUP(
B88,#REF!,
6,
FALSE
),
""
)</f>
        <v/>
      </c>
      <c r="G88" s="88">
        <v>0</v>
      </c>
      <c r="H88" s="88">
        <v>24</v>
      </c>
      <c r="I88" s="90" t="e">
        <f t="shared" si="10"/>
        <v>#REF!</v>
      </c>
      <c r="J88" s="91" t="e">
        <f t="shared" si="11"/>
        <v>#REF!</v>
      </c>
      <c r="K88" s="91"/>
      <c r="L88" s="88" t="e">
        <f t="shared" si="12"/>
        <v>#REF!</v>
      </c>
      <c r="M88" s="88" t="e">
        <f t="shared" si="13"/>
        <v>#REF!</v>
      </c>
      <c r="N88" s="88" t="e">
        <f t="shared" si="14"/>
        <v>#REF!</v>
      </c>
      <c r="O88" s="88"/>
    </row>
    <row r="89" spans="3:15" ht="15" x14ac:dyDescent="0.25">
      <c r="C89" s="88">
        <v>0</v>
      </c>
      <c r="D89" s="88">
        <v>0.9</v>
      </c>
      <c r="E89" s="89" t="e">
        <f>IFERROR(
_xlfn.XLOOKUP(
B89,#REF!,#REF!
),
_xlfn.XLOOKUP(
A89,#REF!,#REF!
)
)</f>
        <v>#REF!</v>
      </c>
      <c r="F89" s="88" t="str">
        <f>IFERROR(
VLOOKUP(
B89,#REF!,
6,
FALSE
),
""
)</f>
        <v/>
      </c>
      <c r="G89" s="88">
        <v>0</v>
      </c>
      <c r="H89" s="88">
        <v>24</v>
      </c>
      <c r="I89" s="90" t="e">
        <f t="shared" si="10"/>
        <v>#REF!</v>
      </c>
      <c r="J89" s="91" t="e">
        <f t="shared" si="11"/>
        <v>#REF!</v>
      </c>
      <c r="K89" s="91"/>
      <c r="L89" s="88" t="e">
        <f t="shared" si="12"/>
        <v>#REF!</v>
      </c>
      <c r="M89" s="88" t="e">
        <f t="shared" si="13"/>
        <v>#REF!</v>
      </c>
      <c r="N89" s="88" t="e">
        <f t="shared" si="14"/>
        <v>#REF!</v>
      </c>
      <c r="O89" s="88"/>
    </row>
    <row r="90" spans="3:15" ht="15" x14ac:dyDescent="0.25">
      <c r="C90" s="88">
        <v>0</v>
      </c>
      <c r="D90" s="88">
        <v>0.9</v>
      </c>
      <c r="E90" s="89" t="e">
        <f>IFERROR(
_xlfn.XLOOKUP(
B90,#REF!,#REF!
),
_xlfn.XLOOKUP(
A90,#REF!,#REF!
)
)</f>
        <v>#REF!</v>
      </c>
      <c r="F90" s="88" t="str">
        <f>IFERROR(
VLOOKUP(
B90,#REF!,
6,
FALSE
),
""
)</f>
        <v/>
      </c>
      <c r="G90" s="88">
        <v>0</v>
      </c>
      <c r="H90" s="88">
        <v>24</v>
      </c>
      <c r="I90" s="90" t="e">
        <f t="shared" si="10"/>
        <v>#REF!</v>
      </c>
      <c r="J90" s="91" t="e">
        <f t="shared" si="11"/>
        <v>#REF!</v>
      </c>
      <c r="K90" s="91"/>
      <c r="L90" s="88" t="e">
        <f t="shared" si="12"/>
        <v>#REF!</v>
      </c>
      <c r="M90" s="88" t="e">
        <f t="shared" si="13"/>
        <v>#REF!</v>
      </c>
      <c r="N90" s="88" t="e">
        <f t="shared" si="14"/>
        <v>#REF!</v>
      </c>
      <c r="O90" s="88"/>
    </row>
    <row r="91" spans="3:15" ht="15" x14ac:dyDescent="0.25">
      <c r="C91" s="88">
        <v>0</v>
      </c>
      <c r="D91" s="88">
        <v>0.9</v>
      </c>
      <c r="E91" s="89" t="e">
        <f>IFERROR(
_xlfn.XLOOKUP(
B91,#REF!,#REF!
),
_xlfn.XLOOKUP(
A91,#REF!,#REF!
)
)</f>
        <v>#REF!</v>
      </c>
      <c r="F91" s="88" t="str">
        <f>IFERROR(
VLOOKUP(
B91,#REF!,
6,
FALSE
),
""
)</f>
        <v/>
      </c>
      <c r="G91" s="88">
        <v>0</v>
      </c>
      <c r="H91" s="88">
        <v>24</v>
      </c>
      <c r="I91" s="90" t="e">
        <f t="shared" si="10"/>
        <v>#REF!</v>
      </c>
      <c r="J91" s="91" t="e">
        <f t="shared" si="11"/>
        <v>#REF!</v>
      </c>
      <c r="K91" s="91"/>
      <c r="L91" s="88" t="e">
        <f t="shared" si="12"/>
        <v>#REF!</v>
      </c>
      <c r="M91" s="88" t="e">
        <f t="shared" si="13"/>
        <v>#REF!</v>
      </c>
      <c r="N91" s="88" t="e">
        <f t="shared" si="14"/>
        <v>#REF!</v>
      </c>
      <c r="O91" s="88"/>
    </row>
    <row r="92" spans="3:15" ht="15" x14ac:dyDescent="0.25">
      <c r="C92" s="88">
        <v>0</v>
      </c>
      <c r="D92" s="88">
        <v>0.9</v>
      </c>
      <c r="E92" s="89" t="e">
        <f>IFERROR(
_xlfn.XLOOKUP(
B92,#REF!,#REF!
),
_xlfn.XLOOKUP(
A92,#REF!,#REF!
)
)</f>
        <v>#REF!</v>
      </c>
      <c r="F92" s="88" t="str">
        <f>IFERROR(
VLOOKUP(
B92,#REF!,
6,
FALSE
),
""
)</f>
        <v/>
      </c>
      <c r="G92" s="88">
        <v>0</v>
      </c>
      <c r="H92" s="88">
        <v>24</v>
      </c>
      <c r="I92" s="90" t="e">
        <f t="shared" si="10"/>
        <v>#REF!</v>
      </c>
      <c r="J92" s="91" t="e">
        <f t="shared" si="11"/>
        <v>#REF!</v>
      </c>
      <c r="K92" s="91"/>
      <c r="L92" s="88" t="e">
        <f t="shared" si="12"/>
        <v>#REF!</v>
      </c>
      <c r="M92" s="88" t="e">
        <f t="shared" si="13"/>
        <v>#REF!</v>
      </c>
      <c r="N92" s="88" t="e">
        <f t="shared" si="14"/>
        <v>#REF!</v>
      </c>
      <c r="O92" s="88"/>
    </row>
    <row r="93" spans="3:15" ht="15" x14ac:dyDescent="0.25">
      <c r="C93" s="88">
        <v>0</v>
      </c>
      <c r="D93" s="88">
        <v>0.9</v>
      </c>
      <c r="E93" s="89" t="e">
        <f>IFERROR(
_xlfn.XLOOKUP(
B93,#REF!,#REF!
),
_xlfn.XLOOKUP(
A93,#REF!,#REF!
)
)</f>
        <v>#REF!</v>
      </c>
      <c r="F93" s="88" t="str">
        <f>IFERROR(
VLOOKUP(
B93,#REF!,
6,
FALSE
),
""
)</f>
        <v/>
      </c>
      <c r="G93" s="88">
        <v>0</v>
      </c>
      <c r="H93" s="88">
        <v>24</v>
      </c>
      <c r="I93" s="90" t="e">
        <f t="shared" si="10"/>
        <v>#REF!</v>
      </c>
      <c r="J93" s="91" t="e">
        <f t="shared" si="11"/>
        <v>#REF!</v>
      </c>
      <c r="K93" s="91"/>
      <c r="L93" s="88" t="e">
        <f t="shared" si="12"/>
        <v>#REF!</v>
      </c>
      <c r="M93" s="88" t="e">
        <f t="shared" si="13"/>
        <v>#REF!</v>
      </c>
      <c r="N93" s="88" t="e">
        <f t="shared" si="14"/>
        <v>#REF!</v>
      </c>
      <c r="O93" s="88"/>
    </row>
    <row r="94" spans="3:15" ht="15" x14ac:dyDescent="0.25">
      <c r="C94" s="88">
        <v>0</v>
      </c>
      <c r="D94" s="88">
        <v>0.9</v>
      </c>
      <c r="E94" s="89" t="e">
        <f>IFERROR(
_xlfn.XLOOKUP(
B94,#REF!,#REF!
),
_xlfn.XLOOKUP(
A94,#REF!,#REF!
)
)</f>
        <v>#REF!</v>
      </c>
      <c r="F94" s="88" t="str">
        <f>IFERROR(
VLOOKUP(
B94,#REF!,
6,
FALSE
),
""
)</f>
        <v/>
      </c>
      <c r="G94" s="88">
        <v>0</v>
      </c>
      <c r="H94" s="88">
        <v>24</v>
      </c>
      <c r="I94" s="90" t="e">
        <f t="shared" si="10"/>
        <v>#REF!</v>
      </c>
      <c r="J94" s="91" t="e">
        <f t="shared" si="11"/>
        <v>#REF!</v>
      </c>
      <c r="K94" s="91"/>
      <c r="L94" s="88" t="e">
        <f t="shared" si="12"/>
        <v>#REF!</v>
      </c>
      <c r="M94" s="88" t="e">
        <f t="shared" si="13"/>
        <v>#REF!</v>
      </c>
      <c r="N94" s="88" t="e">
        <f t="shared" si="14"/>
        <v>#REF!</v>
      </c>
      <c r="O94" s="88"/>
    </row>
    <row r="95" spans="3:15" ht="15" x14ac:dyDescent="0.25">
      <c r="C95" s="88">
        <v>0</v>
      </c>
      <c r="D95" s="88">
        <v>0.9</v>
      </c>
      <c r="E95" s="89" t="e">
        <f>IFERROR(
_xlfn.XLOOKUP(
B95,#REF!,#REF!
),
_xlfn.XLOOKUP(
A95,#REF!,#REF!
)
)</f>
        <v>#REF!</v>
      </c>
      <c r="F95" s="88" t="str">
        <f>IFERROR(
VLOOKUP(
B95,#REF!,
6,
FALSE
),
""
)</f>
        <v/>
      </c>
      <c r="G95" s="88">
        <v>0</v>
      </c>
      <c r="H95" s="88">
        <v>24</v>
      </c>
      <c r="I95" s="90" t="e">
        <f t="shared" si="10"/>
        <v>#REF!</v>
      </c>
      <c r="J95" s="91" t="e">
        <f t="shared" si="11"/>
        <v>#REF!</v>
      </c>
      <c r="K95" s="91"/>
      <c r="L95" s="88" t="e">
        <f t="shared" si="12"/>
        <v>#REF!</v>
      </c>
      <c r="M95" s="88" t="e">
        <f t="shared" si="13"/>
        <v>#REF!</v>
      </c>
      <c r="N95" s="88" t="e">
        <f t="shared" si="14"/>
        <v>#REF!</v>
      </c>
      <c r="O95" s="88"/>
    </row>
    <row r="96" spans="3:15" ht="15" x14ac:dyDescent="0.25">
      <c r="C96" s="88">
        <v>0</v>
      </c>
      <c r="D96" s="88">
        <v>0.9</v>
      </c>
      <c r="E96" s="89" t="e">
        <f>IFERROR(
_xlfn.XLOOKUP(
B96,#REF!,#REF!
),
_xlfn.XLOOKUP(
A96,#REF!,#REF!
)
)</f>
        <v>#REF!</v>
      </c>
      <c r="F96" s="88" t="str">
        <f>IFERROR(
VLOOKUP(
B96,#REF!,
6,
FALSE
),
""
)</f>
        <v/>
      </c>
      <c r="G96" s="88">
        <v>0</v>
      </c>
      <c r="H96" s="88">
        <v>24</v>
      </c>
      <c r="I96" s="90" t="e">
        <f t="shared" si="10"/>
        <v>#REF!</v>
      </c>
      <c r="J96" s="91" t="e">
        <f t="shared" si="11"/>
        <v>#REF!</v>
      </c>
      <c r="K96" s="91"/>
      <c r="L96" s="88" t="e">
        <f t="shared" si="12"/>
        <v>#REF!</v>
      </c>
      <c r="M96" s="88" t="e">
        <f t="shared" si="13"/>
        <v>#REF!</v>
      </c>
      <c r="N96" s="88" t="e">
        <f t="shared" si="14"/>
        <v>#REF!</v>
      </c>
      <c r="O96" s="88"/>
    </row>
    <row r="97" spans="3:15" ht="15" x14ac:dyDescent="0.25">
      <c r="C97" s="88">
        <v>0</v>
      </c>
      <c r="D97" s="88">
        <v>0.9</v>
      </c>
      <c r="E97" s="89" t="e">
        <f>IFERROR(
_xlfn.XLOOKUP(
B97,#REF!,#REF!
),
_xlfn.XLOOKUP(
A97,#REF!,#REF!
)
)</f>
        <v>#REF!</v>
      </c>
      <c r="F97" s="88" t="str">
        <f>IFERROR(
VLOOKUP(
B97,#REF!,
6,
FALSE
),
""
)</f>
        <v/>
      </c>
      <c r="G97" s="88">
        <v>0</v>
      </c>
      <c r="H97" s="88">
        <v>24</v>
      </c>
      <c r="I97" s="90" t="e">
        <f t="shared" si="10"/>
        <v>#REF!</v>
      </c>
      <c r="J97" s="91" t="e">
        <f t="shared" si="11"/>
        <v>#REF!</v>
      </c>
      <c r="K97" s="91"/>
      <c r="L97" s="88" t="e">
        <f t="shared" si="12"/>
        <v>#REF!</v>
      </c>
      <c r="M97" s="88" t="e">
        <f t="shared" si="13"/>
        <v>#REF!</v>
      </c>
      <c r="N97" s="88" t="e">
        <f t="shared" si="14"/>
        <v>#REF!</v>
      </c>
      <c r="O97" s="88"/>
    </row>
    <row r="98" spans="3:15" ht="15" x14ac:dyDescent="0.25">
      <c r="C98" s="88">
        <v>0</v>
      </c>
      <c r="D98" s="88">
        <v>0.9</v>
      </c>
      <c r="E98" s="89" t="e">
        <f>IFERROR(
_xlfn.XLOOKUP(
B98,#REF!,#REF!
),
_xlfn.XLOOKUP(
A98,#REF!,#REF!
)
)</f>
        <v>#REF!</v>
      </c>
      <c r="F98" s="88" t="str">
        <f>IFERROR(
VLOOKUP(
B98,#REF!,
6,
FALSE
),
""
)</f>
        <v/>
      </c>
      <c r="G98" s="88">
        <v>0</v>
      </c>
      <c r="H98" s="88">
        <v>24</v>
      </c>
      <c r="I98" s="90" t="e">
        <f t="shared" si="10"/>
        <v>#REF!</v>
      </c>
      <c r="J98" s="91" t="e">
        <f t="shared" si="11"/>
        <v>#REF!</v>
      </c>
      <c r="K98" s="91"/>
      <c r="L98" s="88" t="e">
        <f t="shared" si="12"/>
        <v>#REF!</v>
      </c>
      <c r="M98" s="88" t="e">
        <f t="shared" si="13"/>
        <v>#REF!</v>
      </c>
      <c r="N98" s="88" t="e">
        <f t="shared" si="14"/>
        <v>#REF!</v>
      </c>
      <c r="O98" s="88"/>
    </row>
    <row r="99" spans="3:15" ht="15" x14ac:dyDescent="0.25">
      <c r="C99" s="88">
        <v>0</v>
      </c>
      <c r="D99" s="88">
        <v>0.9</v>
      </c>
      <c r="E99" s="89" t="e">
        <f>IFERROR(
_xlfn.XLOOKUP(
B99,#REF!,#REF!
),
_xlfn.XLOOKUP(
A99,#REF!,#REF!
)
)</f>
        <v>#REF!</v>
      </c>
      <c r="F99" s="88" t="str">
        <f>IFERROR(
VLOOKUP(
B99,#REF!,
6,
FALSE
),
""
)</f>
        <v/>
      </c>
      <c r="G99" s="88">
        <v>0</v>
      </c>
      <c r="H99" s="88">
        <v>24</v>
      </c>
      <c r="I99" s="90" t="e">
        <f t="shared" si="10"/>
        <v>#REF!</v>
      </c>
      <c r="J99" s="91" t="e">
        <f t="shared" si="11"/>
        <v>#REF!</v>
      </c>
      <c r="K99" s="91"/>
      <c r="L99" s="88" t="e">
        <f t="shared" si="12"/>
        <v>#REF!</v>
      </c>
      <c r="M99" s="88" t="e">
        <f t="shared" si="13"/>
        <v>#REF!</v>
      </c>
      <c r="N99" s="88" t="e">
        <f t="shared" si="14"/>
        <v>#REF!</v>
      </c>
      <c r="O99" s="88"/>
    </row>
    <row r="100" spans="3:15" ht="15" x14ac:dyDescent="0.25">
      <c r="C100" s="88">
        <v>0</v>
      </c>
      <c r="D100" s="88">
        <v>0.9</v>
      </c>
      <c r="E100" s="89" t="e">
        <f>IFERROR(
_xlfn.XLOOKUP(
B100,#REF!,#REF!
),
_xlfn.XLOOKUP(
A100,#REF!,#REF!
)
)</f>
        <v>#REF!</v>
      </c>
      <c r="F100" s="88" t="str">
        <f>IFERROR(
VLOOKUP(
B100,#REF!,
6,
FALSE
),
""
)</f>
        <v/>
      </c>
      <c r="G100" s="88">
        <v>0</v>
      </c>
      <c r="H100" s="88">
        <v>24</v>
      </c>
      <c r="I100" s="90" t="e">
        <f t="shared" si="10"/>
        <v>#REF!</v>
      </c>
      <c r="J100" s="91" t="e">
        <f t="shared" si="11"/>
        <v>#REF!</v>
      </c>
      <c r="K100" s="91"/>
      <c r="L100" s="88" t="e">
        <f t="shared" si="12"/>
        <v>#REF!</v>
      </c>
      <c r="M100" s="88" t="e">
        <f t="shared" si="13"/>
        <v>#REF!</v>
      </c>
      <c r="N100" s="88" t="e">
        <f t="shared" si="14"/>
        <v>#REF!</v>
      </c>
      <c r="O100" s="88"/>
    </row>
    <row r="101" spans="3:15" ht="15" x14ac:dyDescent="0.25">
      <c r="C101" s="88">
        <v>0</v>
      </c>
      <c r="D101" s="88">
        <v>0.9</v>
      </c>
      <c r="E101" s="89" t="e">
        <f>IFERROR(
_xlfn.XLOOKUP(
B101,#REF!,#REF!
),
_xlfn.XLOOKUP(
A101,#REF!,#REF!
)
)</f>
        <v>#REF!</v>
      </c>
      <c r="F101" s="88" t="str">
        <f>IFERROR(
VLOOKUP(
B101,#REF!,
6,
FALSE
),
""
)</f>
        <v/>
      </c>
      <c r="G101" s="88">
        <v>0</v>
      </c>
      <c r="H101" s="88">
        <v>24</v>
      </c>
      <c r="I101" s="90" t="e">
        <f t="shared" si="10"/>
        <v>#REF!</v>
      </c>
      <c r="J101" s="91" t="e">
        <f t="shared" si="11"/>
        <v>#REF!</v>
      </c>
      <c r="K101" s="91"/>
      <c r="L101" s="88" t="e">
        <f t="shared" si="12"/>
        <v>#REF!</v>
      </c>
      <c r="M101" s="88" t="e">
        <f t="shared" si="13"/>
        <v>#REF!</v>
      </c>
      <c r="N101" s="88" t="e">
        <f t="shared" si="14"/>
        <v>#REF!</v>
      </c>
      <c r="O101" s="88"/>
    </row>
    <row r="102" spans="3:15" ht="15" x14ac:dyDescent="0.25">
      <c r="C102" s="88">
        <v>0</v>
      </c>
      <c r="D102" s="88">
        <v>0.9</v>
      </c>
      <c r="E102" s="89" t="e">
        <f>IFERROR(
_xlfn.XLOOKUP(
B102,#REF!,#REF!
),
_xlfn.XLOOKUP(
A102,#REF!,#REF!
)
)</f>
        <v>#REF!</v>
      </c>
      <c r="F102" s="88" t="str">
        <f>IFERROR(
VLOOKUP(
B102,#REF!,
6,
FALSE
),
""
)</f>
        <v/>
      </c>
      <c r="G102" s="88">
        <v>0</v>
      </c>
      <c r="H102" s="88">
        <v>24</v>
      </c>
      <c r="I102" s="90" t="e">
        <f t="shared" si="10"/>
        <v>#REF!</v>
      </c>
      <c r="J102" s="91" t="e">
        <f t="shared" si="11"/>
        <v>#REF!</v>
      </c>
      <c r="K102" s="91"/>
      <c r="L102" s="88" t="e">
        <f t="shared" si="12"/>
        <v>#REF!</v>
      </c>
      <c r="M102" s="88" t="e">
        <f t="shared" si="13"/>
        <v>#REF!</v>
      </c>
      <c r="N102" s="88" t="e">
        <f t="shared" si="14"/>
        <v>#REF!</v>
      </c>
      <c r="O102" s="88"/>
    </row>
    <row r="103" spans="3:15" ht="15" x14ac:dyDescent="0.25">
      <c r="C103" s="88">
        <v>0</v>
      </c>
      <c r="D103" s="88">
        <v>0.9</v>
      </c>
      <c r="E103" s="89" t="e">
        <f>IFERROR(
_xlfn.XLOOKUP(
B103,#REF!,#REF!
),
_xlfn.XLOOKUP(
A103,#REF!,#REF!
)
)</f>
        <v>#REF!</v>
      </c>
      <c r="F103" s="88" t="str">
        <f>IFERROR(
VLOOKUP(
B103,#REF!,
6,
FALSE
),
""
)</f>
        <v/>
      </c>
      <c r="G103" s="88">
        <v>0</v>
      </c>
      <c r="H103" s="88">
        <v>24</v>
      </c>
      <c r="I103" s="90" t="e">
        <f t="shared" si="10"/>
        <v>#REF!</v>
      </c>
      <c r="J103" s="91" t="e">
        <f t="shared" si="11"/>
        <v>#REF!</v>
      </c>
      <c r="K103" s="91"/>
      <c r="L103" s="88" t="e">
        <f t="shared" si="12"/>
        <v>#REF!</v>
      </c>
      <c r="M103" s="88" t="e">
        <f t="shared" si="13"/>
        <v>#REF!</v>
      </c>
      <c r="N103" s="88" t="e">
        <f t="shared" si="14"/>
        <v>#REF!</v>
      </c>
      <c r="O103" s="88"/>
    </row>
    <row r="104" spans="3:15" ht="15" x14ac:dyDescent="0.25">
      <c r="C104" s="88">
        <v>0</v>
      </c>
      <c r="D104" s="88">
        <v>0.9</v>
      </c>
      <c r="E104" s="89" t="e">
        <f>IFERROR(
_xlfn.XLOOKUP(
B104,#REF!,#REF!
),
_xlfn.XLOOKUP(
A104,#REF!,#REF!
)
)</f>
        <v>#REF!</v>
      </c>
      <c r="F104" s="88" t="str">
        <f>IFERROR(
VLOOKUP(
B104,#REF!,
6,
FALSE
),
""
)</f>
        <v/>
      </c>
      <c r="G104" s="88">
        <v>0</v>
      </c>
      <c r="H104" s="88">
        <v>24</v>
      </c>
      <c r="I104" s="90" t="e">
        <f t="shared" si="10"/>
        <v>#REF!</v>
      </c>
      <c r="J104" s="91" t="e">
        <f t="shared" si="11"/>
        <v>#REF!</v>
      </c>
      <c r="K104" s="91"/>
      <c r="L104" s="88" t="e">
        <f t="shared" si="12"/>
        <v>#REF!</v>
      </c>
      <c r="M104" s="88" t="e">
        <f t="shared" si="13"/>
        <v>#REF!</v>
      </c>
      <c r="N104" s="88" t="e">
        <f t="shared" si="14"/>
        <v>#REF!</v>
      </c>
      <c r="O104" s="88"/>
    </row>
    <row r="105" spans="3:15" ht="15" x14ac:dyDescent="0.25">
      <c r="C105" s="88">
        <v>0</v>
      </c>
      <c r="D105" s="88">
        <v>0.9</v>
      </c>
      <c r="E105" s="89" t="e">
        <f>IFERROR(
_xlfn.XLOOKUP(
B105,#REF!,#REF!
),
_xlfn.XLOOKUP(
A105,#REF!,#REF!
)
)</f>
        <v>#REF!</v>
      </c>
      <c r="F105" s="88" t="str">
        <f>IFERROR(
VLOOKUP(
B105,#REF!,
6,
FALSE
),
""
)</f>
        <v/>
      </c>
      <c r="G105" s="88">
        <v>0</v>
      </c>
      <c r="H105" s="88">
        <v>24</v>
      </c>
      <c r="I105" s="90" t="e">
        <f t="shared" si="10"/>
        <v>#REF!</v>
      </c>
      <c r="J105" s="91" t="e">
        <f t="shared" si="11"/>
        <v>#REF!</v>
      </c>
      <c r="K105" s="91"/>
      <c r="L105" s="88" t="e">
        <f t="shared" si="12"/>
        <v>#REF!</v>
      </c>
      <c r="M105" s="88" t="e">
        <f t="shared" si="13"/>
        <v>#REF!</v>
      </c>
      <c r="N105" s="88" t="e">
        <f t="shared" si="14"/>
        <v>#REF!</v>
      </c>
      <c r="O105" s="88"/>
    </row>
    <row r="106" spans="3:15" ht="15" x14ac:dyDescent="0.25">
      <c r="C106" s="88">
        <v>0</v>
      </c>
      <c r="D106" s="88">
        <v>0.9</v>
      </c>
      <c r="E106" s="89" t="e">
        <f>IFERROR(
_xlfn.XLOOKUP(
B106,#REF!,#REF!
),
_xlfn.XLOOKUP(
A106,#REF!,#REF!
)
)</f>
        <v>#REF!</v>
      </c>
      <c r="F106" s="88" t="str">
        <f>IFERROR(
VLOOKUP(
B106,#REF!,
6,
FALSE
),
""
)</f>
        <v/>
      </c>
      <c r="G106" s="88">
        <v>0</v>
      </c>
      <c r="H106" s="88">
        <v>24</v>
      </c>
      <c r="I106" s="90" t="e">
        <f t="shared" si="10"/>
        <v>#REF!</v>
      </c>
      <c r="J106" s="91" t="e">
        <f t="shared" si="11"/>
        <v>#REF!</v>
      </c>
      <c r="K106" s="91"/>
      <c r="L106" s="88" t="e">
        <f t="shared" si="12"/>
        <v>#REF!</v>
      </c>
      <c r="M106" s="88" t="e">
        <f t="shared" si="13"/>
        <v>#REF!</v>
      </c>
      <c r="N106" s="88" t="e">
        <f t="shared" si="14"/>
        <v>#REF!</v>
      </c>
      <c r="O106" s="88"/>
    </row>
    <row r="107" spans="3:15" ht="15" x14ac:dyDescent="0.25">
      <c r="C107" s="88">
        <v>0</v>
      </c>
      <c r="D107" s="88">
        <v>0.9</v>
      </c>
      <c r="E107" s="89" t="e">
        <f>IFERROR(
_xlfn.XLOOKUP(
B107,#REF!,#REF!
),
_xlfn.XLOOKUP(
A107,#REF!,#REF!
)
)</f>
        <v>#REF!</v>
      </c>
      <c r="F107" s="88" t="str">
        <f>IFERROR(
VLOOKUP(
B107,#REF!,
6,
FALSE
),
""
)</f>
        <v/>
      </c>
      <c r="G107" s="88">
        <v>0</v>
      </c>
      <c r="H107" s="88">
        <v>24</v>
      </c>
      <c r="I107" s="90" t="e">
        <f t="shared" si="10"/>
        <v>#REF!</v>
      </c>
      <c r="J107" s="91" t="e">
        <f t="shared" si="11"/>
        <v>#REF!</v>
      </c>
      <c r="K107" s="91"/>
      <c r="L107" s="88" t="e">
        <f t="shared" si="12"/>
        <v>#REF!</v>
      </c>
      <c r="M107" s="88" t="e">
        <f t="shared" si="13"/>
        <v>#REF!</v>
      </c>
      <c r="N107" s="88" t="e">
        <f t="shared" si="14"/>
        <v>#REF!</v>
      </c>
      <c r="O107" s="88"/>
    </row>
    <row r="108" spans="3:15" ht="15" x14ac:dyDescent="0.25">
      <c r="C108" s="88">
        <v>0</v>
      </c>
      <c r="D108" s="88">
        <v>0.9</v>
      </c>
      <c r="E108" s="89" t="e">
        <f>IFERROR(
_xlfn.XLOOKUP(
B108,#REF!,#REF!
),
_xlfn.XLOOKUP(
A108,#REF!,#REF!
)
)</f>
        <v>#REF!</v>
      </c>
      <c r="F108" s="88" t="str">
        <f>IFERROR(
VLOOKUP(
B108,#REF!,
6,
FALSE
),
""
)</f>
        <v/>
      </c>
      <c r="G108" s="88">
        <v>0</v>
      </c>
      <c r="H108" s="88">
        <v>24</v>
      </c>
      <c r="I108" s="90" t="e">
        <f t="shared" si="10"/>
        <v>#REF!</v>
      </c>
      <c r="J108" s="91" t="e">
        <f t="shared" si="11"/>
        <v>#REF!</v>
      </c>
      <c r="K108" s="91"/>
      <c r="L108" s="88" t="e">
        <f t="shared" si="12"/>
        <v>#REF!</v>
      </c>
      <c r="M108" s="88" t="e">
        <f t="shared" si="13"/>
        <v>#REF!</v>
      </c>
      <c r="N108" s="88" t="e">
        <f t="shared" si="14"/>
        <v>#REF!</v>
      </c>
      <c r="O108" s="88"/>
    </row>
    <row r="109" spans="3:15" ht="15" x14ac:dyDescent="0.25">
      <c r="C109" s="88">
        <v>0</v>
      </c>
      <c r="D109" s="88">
        <v>0.9</v>
      </c>
      <c r="E109" s="89" t="e">
        <f>IFERROR(
_xlfn.XLOOKUP(
B109,#REF!,#REF!
),
_xlfn.XLOOKUP(
A109,#REF!,#REF!
)
)</f>
        <v>#REF!</v>
      </c>
      <c r="F109" s="88" t="str">
        <f>IFERROR(
VLOOKUP(
B109,#REF!,
6,
FALSE
),
""
)</f>
        <v/>
      </c>
      <c r="G109" s="88">
        <v>0</v>
      </c>
      <c r="H109" s="88">
        <v>24</v>
      </c>
      <c r="I109" s="90" t="e">
        <f t="shared" si="10"/>
        <v>#REF!</v>
      </c>
      <c r="J109" s="91" t="e">
        <f t="shared" si="11"/>
        <v>#REF!</v>
      </c>
      <c r="K109" s="91"/>
      <c r="L109" s="88" t="e">
        <f t="shared" si="12"/>
        <v>#REF!</v>
      </c>
      <c r="M109" s="88" t="e">
        <f t="shared" si="13"/>
        <v>#REF!</v>
      </c>
      <c r="N109" s="88" t="e">
        <f t="shared" si="14"/>
        <v>#REF!</v>
      </c>
      <c r="O109" s="88"/>
    </row>
    <row r="110" spans="3:15" ht="15" x14ac:dyDescent="0.25">
      <c r="C110" s="88">
        <v>0</v>
      </c>
      <c r="D110" s="88">
        <v>0.9</v>
      </c>
      <c r="E110" s="89" t="e">
        <f>IFERROR(
_xlfn.XLOOKUP(
B110,#REF!,#REF!
),
_xlfn.XLOOKUP(
A110,#REF!,#REF!
)
)</f>
        <v>#REF!</v>
      </c>
      <c r="F110" s="88" t="str">
        <f>IFERROR(
VLOOKUP(
B110,#REF!,
6,
FALSE
),
""
)</f>
        <v/>
      </c>
      <c r="G110" s="88">
        <v>0</v>
      </c>
      <c r="H110" s="88">
        <v>24</v>
      </c>
      <c r="I110" s="90" t="e">
        <f t="shared" si="10"/>
        <v>#REF!</v>
      </c>
      <c r="J110" s="91" t="e">
        <f t="shared" si="11"/>
        <v>#REF!</v>
      </c>
      <c r="K110" s="91"/>
      <c r="L110" s="88" t="e">
        <f t="shared" si="12"/>
        <v>#REF!</v>
      </c>
      <c r="M110" s="88" t="e">
        <f t="shared" si="13"/>
        <v>#REF!</v>
      </c>
      <c r="N110" s="88" t="e">
        <f t="shared" si="14"/>
        <v>#REF!</v>
      </c>
      <c r="O110" s="88"/>
    </row>
    <row r="111" spans="3:15" ht="15" x14ac:dyDescent="0.25">
      <c r="C111" s="88">
        <v>0</v>
      </c>
      <c r="D111" s="88">
        <v>0.9</v>
      </c>
      <c r="E111" s="89" t="e">
        <f>IFERROR(
_xlfn.XLOOKUP(
B111,#REF!,#REF!
),
_xlfn.XLOOKUP(
A111,#REF!,#REF!
)
)</f>
        <v>#REF!</v>
      </c>
      <c r="F111" s="88" t="str">
        <f>IFERROR(
VLOOKUP(
B111,#REF!,
6,
FALSE
),
""
)</f>
        <v/>
      </c>
      <c r="G111" s="88">
        <v>0</v>
      </c>
      <c r="H111" s="88">
        <v>24</v>
      </c>
      <c r="I111" s="90" t="e">
        <f t="shared" si="10"/>
        <v>#REF!</v>
      </c>
      <c r="J111" s="91" t="e">
        <f t="shared" si="11"/>
        <v>#REF!</v>
      </c>
      <c r="K111" s="91"/>
      <c r="L111" s="88" t="e">
        <f t="shared" si="12"/>
        <v>#REF!</v>
      </c>
      <c r="M111" s="88" t="e">
        <f t="shared" si="13"/>
        <v>#REF!</v>
      </c>
      <c r="N111" s="88" t="e">
        <f t="shared" si="14"/>
        <v>#REF!</v>
      </c>
      <c r="O111" s="88"/>
    </row>
    <row r="112" spans="3:15" ht="15" x14ac:dyDescent="0.25">
      <c r="C112" s="88">
        <v>0</v>
      </c>
      <c r="D112" s="88">
        <v>0.9</v>
      </c>
      <c r="E112" s="89" t="e">
        <f>IFERROR(
_xlfn.XLOOKUP(
B112,#REF!,#REF!
),
_xlfn.XLOOKUP(
A112,#REF!,#REF!
)
)</f>
        <v>#REF!</v>
      </c>
      <c r="F112" s="88" t="str">
        <f>IFERROR(
VLOOKUP(
B112,#REF!,
6,
FALSE
),
""
)</f>
        <v/>
      </c>
      <c r="G112" s="88">
        <v>0</v>
      </c>
      <c r="H112" s="88">
        <v>24</v>
      </c>
      <c r="I112" s="90" t="e">
        <f t="shared" si="10"/>
        <v>#REF!</v>
      </c>
      <c r="J112" s="91" t="e">
        <f t="shared" si="11"/>
        <v>#REF!</v>
      </c>
      <c r="K112" s="91"/>
      <c r="L112" s="88" t="e">
        <f t="shared" si="12"/>
        <v>#REF!</v>
      </c>
      <c r="M112" s="88" t="e">
        <f t="shared" si="13"/>
        <v>#REF!</v>
      </c>
      <c r="N112" s="88" t="e">
        <f t="shared" si="14"/>
        <v>#REF!</v>
      </c>
      <c r="O112" s="88"/>
    </row>
    <row r="113" spans="3:15" ht="15" x14ac:dyDescent="0.25">
      <c r="C113" s="88">
        <v>0</v>
      </c>
      <c r="D113" s="88">
        <v>0.9</v>
      </c>
      <c r="E113" s="89" t="e">
        <f>IFERROR(
_xlfn.XLOOKUP(
B113,#REF!,#REF!
),
_xlfn.XLOOKUP(
A113,#REF!,#REF!
)
)</f>
        <v>#REF!</v>
      </c>
      <c r="F113" s="88" t="str">
        <f>IFERROR(
VLOOKUP(
B113,#REF!,
6,
FALSE
),
""
)</f>
        <v/>
      </c>
      <c r="G113" s="88">
        <v>0</v>
      </c>
      <c r="H113" s="88">
        <v>24</v>
      </c>
      <c r="I113" s="90" t="e">
        <f t="shared" si="10"/>
        <v>#REF!</v>
      </c>
      <c r="J113" s="91" t="e">
        <f t="shared" si="11"/>
        <v>#REF!</v>
      </c>
      <c r="K113" s="91"/>
      <c r="L113" s="88" t="e">
        <f t="shared" si="12"/>
        <v>#REF!</v>
      </c>
      <c r="M113" s="88" t="e">
        <f t="shared" si="13"/>
        <v>#REF!</v>
      </c>
      <c r="N113" s="88" t="e">
        <f t="shared" si="14"/>
        <v>#REF!</v>
      </c>
      <c r="O113" s="88"/>
    </row>
    <row r="114" spans="3:15" ht="15" x14ac:dyDescent="0.25">
      <c r="C114" s="88">
        <v>0</v>
      </c>
      <c r="D114" s="88">
        <v>0.9</v>
      </c>
      <c r="E114" s="89" t="e">
        <f>IFERROR(
_xlfn.XLOOKUP(
B114,#REF!,#REF!
),
_xlfn.XLOOKUP(
A114,#REF!,#REF!
)
)</f>
        <v>#REF!</v>
      </c>
      <c r="F114" s="88" t="str">
        <f>IFERROR(
VLOOKUP(
B114,#REF!,
6,
FALSE
),
""
)</f>
        <v/>
      </c>
      <c r="G114" s="88">
        <v>0</v>
      </c>
      <c r="H114" s="88">
        <v>24</v>
      </c>
      <c r="I114" s="90" t="e">
        <f t="shared" si="10"/>
        <v>#REF!</v>
      </c>
      <c r="J114" s="91" t="e">
        <f t="shared" si="11"/>
        <v>#REF!</v>
      </c>
      <c r="K114" s="91"/>
      <c r="L114" s="88" t="e">
        <f t="shared" si="12"/>
        <v>#REF!</v>
      </c>
      <c r="M114" s="88" t="e">
        <f t="shared" si="13"/>
        <v>#REF!</v>
      </c>
      <c r="N114" s="88" t="e">
        <f t="shared" si="14"/>
        <v>#REF!</v>
      </c>
      <c r="O114" s="88"/>
    </row>
    <row r="115" spans="3:15" ht="15" x14ac:dyDescent="0.25">
      <c r="C115" s="88">
        <v>0</v>
      </c>
      <c r="D115" s="88">
        <v>0.9</v>
      </c>
      <c r="E115" s="89" t="e">
        <f>IFERROR(
_xlfn.XLOOKUP(
B115,#REF!,#REF!
),
_xlfn.XLOOKUP(
A115,#REF!,#REF!
)
)</f>
        <v>#REF!</v>
      </c>
      <c r="F115" s="88" t="str">
        <f>IFERROR(
VLOOKUP(
B115,#REF!,
6,
FALSE
),
""
)</f>
        <v/>
      </c>
      <c r="G115" s="88">
        <v>0</v>
      </c>
      <c r="H115" s="88">
        <v>24</v>
      </c>
      <c r="I115" s="90" t="e">
        <f t="shared" si="10"/>
        <v>#REF!</v>
      </c>
      <c r="J115" s="91" t="e">
        <f t="shared" si="11"/>
        <v>#REF!</v>
      </c>
      <c r="K115" s="91"/>
      <c r="L115" s="88" t="e">
        <f t="shared" si="12"/>
        <v>#REF!</v>
      </c>
      <c r="M115" s="88" t="e">
        <f t="shared" si="13"/>
        <v>#REF!</v>
      </c>
      <c r="N115" s="88" t="e">
        <f t="shared" si="14"/>
        <v>#REF!</v>
      </c>
      <c r="O115" s="88"/>
    </row>
    <row r="116" spans="3:15" ht="15" x14ac:dyDescent="0.25">
      <c r="C116" s="88">
        <v>0</v>
      </c>
      <c r="D116" s="88">
        <v>0.9</v>
      </c>
      <c r="E116" s="89" t="e">
        <f>IFERROR(
_xlfn.XLOOKUP(
B116,#REF!,#REF!
),
_xlfn.XLOOKUP(
A116,#REF!,#REF!
)
)</f>
        <v>#REF!</v>
      </c>
      <c r="F116" s="88" t="str">
        <f>IFERROR(
VLOOKUP(
B116,#REF!,
6,
FALSE
),
""
)</f>
        <v/>
      </c>
      <c r="G116" s="88">
        <v>0</v>
      </c>
      <c r="H116" s="88">
        <v>24</v>
      </c>
      <c r="I116" s="90" t="e">
        <f t="shared" si="10"/>
        <v>#REF!</v>
      </c>
      <c r="J116" s="91" t="e">
        <f t="shared" si="11"/>
        <v>#REF!</v>
      </c>
      <c r="K116" s="91"/>
      <c r="L116" s="88" t="e">
        <f t="shared" si="12"/>
        <v>#REF!</v>
      </c>
      <c r="M116" s="88" t="e">
        <f t="shared" si="13"/>
        <v>#REF!</v>
      </c>
      <c r="N116" s="88" t="e">
        <f t="shared" si="14"/>
        <v>#REF!</v>
      </c>
      <c r="O116" s="88"/>
    </row>
    <row r="117" spans="3:15" ht="15" x14ac:dyDescent="0.25">
      <c r="C117" s="88">
        <v>0</v>
      </c>
      <c r="D117" s="88">
        <v>0.9</v>
      </c>
      <c r="E117" s="89" t="e">
        <f>IFERROR(
_xlfn.XLOOKUP(
B117,#REF!,#REF!
),
_xlfn.XLOOKUP(
A117,#REF!,#REF!
)
)</f>
        <v>#REF!</v>
      </c>
      <c r="F117" s="88" t="str">
        <f>IFERROR(
VLOOKUP(
B117,#REF!,
6,
FALSE
),
""
)</f>
        <v/>
      </c>
      <c r="G117" s="88">
        <v>0</v>
      </c>
      <c r="H117" s="88">
        <v>24</v>
      </c>
      <c r="I117" s="90" t="e">
        <f t="shared" si="10"/>
        <v>#REF!</v>
      </c>
      <c r="J117" s="91" t="e">
        <f t="shared" si="11"/>
        <v>#REF!</v>
      </c>
      <c r="K117" s="91"/>
      <c r="L117" s="88" t="e">
        <f t="shared" si="12"/>
        <v>#REF!</v>
      </c>
      <c r="M117" s="88" t="e">
        <f t="shared" si="13"/>
        <v>#REF!</v>
      </c>
      <c r="N117" s="88" t="e">
        <f t="shared" si="14"/>
        <v>#REF!</v>
      </c>
      <c r="O117" s="88"/>
    </row>
    <row r="118" spans="3:15" ht="15" x14ac:dyDescent="0.25">
      <c r="C118" s="88">
        <v>0</v>
      </c>
      <c r="D118" s="88">
        <v>0.9</v>
      </c>
      <c r="E118" s="89" t="e">
        <f>IFERROR(
_xlfn.XLOOKUP(
B118,#REF!,#REF!
),
_xlfn.XLOOKUP(
A118,#REF!,#REF!
)
)</f>
        <v>#REF!</v>
      </c>
      <c r="F118" s="88" t="str">
        <f>IFERROR(
VLOOKUP(
B118,#REF!,
6,
FALSE
),
""
)</f>
        <v/>
      </c>
      <c r="G118" s="88">
        <v>0</v>
      </c>
      <c r="H118" s="88">
        <v>24</v>
      </c>
      <c r="I118" s="90" t="e">
        <f t="shared" si="10"/>
        <v>#REF!</v>
      </c>
      <c r="J118" s="91" t="e">
        <f t="shared" si="11"/>
        <v>#REF!</v>
      </c>
      <c r="K118" s="91"/>
      <c r="L118" s="88" t="e">
        <f t="shared" si="12"/>
        <v>#REF!</v>
      </c>
      <c r="M118" s="88" t="e">
        <f t="shared" si="13"/>
        <v>#REF!</v>
      </c>
      <c r="N118" s="88" t="e">
        <f t="shared" si="14"/>
        <v>#REF!</v>
      </c>
      <c r="O118" s="88"/>
    </row>
    <row r="119" spans="3:15" ht="15" x14ac:dyDescent="0.25">
      <c r="C119" s="88">
        <v>0</v>
      </c>
      <c r="D119" s="88">
        <v>0.9</v>
      </c>
      <c r="E119" s="89" t="e">
        <f>IFERROR(
_xlfn.XLOOKUP(
B119,#REF!,#REF!
),
_xlfn.XLOOKUP(
A119,#REF!,#REF!
)
)</f>
        <v>#REF!</v>
      </c>
      <c r="F119" s="88" t="str">
        <f>IFERROR(
VLOOKUP(
B119,#REF!,
6,
FALSE
),
""
)</f>
        <v/>
      </c>
      <c r="G119" s="88">
        <v>0</v>
      </c>
      <c r="H119" s="88">
        <v>24</v>
      </c>
      <c r="I119" s="90" t="e">
        <f t="shared" si="10"/>
        <v>#REF!</v>
      </c>
      <c r="J119" s="91" t="e">
        <f t="shared" si="11"/>
        <v>#REF!</v>
      </c>
      <c r="K119" s="91"/>
      <c r="L119" s="88" t="e">
        <f t="shared" si="12"/>
        <v>#REF!</v>
      </c>
      <c r="M119" s="88" t="e">
        <f t="shared" si="13"/>
        <v>#REF!</v>
      </c>
      <c r="N119" s="88" t="e">
        <f t="shared" si="14"/>
        <v>#REF!</v>
      </c>
      <c r="O119" s="88"/>
    </row>
    <row r="120" spans="3:15" ht="15" x14ac:dyDescent="0.25">
      <c r="C120" s="88">
        <v>0</v>
      </c>
      <c r="D120" s="88">
        <v>0.9</v>
      </c>
      <c r="E120" s="89" t="e">
        <f>IFERROR(
_xlfn.XLOOKUP(
B120,#REF!,#REF!
),
_xlfn.XLOOKUP(
A120,#REF!,#REF!
)
)</f>
        <v>#REF!</v>
      </c>
      <c r="F120" s="88" t="str">
        <f>IFERROR(
VLOOKUP(
B120,#REF!,
6,
FALSE
),
""
)</f>
        <v/>
      </c>
      <c r="G120" s="88">
        <v>0</v>
      </c>
      <c r="H120" s="88">
        <v>24</v>
      </c>
      <c r="I120" s="90" t="e">
        <f t="shared" si="10"/>
        <v>#REF!</v>
      </c>
      <c r="J120" s="91" t="e">
        <f t="shared" si="11"/>
        <v>#REF!</v>
      </c>
      <c r="K120" s="91"/>
      <c r="L120" s="88" t="e">
        <f t="shared" si="12"/>
        <v>#REF!</v>
      </c>
      <c r="M120" s="88" t="e">
        <f t="shared" si="13"/>
        <v>#REF!</v>
      </c>
      <c r="N120" s="88" t="e">
        <f t="shared" si="14"/>
        <v>#REF!</v>
      </c>
      <c r="O120" s="88"/>
    </row>
    <row r="121" spans="3:15" ht="15" x14ac:dyDescent="0.25">
      <c r="C121" s="88">
        <v>0</v>
      </c>
      <c r="D121" s="88">
        <v>0.9</v>
      </c>
      <c r="E121" s="89" t="e">
        <f>IFERROR(
_xlfn.XLOOKUP(
B121,#REF!,#REF!
),
_xlfn.XLOOKUP(
A121,#REF!,#REF!
)
)</f>
        <v>#REF!</v>
      </c>
      <c r="F121" s="88" t="str">
        <f>IFERROR(
VLOOKUP(
B121,#REF!,
6,
FALSE
),
""
)</f>
        <v/>
      </c>
      <c r="G121" s="88">
        <v>0</v>
      </c>
      <c r="H121" s="88">
        <v>24</v>
      </c>
      <c r="I121" s="90" t="e">
        <f t="shared" si="10"/>
        <v>#REF!</v>
      </c>
      <c r="J121" s="91" t="e">
        <f t="shared" si="11"/>
        <v>#REF!</v>
      </c>
      <c r="K121" s="91"/>
      <c r="L121" s="88" t="e">
        <f t="shared" si="12"/>
        <v>#REF!</v>
      </c>
      <c r="M121" s="88" t="e">
        <f t="shared" si="13"/>
        <v>#REF!</v>
      </c>
      <c r="N121" s="88" t="e">
        <f t="shared" si="14"/>
        <v>#REF!</v>
      </c>
      <c r="O121" s="88"/>
    </row>
    <row r="122" spans="3:15" ht="15" x14ac:dyDescent="0.25">
      <c r="C122" s="88">
        <v>0</v>
      </c>
      <c r="D122" s="88">
        <v>0.9</v>
      </c>
      <c r="E122" s="89" t="e">
        <f>IFERROR(
_xlfn.XLOOKUP(
B122,#REF!,#REF!
),
_xlfn.XLOOKUP(
A122,#REF!,#REF!
)
)</f>
        <v>#REF!</v>
      </c>
      <c r="F122" s="88" t="str">
        <f>IFERROR(
VLOOKUP(
B122,#REF!,
6,
FALSE
),
""
)</f>
        <v/>
      </c>
      <c r="G122" s="88">
        <v>0</v>
      </c>
      <c r="H122" s="88">
        <v>24</v>
      </c>
      <c r="I122" s="90" t="e">
        <f t="shared" si="10"/>
        <v>#REF!</v>
      </c>
      <c r="J122" s="91" t="e">
        <f t="shared" si="11"/>
        <v>#REF!</v>
      </c>
      <c r="K122" s="91"/>
      <c r="L122" s="88" t="e">
        <f t="shared" si="12"/>
        <v>#REF!</v>
      </c>
      <c r="M122" s="88" t="e">
        <f t="shared" si="13"/>
        <v>#REF!</v>
      </c>
      <c r="N122" s="88" t="e">
        <f t="shared" si="14"/>
        <v>#REF!</v>
      </c>
      <c r="O122" s="88"/>
    </row>
    <row r="123" spans="3:15" ht="15" x14ac:dyDescent="0.25">
      <c r="C123" s="88">
        <v>0</v>
      </c>
      <c r="D123" s="88">
        <v>0.9</v>
      </c>
      <c r="E123" s="89" t="e">
        <f>IFERROR(
_xlfn.XLOOKUP(
B123,#REF!,#REF!
),
_xlfn.XLOOKUP(
A123,#REF!,#REF!
)
)</f>
        <v>#REF!</v>
      </c>
      <c r="F123" s="88" t="str">
        <f>IFERROR(
VLOOKUP(
B123,#REF!,
6,
FALSE
),
""
)</f>
        <v/>
      </c>
      <c r="G123" s="88">
        <v>0</v>
      </c>
      <c r="H123" s="88">
        <v>24</v>
      </c>
      <c r="I123" s="90" t="e">
        <f t="shared" si="10"/>
        <v>#REF!</v>
      </c>
      <c r="J123" s="91" t="e">
        <f t="shared" si="11"/>
        <v>#REF!</v>
      </c>
      <c r="K123" s="91"/>
      <c r="L123" s="88" t="e">
        <f t="shared" si="12"/>
        <v>#REF!</v>
      </c>
      <c r="M123" s="88" t="e">
        <f t="shared" si="13"/>
        <v>#REF!</v>
      </c>
      <c r="N123" s="88" t="e">
        <f t="shared" si="14"/>
        <v>#REF!</v>
      </c>
      <c r="O123" s="88"/>
    </row>
    <row r="124" spans="3:15" ht="15" x14ac:dyDescent="0.25">
      <c r="C124" s="88">
        <v>0</v>
      </c>
      <c r="D124" s="88">
        <v>0.9</v>
      </c>
      <c r="E124" s="89" t="e">
        <f>IFERROR(
_xlfn.XLOOKUP(
B124,#REF!,#REF!
),
_xlfn.XLOOKUP(
A124,#REF!,#REF!
)
)</f>
        <v>#REF!</v>
      </c>
      <c r="F124" s="88" t="str">
        <f>IFERROR(
VLOOKUP(
B124,#REF!,
6,
FALSE
),
""
)</f>
        <v/>
      </c>
      <c r="G124" s="88">
        <v>0</v>
      </c>
      <c r="H124" s="88">
        <v>24</v>
      </c>
      <c r="I124" s="90" t="e">
        <f t="shared" si="10"/>
        <v>#REF!</v>
      </c>
      <c r="J124" s="91" t="e">
        <f t="shared" si="11"/>
        <v>#REF!</v>
      </c>
      <c r="K124" s="91"/>
      <c r="L124" s="88" t="e">
        <f t="shared" si="12"/>
        <v>#REF!</v>
      </c>
      <c r="M124" s="88" t="e">
        <f t="shared" si="13"/>
        <v>#REF!</v>
      </c>
      <c r="N124" s="88" t="e">
        <f t="shared" si="14"/>
        <v>#REF!</v>
      </c>
      <c r="O124" s="88"/>
    </row>
    <row r="125" spans="3:15" ht="15" x14ac:dyDescent="0.25">
      <c r="C125" s="88">
        <v>0</v>
      </c>
      <c r="D125" s="88">
        <v>0.9</v>
      </c>
      <c r="E125" s="89" t="e">
        <f>IFERROR(
_xlfn.XLOOKUP(
B125,#REF!,#REF!
),
_xlfn.XLOOKUP(
A125,#REF!,#REF!
)
)</f>
        <v>#REF!</v>
      </c>
      <c r="F125" s="88" t="str">
        <f>IFERROR(
VLOOKUP(
B125,#REF!,
6,
FALSE
),
""
)</f>
        <v/>
      </c>
      <c r="G125" s="88">
        <v>0</v>
      </c>
      <c r="H125" s="88">
        <v>24</v>
      </c>
      <c r="I125" s="90" t="e">
        <f t="shared" si="10"/>
        <v>#REF!</v>
      </c>
      <c r="J125" s="91" t="e">
        <f t="shared" si="11"/>
        <v>#REF!</v>
      </c>
      <c r="K125" s="91"/>
      <c r="L125" s="88" t="e">
        <f t="shared" si="12"/>
        <v>#REF!</v>
      </c>
      <c r="M125" s="88" t="e">
        <f t="shared" si="13"/>
        <v>#REF!</v>
      </c>
      <c r="N125" s="88" t="e">
        <f t="shared" si="14"/>
        <v>#REF!</v>
      </c>
      <c r="O125" s="88"/>
    </row>
    <row r="126" spans="3:15" ht="15" x14ac:dyDescent="0.25">
      <c r="C126" s="88">
        <v>0</v>
      </c>
      <c r="D126" s="88">
        <v>0.9</v>
      </c>
      <c r="E126" s="89" t="e">
        <f>IFERROR(
_xlfn.XLOOKUP(
B126,#REF!,#REF!
),
_xlfn.XLOOKUP(
A126,#REF!,#REF!
)
)</f>
        <v>#REF!</v>
      </c>
      <c r="F126" s="88" t="str">
        <f>IFERROR(
VLOOKUP(
B126,#REF!,
6,
FALSE
),
""
)</f>
        <v/>
      </c>
      <c r="G126" s="88">
        <v>0</v>
      </c>
      <c r="H126" s="88">
        <v>24</v>
      </c>
      <c r="I126" s="90" t="e">
        <f t="shared" si="10"/>
        <v>#REF!</v>
      </c>
      <c r="J126" s="91" t="e">
        <f t="shared" si="11"/>
        <v>#REF!</v>
      </c>
      <c r="K126" s="91"/>
      <c r="L126" s="88" t="e">
        <f t="shared" si="12"/>
        <v>#REF!</v>
      </c>
      <c r="M126" s="88" t="e">
        <f t="shared" si="13"/>
        <v>#REF!</v>
      </c>
      <c r="N126" s="88" t="e">
        <f t="shared" si="14"/>
        <v>#REF!</v>
      </c>
      <c r="O126" s="88"/>
    </row>
    <row r="127" spans="3:15" ht="15" x14ac:dyDescent="0.25">
      <c r="C127" s="88">
        <v>0</v>
      </c>
      <c r="D127" s="88">
        <v>0.9</v>
      </c>
      <c r="E127" s="89" t="e">
        <f>IFERROR(
_xlfn.XLOOKUP(
B127,#REF!,#REF!
),
_xlfn.XLOOKUP(
A127,#REF!,#REF!
)
)</f>
        <v>#REF!</v>
      </c>
      <c r="F127" s="88" t="str">
        <f>IFERROR(
VLOOKUP(
B127,#REF!,
6,
FALSE
),
""
)</f>
        <v/>
      </c>
      <c r="G127" s="88">
        <v>0</v>
      </c>
      <c r="H127" s="88">
        <v>24</v>
      </c>
      <c r="I127" s="90" t="e">
        <f t="shared" si="10"/>
        <v>#REF!</v>
      </c>
      <c r="J127" s="91" t="e">
        <f t="shared" si="11"/>
        <v>#REF!</v>
      </c>
      <c r="K127" s="91"/>
      <c r="L127" s="88" t="e">
        <f t="shared" si="12"/>
        <v>#REF!</v>
      </c>
      <c r="M127" s="88" t="e">
        <f t="shared" si="13"/>
        <v>#REF!</v>
      </c>
      <c r="N127" s="88" t="e">
        <f t="shared" si="14"/>
        <v>#REF!</v>
      </c>
      <c r="O127" s="88"/>
    </row>
    <row r="128" spans="3:15" ht="15" x14ac:dyDescent="0.25">
      <c r="C128" s="88">
        <v>0</v>
      </c>
      <c r="D128" s="88">
        <v>0.9</v>
      </c>
      <c r="E128" s="89" t="e">
        <f>IFERROR(
_xlfn.XLOOKUP(
B128,#REF!,#REF!
),
_xlfn.XLOOKUP(
A128,#REF!,#REF!
)
)</f>
        <v>#REF!</v>
      </c>
      <c r="F128" s="88" t="str">
        <f>IFERROR(
VLOOKUP(
B128,#REF!,
6,
FALSE
),
""
)</f>
        <v/>
      </c>
      <c r="G128" s="88">
        <v>0</v>
      </c>
      <c r="H128" s="88">
        <v>24</v>
      </c>
      <c r="I128" s="90" t="e">
        <f t="shared" si="10"/>
        <v>#REF!</v>
      </c>
      <c r="J128" s="91" t="e">
        <f t="shared" si="11"/>
        <v>#REF!</v>
      </c>
      <c r="K128" s="91"/>
      <c r="L128" s="88" t="e">
        <f t="shared" si="12"/>
        <v>#REF!</v>
      </c>
      <c r="M128" s="88" t="e">
        <f t="shared" si="13"/>
        <v>#REF!</v>
      </c>
      <c r="N128" s="88" t="e">
        <f t="shared" si="14"/>
        <v>#REF!</v>
      </c>
      <c r="O128" s="88"/>
    </row>
    <row r="129" spans="3:15" ht="15" x14ac:dyDescent="0.25">
      <c r="C129" s="88">
        <v>0</v>
      </c>
      <c r="D129" s="88">
        <v>0.9</v>
      </c>
      <c r="E129" s="89" t="e">
        <f>IFERROR(
_xlfn.XLOOKUP(
B129,#REF!,#REF!
),
_xlfn.XLOOKUP(
A129,#REF!,#REF!
)
)</f>
        <v>#REF!</v>
      </c>
      <c r="F129" s="88" t="str">
        <f>IFERROR(
VLOOKUP(
B129,#REF!,
6,
FALSE
),
""
)</f>
        <v/>
      </c>
      <c r="G129" s="88">
        <v>0</v>
      </c>
      <c r="H129" s="88">
        <v>24</v>
      </c>
      <c r="I129" s="90" t="e">
        <f t="shared" si="10"/>
        <v>#REF!</v>
      </c>
      <c r="J129" s="91" t="e">
        <f t="shared" si="11"/>
        <v>#REF!</v>
      </c>
      <c r="K129" s="91"/>
      <c r="L129" s="88" t="e">
        <f t="shared" si="12"/>
        <v>#REF!</v>
      </c>
      <c r="M129" s="88" t="e">
        <f t="shared" si="13"/>
        <v>#REF!</v>
      </c>
      <c r="N129" s="88" t="e">
        <f t="shared" si="14"/>
        <v>#REF!</v>
      </c>
      <c r="O129" s="88"/>
    </row>
    <row r="130" spans="3:15" ht="15" x14ac:dyDescent="0.25">
      <c r="C130" s="88">
        <v>0</v>
      </c>
      <c r="D130" s="88">
        <v>0.9</v>
      </c>
      <c r="E130" s="89" t="e">
        <f>IFERROR(
_xlfn.XLOOKUP(
B130,#REF!,#REF!
),
_xlfn.XLOOKUP(
A130,#REF!,#REF!
)
)</f>
        <v>#REF!</v>
      </c>
      <c r="F130" s="88" t="str">
        <f>IFERROR(
VLOOKUP(
B130,#REF!,
6,
FALSE
),
""
)</f>
        <v/>
      </c>
      <c r="G130" s="88">
        <v>0</v>
      </c>
      <c r="H130" s="88">
        <v>24</v>
      </c>
      <c r="I130" s="90" t="e">
        <f t="shared" si="10"/>
        <v>#REF!</v>
      </c>
      <c r="J130" s="91" t="e">
        <f t="shared" si="11"/>
        <v>#REF!</v>
      </c>
      <c r="K130" s="91"/>
      <c r="L130" s="88" t="e">
        <f t="shared" si="12"/>
        <v>#REF!</v>
      </c>
      <c r="M130" s="88" t="e">
        <f t="shared" si="13"/>
        <v>#REF!</v>
      </c>
      <c r="N130" s="88" t="e">
        <f t="shared" si="14"/>
        <v>#REF!</v>
      </c>
      <c r="O130" s="88"/>
    </row>
    <row r="131" spans="3:15" ht="15" x14ac:dyDescent="0.25">
      <c r="C131" s="88">
        <v>0</v>
      </c>
      <c r="D131" s="88">
        <v>0.9</v>
      </c>
      <c r="E131" s="89" t="e">
        <f>IFERROR(
_xlfn.XLOOKUP(
B131,#REF!,#REF!
),
_xlfn.XLOOKUP(
A131,#REF!,#REF!
)
)</f>
        <v>#REF!</v>
      </c>
      <c r="F131" s="88" t="str">
        <f>IFERROR(
VLOOKUP(
B131,#REF!,
6,
FALSE
),
""
)</f>
        <v/>
      </c>
      <c r="G131" s="88">
        <v>0</v>
      </c>
      <c r="H131" s="88">
        <v>24</v>
      </c>
      <c r="I131" s="90" t="e">
        <f t="shared" ref="I131:I194" si="15">C131+D131+E131</f>
        <v>#REF!</v>
      </c>
      <c r="J131" s="91" t="e">
        <f t="shared" ref="J131:J194" si="16">(I131+G131) / (1 - F131/100 - (1 - 1/(1 + H131/100)))</f>
        <v>#REF!</v>
      </c>
      <c r="K131" s="91"/>
      <c r="L131" s="88" t="e">
        <f t="shared" ref="L131:L194" si="17">J131 * F131 / 100</f>
        <v>#REF!</v>
      </c>
      <c r="M131" s="88" t="e">
        <f t="shared" ref="M131:M194" si="18">J131 - (J131 / (1 + H131/100))</f>
        <v>#REF!</v>
      </c>
      <c r="N131" s="88" t="e">
        <f t="shared" ref="N131:N194" si="19">J131 - L131 - M131</f>
        <v>#REF!</v>
      </c>
      <c r="O131" s="88"/>
    </row>
    <row r="132" spans="3:15" ht="15" x14ac:dyDescent="0.25">
      <c r="C132" s="88">
        <v>0</v>
      </c>
      <c r="D132" s="88">
        <v>0.9</v>
      </c>
      <c r="E132" s="89" t="e">
        <f>IFERROR(
_xlfn.XLOOKUP(
B132,#REF!,#REF!
),
_xlfn.XLOOKUP(
A132,#REF!,#REF!
)
)</f>
        <v>#REF!</v>
      </c>
      <c r="F132" s="88" t="str">
        <f>IFERROR(
VLOOKUP(
B132,#REF!,
6,
FALSE
),
""
)</f>
        <v/>
      </c>
      <c r="G132" s="88">
        <v>0</v>
      </c>
      <c r="H132" s="88">
        <v>24</v>
      </c>
      <c r="I132" s="90" t="e">
        <f t="shared" si="15"/>
        <v>#REF!</v>
      </c>
      <c r="J132" s="91" t="e">
        <f t="shared" si="16"/>
        <v>#REF!</v>
      </c>
      <c r="K132" s="91"/>
      <c r="L132" s="88" t="e">
        <f t="shared" si="17"/>
        <v>#REF!</v>
      </c>
      <c r="M132" s="88" t="e">
        <f t="shared" si="18"/>
        <v>#REF!</v>
      </c>
      <c r="N132" s="88" t="e">
        <f t="shared" si="19"/>
        <v>#REF!</v>
      </c>
      <c r="O132" s="88"/>
    </row>
    <row r="133" spans="3:15" ht="15" x14ac:dyDescent="0.25">
      <c r="C133" s="88">
        <v>0</v>
      </c>
      <c r="D133" s="88">
        <v>0.9</v>
      </c>
      <c r="E133" s="89" t="e">
        <f>IFERROR(
_xlfn.XLOOKUP(
B133,#REF!,#REF!
),
_xlfn.XLOOKUP(
A133,#REF!,#REF!
)
)</f>
        <v>#REF!</v>
      </c>
      <c r="F133" s="88" t="str">
        <f>IFERROR(
VLOOKUP(
B133,#REF!,
6,
FALSE
),
""
)</f>
        <v/>
      </c>
      <c r="G133" s="88">
        <v>0</v>
      </c>
      <c r="H133" s="88">
        <v>24</v>
      </c>
      <c r="I133" s="90" t="e">
        <f t="shared" si="15"/>
        <v>#REF!</v>
      </c>
      <c r="J133" s="91" t="e">
        <f t="shared" si="16"/>
        <v>#REF!</v>
      </c>
      <c r="K133" s="91"/>
      <c r="L133" s="88" t="e">
        <f t="shared" si="17"/>
        <v>#REF!</v>
      </c>
      <c r="M133" s="88" t="e">
        <f t="shared" si="18"/>
        <v>#REF!</v>
      </c>
      <c r="N133" s="88" t="e">
        <f t="shared" si="19"/>
        <v>#REF!</v>
      </c>
      <c r="O133" s="88"/>
    </row>
    <row r="134" spans="3:15" ht="15" x14ac:dyDescent="0.25">
      <c r="C134" s="88">
        <v>0</v>
      </c>
      <c r="D134" s="88">
        <v>0.9</v>
      </c>
      <c r="E134" s="89" t="e">
        <f>IFERROR(
_xlfn.XLOOKUP(
B134,#REF!,#REF!
),
_xlfn.XLOOKUP(
A134,#REF!,#REF!
)
)</f>
        <v>#REF!</v>
      </c>
      <c r="F134" s="88" t="str">
        <f>IFERROR(
VLOOKUP(
B134,#REF!,
6,
FALSE
),
""
)</f>
        <v/>
      </c>
      <c r="G134" s="88">
        <v>0</v>
      </c>
      <c r="H134" s="88">
        <v>24</v>
      </c>
      <c r="I134" s="90" t="e">
        <f t="shared" si="15"/>
        <v>#REF!</v>
      </c>
      <c r="J134" s="91" t="e">
        <f t="shared" si="16"/>
        <v>#REF!</v>
      </c>
      <c r="K134" s="91"/>
      <c r="L134" s="88" t="e">
        <f t="shared" si="17"/>
        <v>#REF!</v>
      </c>
      <c r="M134" s="88" t="e">
        <f t="shared" si="18"/>
        <v>#REF!</v>
      </c>
      <c r="N134" s="88" t="e">
        <f t="shared" si="19"/>
        <v>#REF!</v>
      </c>
      <c r="O134" s="88"/>
    </row>
    <row r="135" spans="3:15" ht="15" x14ac:dyDescent="0.25">
      <c r="C135" s="88">
        <v>0</v>
      </c>
      <c r="D135" s="88">
        <v>0.9</v>
      </c>
      <c r="E135" s="89" t="e">
        <f>IFERROR(
_xlfn.XLOOKUP(
B135,#REF!,#REF!
),
_xlfn.XLOOKUP(
A135,#REF!,#REF!
)
)</f>
        <v>#REF!</v>
      </c>
      <c r="F135" s="88" t="str">
        <f>IFERROR(
VLOOKUP(
B135,#REF!,
6,
FALSE
),
""
)</f>
        <v/>
      </c>
      <c r="G135" s="88">
        <v>0</v>
      </c>
      <c r="H135" s="88">
        <v>24</v>
      </c>
      <c r="I135" s="90" t="e">
        <f t="shared" si="15"/>
        <v>#REF!</v>
      </c>
      <c r="J135" s="91" t="e">
        <f t="shared" si="16"/>
        <v>#REF!</v>
      </c>
      <c r="K135" s="91"/>
      <c r="L135" s="88" t="e">
        <f t="shared" si="17"/>
        <v>#REF!</v>
      </c>
      <c r="M135" s="88" t="e">
        <f t="shared" si="18"/>
        <v>#REF!</v>
      </c>
      <c r="N135" s="88" t="e">
        <f t="shared" si="19"/>
        <v>#REF!</v>
      </c>
      <c r="O135" s="88"/>
    </row>
    <row r="136" spans="3:15" ht="15" x14ac:dyDescent="0.25">
      <c r="C136" s="88">
        <v>0</v>
      </c>
      <c r="D136" s="88">
        <v>0.9</v>
      </c>
      <c r="E136" s="89" t="e">
        <f>IFERROR(
_xlfn.XLOOKUP(
B136,#REF!,#REF!
),
_xlfn.XLOOKUP(
A136,#REF!,#REF!
)
)</f>
        <v>#REF!</v>
      </c>
      <c r="F136" s="88" t="str">
        <f>IFERROR(
VLOOKUP(
B136,#REF!,
6,
FALSE
),
""
)</f>
        <v/>
      </c>
      <c r="G136" s="88">
        <v>0</v>
      </c>
      <c r="H136" s="88">
        <v>24</v>
      </c>
      <c r="I136" s="90" t="e">
        <f t="shared" si="15"/>
        <v>#REF!</v>
      </c>
      <c r="J136" s="91" t="e">
        <f t="shared" si="16"/>
        <v>#REF!</v>
      </c>
      <c r="K136" s="91"/>
      <c r="L136" s="88" t="e">
        <f t="shared" si="17"/>
        <v>#REF!</v>
      </c>
      <c r="M136" s="88" t="e">
        <f t="shared" si="18"/>
        <v>#REF!</v>
      </c>
      <c r="N136" s="88" t="e">
        <f t="shared" si="19"/>
        <v>#REF!</v>
      </c>
      <c r="O136" s="88"/>
    </row>
    <row r="137" spans="3:15" ht="15" x14ac:dyDescent="0.25">
      <c r="C137" s="88">
        <v>0</v>
      </c>
      <c r="D137" s="88">
        <v>0.9</v>
      </c>
      <c r="E137" s="89" t="e">
        <f>IFERROR(
_xlfn.XLOOKUP(
B137,#REF!,#REF!
),
_xlfn.XLOOKUP(
A137,#REF!,#REF!
)
)</f>
        <v>#REF!</v>
      </c>
      <c r="F137" s="88" t="str">
        <f>IFERROR(
VLOOKUP(
B137,#REF!,
6,
FALSE
),
""
)</f>
        <v/>
      </c>
      <c r="G137" s="88">
        <v>0</v>
      </c>
      <c r="H137" s="88">
        <v>24</v>
      </c>
      <c r="I137" s="90" t="e">
        <f t="shared" si="15"/>
        <v>#REF!</v>
      </c>
      <c r="J137" s="91" t="e">
        <f t="shared" si="16"/>
        <v>#REF!</v>
      </c>
      <c r="K137" s="91"/>
      <c r="L137" s="88" t="e">
        <f t="shared" si="17"/>
        <v>#REF!</v>
      </c>
      <c r="M137" s="88" t="e">
        <f t="shared" si="18"/>
        <v>#REF!</v>
      </c>
      <c r="N137" s="88" t="e">
        <f t="shared" si="19"/>
        <v>#REF!</v>
      </c>
      <c r="O137" s="88"/>
    </row>
    <row r="138" spans="3:15" ht="15" x14ac:dyDescent="0.25">
      <c r="C138" s="88">
        <v>0</v>
      </c>
      <c r="D138" s="88">
        <v>0.9</v>
      </c>
      <c r="E138" s="89" t="e">
        <f>IFERROR(
_xlfn.XLOOKUP(
B138,#REF!,#REF!
),
_xlfn.XLOOKUP(
A138,#REF!,#REF!
)
)</f>
        <v>#REF!</v>
      </c>
      <c r="F138" s="88" t="str">
        <f>IFERROR(
VLOOKUP(
B138,#REF!,
6,
FALSE
),
""
)</f>
        <v/>
      </c>
      <c r="G138" s="88">
        <v>0</v>
      </c>
      <c r="H138" s="88">
        <v>24</v>
      </c>
      <c r="I138" s="90" t="e">
        <f t="shared" si="15"/>
        <v>#REF!</v>
      </c>
      <c r="J138" s="91" t="e">
        <f t="shared" si="16"/>
        <v>#REF!</v>
      </c>
      <c r="K138" s="91"/>
      <c r="L138" s="88" t="e">
        <f t="shared" si="17"/>
        <v>#REF!</v>
      </c>
      <c r="M138" s="88" t="e">
        <f t="shared" si="18"/>
        <v>#REF!</v>
      </c>
      <c r="N138" s="88" t="e">
        <f t="shared" si="19"/>
        <v>#REF!</v>
      </c>
      <c r="O138" s="88"/>
    </row>
    <row r="139" spans="3:15" ht="15" x14ac:dyDescent="0.25">
      <c r="C139" s="88">
        <v>0</v>
      </c>
      <c r="D139" s="88">
        <v>0.9</v>
      </c>
      <c r="E139" s="89" t="e">
        <f>IFERROR(
_xlfn.XLOOKUP(
B139,#REF!,#REF!
),
_xlfn.XLOOKUP(
A139,#REF!,#REF!
)
)</f>
        <v>#REF!</v>
      </c>
      <c r="F139" s="88" t="str">
        <f>IFERROR(
VLOOKUP(
B139,#REF!,
6,
FALSE
),
""
)</f>
        <v/>
      </c>
      <c r="G139" s="88">
        <v>0</v>
      </c>
      <c r="H139" s="88">
        <v>24</v>
      </c>
      <c r="I139" s="90" t="e">
        <f t="shared" si="15"/>
        <v>#REF!</v>
      </c>
      <c r="J139" s="91" t="e">
        <f t="shared" si="16"/>
        <v>#REF!</v>
      </c>
      <c r="K139" s="91"/>
      <c r="L139" s="88" t="e">
        <f t="shared" si="17"/>
        <v>#REF!</v>
      </c>
      <c r="M139" s="88" t="e">
        <f t="shared" si="18"/>
        <v>#REF!</v>
      </c>
      <c r="N139" s="88" t="e">
        <f t="shared" si="19"/>
        <v>#REF!</v>
      </c>
      <c r="O139" s="88"/>
    </row>
    <row r="140" spans="3:15" ht="15" x14ac:dyDescent="0.25">
      <c r="C140" s="88">
        <v>0</v>
      </c>
      <c r="D140" s="88">
        <v>0.9</v>
      </c>
      <c r="E140" s="89" t="e">
        <f>IFERROR(
_xlfn.XLOOKUP(
B140,#REF!,#REF!
),
_xlfn.XLOOKUP(
A140,#REF!,#REF!
)
)</f>
        <v>#REF!</v>
      </c>
      <c r="F140" s="88" t="str">
        <f>IFERROR(
VLOOKUP(
B140,#REF!,
6,
FALSE
),
""
)</f>
        <v/>
      </c>
      <c r="G140" s="88">
        <v>0</v>
      </c>
      <c r="H140" s="88">
        <v>24</v>
      </c>
      <c r="I140" s="90" t="e">
        <f t="shared" si="15"/>
        <v>#REF!</v>
      </c>
      <c r="J140" s="91" t="e">
        <f t="shared" si="16"/>
        <v>#REF!</v>
      </c>
      <c r="K140" s="91"/>
      <c r="L140" s="88" t="e">
        <f t="shared" si="17"/>
        <v>#REF!</v>
      </c>
      <c r="M140" s="88" t="e">
        <f t="shared" si="18"/>
        <v>#REF!</v>
      </c>
      <c r="N140" s="88" t="e">
        <f t="shared" si="19"/>
        <v>#REF!</v>
      </c>
      <c r="O140" s="88"/>
    </row>
    <row r="141" spans="3:15" ht="15" x14ac:dyDescent="0.25">
      <c r="C141" s="88">
        <v>0</v>
      </c>
      <c r="D141" s="88">
        <v>0.9</v>
      </c>
      <c r="E141" s="89" t="e">
        <f>IFERROR(
_xlfn.XLOOKUP(
B141,#REF!,#REF!
),
_xlfn.XLOOKUP(
A141,#REF!,#REF!
)
)</f>
        <v>#REF!</v>
      </c>
      <c r="F141" s="88" t="str">
        <f>IFERROR(
VLOOKUP(
B141,#REF!,
6,
FALSE
),
""
)</f>
        <v/>
      </c>
      <c r="G141" s="88">
        <v>0</v>
      </c>
      <c r="H141" s="88">
        <v>24</v>
      </c>
      <c r="I141" s="90" t="e">
        <f t="shared" si="15"/>
        <v>#REF!</v>
      </c>
      <c r="J141" s="91" t="e">
        <f t="shared" si="16"/>
        <v>#REF!</v>
      </c>
      <c r="K141" s="91"/>
      <c r="L141" s="88" t="e">
        <f t="shared" si="17"/>
        <v>#REF!</v>
      </c>
      <c r="M141" s="88" t="e">
        <f t="shared" si="18"/>
        <v>#REF!</v>
      </c>
      <c r="N141" s="88" t="e">
        <f t="shared" si="19"/>
        <v>#REF!</v>
      </c>
      <c r="O141" s="88"/>
    </row>
    <row r="142" spans="3:15" ht="15" x14ac:dyDescent="0.25">
      <c r="C142" s="88">
        <v>0</v>
      </c>
      <c r="D142" s="88">
        <v>0.9</v>
      </c>
      <c r="E142" s="89" t="e">
        <f>IFERROR(
_xlfn.XLOOKUP(
B142,#REF!,#REF!
),
_xlfn.XLOOKUP(
A142,#REF!,#REF!
)
)</f>
        <v>#REF!</v>
      </c>
      <c r="F142" s="88" t="str">
        <f>IFERROR(
VLOOKUP(
B142,#REF!,
6,
FALSE
),
""
)</f>
        <v/>
      </c>
      <c r="G142" s="88">
        <v>0</v>
      </c>
      <c r="H142" s="88">
        <v>24</v>
      </c>
      <c r="I142" s="90" t="e">
        <f t="shared" si="15"/>
        <v>#REF!</v>
      </c>
      <c r="J142" s="91" t="e">
        <f t="shared" si="16"/>
        <v>#REF!</v>
      </c>
      <c r="K142" s="91"/>
      <c r="L142" s="88" t="e">
        <f t="shared" si="17"/>
        <v>#REF!</v>
      </c>
      <c r="M142" s="88" t="e">
        <f t="shared" si="18"/>
        <v>#REF!</v>
      </c>
      <c r="N142" s="88" t="e">
        <f t="shared" si="19"/>
        <v>#REF!</v>
      </c>
      <c r="O142" s="88"/>
    </row>
    <row r="143" spans="3:15" ht="15" x14ac:dyDescent="0.25">
      <c r="C143" s="88">
        <v>0</v>
      </c>
      <c r="D143" s="88">
        <v>0.9</v>
      </c>
      <c r="E143" s="89" t="e">
        <f>IFERROR(
_xlfn.XLOOKUP(
B143,#REF!,#REF!
),
_xlfn.XLOOKUP(
A143,#REF!,#REF!
)
)</f>
        <v>#REF!</v>
      </c>
      <c r="F143" s="88" t="str">
        <f>IFERROR(
VLOOKUP(
B143,#REF!,
6,
FALSE
),
""
)</f>
        <v/>
      </c>
      <c r="G143" s="88">
        <v>0</v>
      </c>
      <c r="H143" s="88">
        <v>24</v>
      </c>
      <c r="I143" s="90" t="e">
        <f t="shared" si="15"/>
        <v>#REF!</v>
      </c>
      <c r="J143" s="91" t="e">
        <f t="shared" si="16"/>
        <v>#REF!</v>
      </c>
      <c r="K143" s="91"/>
      <c r="L143" s="88" t="e">
        <f t="shared" si="17"/>
        <v>#REF!</v>
      </c>
      <c r="M143" s="88" t="e">
        <f t="shared" si="18"/>
        <v>#REF!</v>
      </c>
      <c r="N143" s="88" t="e">
        <f t="shared" si="19"/>
        <v>#REF!</v>
      </c>
      <c r="O143" s="88"/>
    </row>
    <row r="144" spans="3:15" ht="15" x14ac:dyDescent="0.25">
      <c r="C144" s="88">
        <v>0</v>
      </c>
      <c r="D144" s="88">
        <v>0.9</v>
      </c>
      <c r="E144" s="89" t="e">
        <f>IFERROR(
_xlfn.XLOOKUP(
B144,#REF!,#REF!
),
_xlfn.XLOOKUP(
A144,#REF!,#REF!
)
)</f>
        <v>#REF!</v>
      </c>
      <c r="F144" s="88" t="str">
        <f>IFERROR(
VLOOKUP(
B144,#REF!,
6,
FALSE
),
""
)</f>
        <v/>
      </c>
      <c r="G144" s="88">
        <v>0</v>
      </c>
      <c r="H144" s="88">
        <v>24</v>
      </c>
      <c r="I144" s="90" t="e">
        <f t="shared" si="15"/>
        <v>#REF!</v>
      </c>
      <c r="J144" s="91" t="e">
        <f t="shared" si="16"/>
        <v>#REF!</v>
      </c>
      <c r="K144" s="91"/>
      <c r="L144" s="88" t="e">
        <f t="shared" si="17"/>
        <v>#REF!</v>
      </c>
      <c r="M144" s="88" t="e">
        <f t="shared" si="18"/>
        <v>#REF!</v>
      </c>
      <c r="N144" s="88" t="e">
        <f t="shared" si="19"/>
        <v>#REF!</v>
      </c>
      <c r="O144" s="88"/>
    </row>
    <row r="145" spans="3:15" ht="15" x14ac:dyDescent="0.25">
      <c r="C145" s="88">
        <v>0</v>
      </c>
      <c r="D145" s="88">
        <v>0.9</v>
      </c>
      <c r="E145" s="89" t="e">
        <f>IFERROR(
_xlfn.XLOOKUP(
B145,#REF!,#REF!
),
_xlfn.XLOOKUP(
A145,#REF!,#REF!
)
)</f>
        <v>#REF!</v>
      </c>
      <c r="F145" s="88" t="str">
        <f>IFERROR(
VLOOKUP(
B145,#REF!,
6,
FALSE
),
""
)</f>
        <v/>
      </c>
      <c r="G145" s="88">
        <v>0</v>
      </c>
      <c r="H145" s="88">
        <v>24</v>
      </c>
      <c r="I145" s="90" t="e">
        <f t="shared" si="15"/>
        <v>#REF!</v>
      </c>
      <c r="J145" s="91" t="e">
        <f t="shared" si="16"/>
        <v>#REF!</v>
      </c>
      <c r="K145" s="91"/>
      <c r="L145" s="88" t="e">
        <f t="shared" si="17"/>
        <v>#REF!</v>
      </c>
      <c r="M145" s="88" t="e">
        <f t="shared" si="18"/>
        <v>#REF!</v>
      </c>
      <c r="N145" s="88" t="e">
        <f t="shared" si="19"/>
        <v>#REF!</v>
      </c>
      <c r="O145" s="88"/>
    </row>
    <row r="146" spans="3:15" ht="15" x14ac:dyDescent="0.25">
      <c r="C146" s="88">
        <v>0</v>
      </c>
      <c r="D146" s="88">
        <v>0.9</v>
      </c>
      <c r="E146" s="89" t="e">
        <f>IFERROR(
_xlfn.XLOOKUP(
B146,#REF!,#REF!
),
_xlfn.XLOOKUP(
A146,#REF!,#REF!
)
)</f>
        <v>#REF!</v>
      </c>
      <c r="F146" s="88" t="str">
        <f>IFERROR(
VLOOKUP(
B146,#REF!,
6,
FALSE
),
""
)</f>
        <v/>
      </c>
      <c r="G146" s="88">
        <v>0</v>
      </c>
      <c r="H146" s="88">
        <v>24</v>
      </c>
      <c r="I146" s="90" t="e">
        <f t="shared" si="15"/>
        <v>#REF!</v>
      </c>
      <c r="J146" s="91" t="e">
        <f t="shared" si="16"/>
        <v>#REF!</v>
      </c>
      <c r="K146" s="91"/>
      <c r="L146" s="88" t="e">
        <f t="shared" si="17"/>
        <v>#REF!</v>
      </c>
      <c r="M146" s="88" t="e">
        <f t="shared" si="18"/>
        <v>#REF!</v>
      </c>
      <c r="N146" s="88" t="e">
        <f t="shared" si="19"/>
        <v>#REF!</v>
      </c>
      <c r="O146" s="88"/>
    </row>
    <row r="147" spans="3:15" ht="15" x14ac:dyDescent="0.25">
      <c r="C147" s="88">
        <v>0</v>
      </c>
      <c r="D147" s="88">
        <v>0.9</v>
      </c>
      <c r="E147" s="89" t="e">
        <f>IFERROR(
_xlfn.XLOOKUP(
B147,#REF!,#REF!
),
_xlfn.XLOOKUP(
A147,#REF!,#REF!
)
)</f>
        <v>#REF!</v>
      </c>
      <c r="F147" s="88" t="str">
        <f>IFERROR(
VLOOKUP(
B147,#REF!,
6,
FALSE
),
""
)</f>
        <v/>
      </c>
      <c r="G147" s="88">
        <v>0</v>
      </c>
      <c r="H147" s="88">
        <v>24</v>
      </c>
      <c r="I147" s="90" t="e">
        <f t="shared" si="15"/>
        <v>#REF!</v>
      </c>
      <c r="J147" s="91" t="e">
        <f t="shared" si="16"/>
        <v>#REF!</v>
      </c>
      <c r="K147" s="91"/>
      <c r="L147" s="88" t="e">
        <f t="shared" si="17"/>
        <v>#REF!</v>
      </c>
      <c r="M147" s="88" t="e">
        <f t="shared" si="18"/>
        <v>#REF!</v>
      </c>
      <c r="N147" s="88" t="e">
        <f t="shared" si="19"/>
        <v>#REF!</v>
      </c>
      <c r="O147" s="88"/>
    </row>
    <row r="148" spans="3:15" ht="15" x14ac:dyDescent="0.25">
      <c r="C148" s="88">
        <v>0</v>
      </c>
      <c r="D148" s="88">
        <v>0.9</v>
      </c>
      <c r="E148" s="89" t="e">
        <f>IFERROR(
_xlfn.XLOOKUP(
B148,#REF!,#REF!
),
_xlfn.XLOOKUP(
A148,#REF!,#REF!
)
)</f>
        <v>#REF!</v>
      </c>
      <c r="F148" s="88" t="str">
        <f>IFERROR(
VLOOKUP(
B148,#REF!,
6,
FALSE
),
""
)</f>
        <v/>
      </c>
      <c r="G148" s="88">
        <v>0</v>
      </c>
      <c r="H148" s="88">
        <v>24</v>
      </c>
      <c r="I148" s="90" t="e">
        <f t="shared" si="15"/>
        <v>#REF!</v>
      </c>
      <c r="J148" s="91" t="e">
        <f t="shared" si="16"/>
        <v>#REF!</v>
      </c>
      <c r="K148" s="91"/>
      <c r="L148" s="88" t="e">
        <f t="shared" si="17"/>
        <v>#REF!</v>
      </c>
      <c r="M148" s="88" t="e">
        <f t="shared" si="18"/>
        <v>#REF!</v>
      </c>
      <c r="N148" s="88" t="e">
        <f t="shared" si="19"/>
        <v>#REF!</v>
      </c>
      <c r="O148" s="88"/>
    </row>
    <row r="149" spans="3:15" ht="15" x14ac:dyDescent="0.25">
      <c r="C149" s="88">
        <v>0</v>
      </c>
      <c r="D149" s="88">
        <v>0.9</v>
      </c>
      <c r="E149" s="89" t="e">
        <f>IFERROR(
_xlfn.XLOOKUP(
B149,#REF!,#REF!
),
_xlfn.XLOOKUP(
A149,#REF!,#REF!
)
)</f>
        <v>#REF!</v>
      </c>
      <c r="F149" s="88" t="str">
        <f>IFERROR(
VLOOKUP(
B149,#REF!,
6,
FALSE
),
""
)</f>
        <v/>
      </c>
      <c r="G149" s="88">
        <v>0</v>
      </c>
      <c r="H149" s="88">
        <v>24</v>
      </c>
      <c r="I149" s="90" t="e">
        <f t="shared" si="15"/>
        <v>#REF!</v>
      </c>
      <c r="J149" s="91" t="e">
        <f t="shared" si="16"/>
        <v>#REF!</v>
      </c>
      <c r="K149" s="91"/>
      <c r="L149" s="88" t="e">
        <f t="shared" si="17"/>
        <v>#REF!</v>
      </c>
      <c r="M149" s="88" t="e">
        <f t="shared" si="18"/>
        <v>#REF!</v>
      </c>
      <c r="N149" s="88" t="e">
        <f t="shared" si="19"/>
        <v>#REF!</v>
      </c>
      <c r="O149" s="88"/>
    </row>
    <row r="150" spans="3:15" ht="15" x14ac:dyDescent="0.25">
      <c r="C150" s="88">
        <v>0</v>
      </c>
      <c r="D150" s="88">
        <v>0.9</v>
      </c>
      <c r="E150" s="89" t="e">
        <f>IFERROR(
_xlfn.XLOOKUP(
B150,#REF!,#REF!
),
_xlfn.XLOOKUP(
A150,#REF!,#REF!
)
)</f>
        <v>#REF!</v>
      </c>
      <c r="F150" s="88" t="str">
        <f>IFERROR(
VLOOKUP(
B150,#REF!,
6,
FALSE
),
""
)</f>
        <v/>
      </c>
      <c r="G150" s="88">
        <v>0</v>
      </c>
      <c r="H150" s="88">
        <v>24</v>
      </c>
      <c r="I150" s="90" t="e">
        <f t="shared" si="15"/>
        <v>#REF!</v>
      </c>
      <c r="J150" s="91" t="e">
        <f t="shared" si="16"/>
        <v>#REF!</v>
      </c>
      <c r="K150" s="91"/>
      <c r="L150" s="88" t="e">
        <f t="shared" si="17"/>
        <v>#REF!</v>
      </c>
      <c r="M150" s="88" t="e">
        <f t="shared" si="18"/>
        <v>#REF!</v>
      </c>
      <c r="N150" s="88" t="e">
        <f t="shared" si="19"/>
        <v>#REF!</v>
      </c>
      <c r="O150" s="88"/>
    </row>
    <row r="151" spans="3:15" ht="15" x14ac:dyDescent="0.25">
      <c r="C151" s="88">
        <v>0</v>
      </c>
      <c r="D151" s="88">
        <v>0.9</v>
      </c>
      <c r="E151" s="89" t="e">
        <f>IFERROR(
_xlfn.XLOOKUP(
B151,#REF!,#REF!
),
_xlfn.XLOOKUP(
A151,#REF!,#REF!
)
)</f>
        <v>#REF!</v>
      </c>
      <c r="F151" s="88" t="str">
        <f>IFERROR(
VLOOKUP(
B151,#REF!,
6,
FALSE
),
""
)</f>
        <v/>
      </c>
      <c r="G151" s="88">
        <v>0</v>
      </c>
      <c r="H151" s="88">
        <v>24</v>
      </c>
      <c r="I151" s="90" t="e">
        <f t="shared" si="15"/>
        <v>#REF!</v>
      </c>
      <c r="J151" s="91" t="e">
        <f t="shared" si="16"/>
        <v>#REF!</v>
      </c>
      <c r="K151" s="91"/>
      <c r="L151" s="88" t="e">
        <f t="shared" si="17"/>
        <v>#REF!</v>
      </c>
      <c r="M151" s="88" t="e">
        <f t="shared" si="18"/>
        <v>#REF!</v>
      </c>
      <c r="N151" s="88" t="e">
        <f t="shared" si="19"/>
        <v>#REF!</v>
      </c>
      <c r="O151" s="88"/>
    </row>
    <row r="152" spans="3:15" ht="15" x14ac:dyDescent="0.25">
      <c r="C152" s="88">
        <v>0</v>
      </c>
      <c r="D152" s="88">
        <v>0.9</v>
      </c>
      <c r="E152" s="89" t="e">
        <f>IFERROR(
_xlfn.XLOOKUP(
B152,#REF!,#REF!
),
_xlfn.XLOOKUP(
A152,#REF!,#REF!
)
)</f>
        <v>#REF!</v>
      </c>
      <c r="F152" s="88" t="str">
        <f>IFERROR(
VLOOKUP(
B152,#REF!,
6,
FALSE
),
""
)</f>
        <v/>
      </c>
      <c r="G152" s="88">
        <v>0</v>
      </c>
      <c r="H152" s="88">
        <v>24</v>
      </c>
      <c r="I152" s="90" t="e">
        <f t="shared" si="15"/>
        <v>#REF!</v>
      </c>
      <c r="J152" s="91" t="e">
        <f t="shared" si="16"/>
        <v>#REF!</v>
      </c>
      <c r="K152" s="91"/>
      <c r="L152" s="88" t="e">
        <f t="shared" si="17"/>
        <v>#REF!</v>
      </c>
      <c r="M152" s="88" t="e">
        <f t="shared" si="18"/>
        <v>#REF!</v>
      </c>
      <c r="N152" s="88" t="e">
        <f t="shared" si="19"/>
        <v>#REF!</v>
      </c>
      <c r="O152" s="88"/>
    </row>
    <row r="153" spans="3:15" ht="15" x14ac:dyDescent="0.25">
      <c r="C153" s="88">
        <v>0</v>
      </c>
      <c r="D153" s="88">
        <v>0.9</v>
      </c>
      <c r="E153" s="89" t="e">
        <f>IFERROR(
_xlfn.XLOOKUP(
B153,#REF!,#REF!
),
_xlfn.XLOOKUP(
A153,#REF!,#REF!
)
)</f>
        <v>#REF!</v>
      </c>
      <c r="F153" s="88" t="str">
        <f>IFERROR(
VLOOKUP(
B153,#REF!,
6,
FALSE
),
""
)</f>
        <v/>
      </c>
      <c r="G153" s="88">
        <v>0</v>
      </c>
      <c r="H153" s="88">
        <v>24</v>
      </c>
      <c r="I153" s="90" t="e">
        <f t="shared" si="15"/>
        <v>#REF!</v>
      </c>
      <c r="J153" s="91" t="e">
        <f t="shared" si="16"/>
        <v>#REF!</v>
      </c>
      <c r="K153" s="91"/>
      <c r="L153" s="88" t="e">
        <f t="shared" si="17"/>
        <v>#REF!</v>
      </c>
      <c r="M153" s="88" t="e">
        <f t="shared" si="18"/>
        <v>#REF!</v>
      </c>
      <c r="N153" s="88" t="e">
        <f t="shared" si="19"/>
        <v>#REF!</v>
      </c>
      <c r="O153" s="88"/>
    </row>
    <row r="154" spans="3:15" ht="15" x14ac:dyDescent="0.25">
      <c r="C154" s="88">
        <v>0</v>
      </c>
      <c r="D154" s="88">
        <v>0.9</v>
      </c>
      <c r="E154" s="89" t="e">
        <f>IFERROR(
_xlfn.XLOOKUP(
B154,#REF!,#REF!
),
_xlfn.XLOOKUP(
A154,#REF!,#REF!
)
)</f>
        <v>#REF!</v>
      </c>
      <c r="F154" s="88" t="str">
        <f>IFERROR(
VLOOKUP(
B154,#REF!,
6,
FALSE
),
""
)</f>
        <v/>
      </c>
      <c r="G154" s="88">
        <v>0</v>
      </c>
      <c r="H154" s="88">
        <v>24</v>
      </c>
      <c r="I154" s="90" t="e">
        <f t="shared" si="15"/>
        <v>#REF!</v>
      </c>
      <c r="J154" s="91" t="e">
        <f t="shared" si="16"/>
        <v>#REF!</v>
      </c>
      <c r="K154" s="91"/>
      <c r="L154" s="88" t="e">
        <f t="shared" si="17"/>
        <v>#REF!</v>
      </c>
      <c r="M154" s="88" t="e">
        <f t="shared" si="18"/>
        <v>#REF!</v>
      </c>
      <c r="N154" s="88" t="e">
        <f t="shared" si="19"/>
        <v>#REF!</v>
      </c>
      <c r="O154" s="88"/>
    </row>
    <row r="155" spans="3:15" ht="15" x14ac:dyDescent="0.25">
      <c r="C155" s="88">
        <v>0</v>
      </c>
      <c r="D155" s="88">
        <v>0.9</v>
      </c>
      <c r="E155" s="89" t="e">
        <f>IFERROR(
_xlfn.XLOOKUP(
B155,#REF!,#REF!
),
_xlfn.XLOOKUP(
A155,#REF!,#REF!
)
)</f>
        <v>#REF!</v>
      </c>
      <c r="F155" s="88" t="str">
        <f>IFERROR(
VLOOKUP(
B155,#REF!,
6,
FALSE
),
""
)</f>
        <v/>
      </c>
      <c r="G155" s="88">
        <v>0</v>
      </c>
      <c r="H155" s="88">
        <v>24</v>
      </c>
      <c r="I155" s="90" t="e">
        <f t="shared" si="15"/>
        <v>#REF!</v>
      </c>
      <c r="J155" s="91" t="e">
        <f t="shared" si="16"/>
        <v>#REF!</v>
      </c>
      <c r="K155" s="91"/>
      <c r="L155" s="88" t="e">
        <f t="shared" si="17"/>
        <v>#REF!</v>
      </c>
      <c r="M155" s="88" t="e">
        <f t="shared" si="18"/>
        <v>#REF!</v>
      </c>
      <c r="N155" s="88" t="e">
        <f t="shared" si="19"/>
        <v>#REF!</v>
      </c>
      <c r="O155" s="88"/>
    </row>
    <row r="156" spans="3:15" ht="15" x14ac:dyDescent="0.25">
      <c r="C156" s="88">
        <v>0</v>
      </c>
      <c r="D156" s="88">
        <v>0.9</v>
      </c>
      <c r="E156" s="89" t="e">
        <f>IFERROR(
_xlfn.XLOOKUP(
B156,#REF!,#REF!
),
_xlfn.XLOOKUP(
A156,#REF!,#REF!
)
)</f>
        <v>#REF!</v>
      </c>
      <c r="F156" s="88" t="str">
        <f>IFERROR(
VLOOKUP(
B156,#REF!,
6,
FALSE
),
""
)</f>
        <v/>
      </c>
      <c r="G156" s="88">
        <v>0</v>
      </c>
      <c r="H156" s="88">
        <v>24</v>
      </c>
      <c r="I156" s="90" t="e">
        <f t="shared" si="15"/>
        <v>#REF!</v>
      </c>
      <c r="J156" s="91" t="e">
        <f t="shared" si="16"/>
        <v>#REF!</v>
      </c>
      <c r="K156" s="91"/>
      <c r="L156" s="88" t="e">
        <f t="shared" si="17"/>
        <v>#REF!</v>
      </c>
      <c r="M156" s="88" t="e">
        <f t="shared" si="18"/>
        <v>#REF!</v>
      </c>
      <c r="N156" s="88" t="e">
        <f t="shared" si="19"/>
        <v>#REF!</v>
      </c>
      <c r="O156" s="88"/>
    </row>
    <row r="157" spans="3:15" ht="15" x14ac:dyDescent="0.25">
      <c r="C157" s="88">
        <v>0</v>
      </c>
      <c r="D157" s="88">
        <v>0.9</v>
      </c>
      <c r="E157" s="89" t="e">
        <f>IFERROR(
_xlfn.XLOOKUP(
B157,#REF!,#REF!
),
_xlfn.XLOOKUP(
A157,#REF!,#REF!
)
)</f>
        <v>#REF!</v>
      </c>
      <c r="F157" s="88" t="str">
        <f>IFERROR(
VLOOKUP(
B157,#REF!,
6,
FALSE
),
""
)</f>
        <v/>
      </c>
      <c r="G157" s="88">
        <v>0</v>
      </c>
      <c r="H157" s="88">
        <v>24</v>
      </c>
      <c r="I157" s="90" t="e">
        <f t="shared" si="15"/>
        <v>#REF!</v>
      </c>
      <c r="J157" s="91" t="e">
        <f t="shared" si="16"/>
        <v>#REF!</v>
      </c>
      <c r="K157" s="91"/>
      <c r="L157" s="88" t="e">
        <f t="shared" si="17"/>
        <v>#REF!</v>
      </c>
      <c r="M157" s="88" t="e">
        <f t="shared" si="18"/>
        <v>#REF!</v>
      </c>
      <c r="N157" s="88" t="e">
        <f t="shared" si="19"/>
        <v>#REF!</v>
      </c>
      <c r="O157" s="88"/>
    </row>
    <row r="158" spans="3:15" ht="15" x14ac:dyDescent="0.25">
      <c r="C158" s="88">
        <v>0</v>
      </c>
      <c r="D158" s="88">
        <v>0.9</v>
      </c>
      <c r="E158" s="89" t="e">
        <f>IFERROR(
_xlfn.XLOOKUP(
B158,#REF!,#REF!
),
_xlfn.XLOOKUP(
A158,#REF!,#REF!
)
)</f>
        <v>#REF!</v>
      </c>
      <c r="F158" s="88" t="str">
        <f>IFERROR(
VLOOKUP(
B158,#REF!,
6,
FALSE
),
""
)</f>
        <v/>
      </c>
      <c r="G158" s="88">
        <v>0</v>
      </c>
      <c r="H158" s="88">
        <v>24</v>
      </c>
      <c r="I158" s="90" t="e">
        <f t="shared" si="15"/>
        <v>#REF!</v>
      </c>
      <c r="J158" s="91" t="e">
        <f t="shared" si="16"/>
        <v>#REF!</v>
      </c>
      <c r="K158" s="91"/>
      <c r="L158" s="88" t="e">
        <f t="shared" si="17"/>
        <v>#REF!</v>
      </c>
      <c r="M158" s="88" t="e">
        <f t="shared" si="18"/>
        <v>#REF!</v>
      </c>
      <c r="N158" s="88" t="e">
        <f t="shared" si="19"/>
        <v>#REF!</v>
      </c>
      <c r="O158" s="88"/>
    </row>
    <row r="159" spans="3:15" ht="15" x14ac:dyDescent="0.25">
      <c r="C159" s="88">
        <v>0</v>
      </c>
      <c r="D159" s="88">
        <v>0.9</v>
      </c>
      <c r="E159" s="89" t="e">
        <f>IFERROR(
_xlfn.XLOOKUP(
B159,#REF!,#REF!
),
_xlfn.XLOOKUP(
A159,#REF!,#REF!
)
)</f>
        <v>#REF!</v>
      </c>
      <c r="F159" s="88" t="str">
        <f>IFERROR(
VLOOKUP(
B159,#REF!,
6,
FALSE
),
""
)</f>
        <v/>
      </c>
      <c r="G159" s="88">
        <v>0</v>
      </c>
      <c r="H159" s="88">
        <v>24</v>
      </c>
      <c r="I159" s="90" t="e">
        <f t="shared" si="15"/>
        <v>#REF!</v>
      </c>
      <c r="J159" s="91" t="e">
        <f t="shared" si="16"/>
        <v>#REF!</v>
      </c>
      <c r="K159" s="91"/>
      <c r="L159" s="88" t="e">
        <f t="shared" si="17"/>
        <v>#REF!</v>
      </c>
      <c r="M159" s="88" t="e">
        <f t="shared" si="18"/>
        <v>#REF!</v>
      </c>
      <c r="N159" s="88" t="e">
        <f t="shared" si="19"/>
        <v>#REF!</v>
      </c>
      <c r="O159" s="88"/>
    </row>
    <row r="160" spans="3:15" ht="15" x14ac:dyDescent="0.25">
      <c r="C160" s="88">
        <v>0</v>
      </c>
      <c r="D160" s="88">
        <v>0.9</v>
      </c>
      <c r="E160" s="89" t="e">
        <f>IFERROR(
_xlfn.XLOOKUP(
B160,#REF!,#REF!
),
_xlfn.XLOOKUP(
A160,#REF!,#REF!
)
)</f>
        <v>#REF!</v>
      </c>
      <c r="F160" s="88" t="str">
        <f>IFERROR(
VLOOKUP(
B160,#REF!,
6,
FALSE
),
""
)</f>
        <v/>
      </c>
      <c r="G160" s="88">
        <v>0</v>
      </c>
      <c r="H160" s="88">
        <v>24</v>
      </c>
      <c r="I160" s="90" t="e">
        <f t="shared" si="15"/>
        <v>#REF!</v>
      </c>
      <c r="J160" s="91" t="e">
        <f t="shared" si="16"/>
        <v>#REF!</v>
      </c>
      <c r="K160" s="91"/>
      <c r="L160" s="88" t="e">
        <f t="shared" si="17"/>
        <v>#REF!</v>
      </c>
      <c r="M160" s="88" t="e">
        <f t="shared" si="18"/>
        <v>#REF!</v>
      </c>
      <c r="N160" s="88" t="e">
        <f t="shared" si="19"/>
        <v>#REF!</v>
      </c>
      <c r="O160" s="88"/>
    </row>
    <row r="161" spans="3:15" ht="15" x14ac:dyDescent="0.25">
      <c r="C161" s="88">
        <v>0</v>
      </c>
      <c r="D161" s="88">
        <v>0.9</v>
      </c>
      <c r="E161" s="89" t="e">
        <f>IFERROR(
_xlfn.XLOOKUP(
B161,#REF!,#REF!
),
_xlfn.XLOOKUP(
A161,#REF!,#REF!
)
)</f>
        <v>#REF!</v>
      </c>
      <c r="F161" s="88" t="str">
        <f>IFERROR(
VLOOKUP(
B161,#REF!,
6,
FALSE
),
""
)</f>
        <v/>
      </c>
      <c r="G161" s="88">
        <v>0</v>
      </c>
      <c r="H161" s="88">
        <v>24</v>
      </c>
      <c r="I161" s="90" t="e">
        <f t="shared" si="15"/>
        <v>#REF!</v>
      </c>
      <c r="J161" s="91" t="e">
        <f t="shared" si="16"/>
        <v>#REF!</v>
      </c>
      <c r="K161" s="91"/>
      <c r="L161" s="88" t="e">
        <f t="shared" si="17"/>
        <v>#REF!</v>
      </c>
      <c r="M161" s="88" t="e">
        <f t="shared" si="18"/>
        <v>#REF!</v>
      </c>
      <c r="N161" s="88" t="e">
        <f t="shared" si="19"/>
        <v>#REF!</v>
      </c>
      <c r="O161" s="88"/>
    </row>
    <row r="162" spans="3:15" ht="15" x14ac:dyDescent="0.25">
      <c r="C162" s="88">
        <v>0</v>
      </c>
      <c r="D162" s="88">
        <v>0.9</v>
      </c>
      <c r="E162" s="89" t="e">
        <f>IFERROR(
_xlfn.XLOOKUP(
B162,#REF!,#REF!
),
_xlfn.XLOOKUP(
A162,#REF!,#REF!
)
)</f>
        <v>#REF!</v>
      </c>
      <c r="F162" s="88" t="str">
        <f>IFERROR(
VLOOKUP(
B162,#REF!,
6,
FALSE
),
""
)</f>
        <v/>
      </c>
      <c r="G162" s="88">
        <v>0</v>
      </c>
      <c r="H162" s="88">
        <v>24</v>
      </c>
      <c r="I162" s="90" t="e">
        <f t="shared" si="15"/>
        <v>#REF!</v>
      </c>
      <c r="J162" s="91" t="e">
        <f t="shared" si="16"/>
        <v>#REF!</v>
      </c>
      <c r="K162" s="91"/>
      <c r="L162" s="88" t="e">
        <f t="shared" si="17"/>
        <v>#REF!</v>
      </c>
      <c r="M162" s="88" t="e">
        <f t="shared" si="18"/>
        <v>#REF!</v>
      </c>
      <c r="N162" s="88" t="e">
        <f t="shared" si="19"/>
        <v>#REF!</v>
      </c>
      <c r="O162" s="88"/>
    </row>
    <row r="163" spans="3:15" ht="15" x14ac:dyDescent="0.25">
      <c r="C163" s="88">
        <v>0</v>
      </c>
      <c r="D163" s="88">
        <v>0.9</v>
      </c>
      <c r="E163" s="89" t="e">
        <f>IFERROR(
_xlfn.XLOOKUP(
B163,#REF!,#REF!
),
_xlfn.XLOOKUP(
A163,#REF!,#REF!
)
)</f>
        <v>#REF!</v>
      </c>
      <c r="F163" s="88" t="str">
        <f>IFERROR(
VLOOKUP(
B163,#REF!,
6,
FALSE
),
""
)</f>
        <v/>
      </c>
      <c r="G163" s="88">
        <v>0</v>
      </c>
      <c r="H163" s="88">
        <v>24</v>
      </c>
      <c r="I163" s="90" t="e">
        <f t="shared" si="15"/>
        <v>#REF!</v>
      </c>
      <c r="J163" s="91" t="e">
        <f t="shared" si="16"/>
        <v>#REF!</v>
      </c>
      <c r="K163" s="91"/>
      <c r="L163" s="88" t="e">
        <f t="shared" si="17"/>
        <v>#REF!</v>
      </c>
      <c r="M163" s="88" t="e">
        <f t="shared" si="18"/>
        <v>#REF!</v>
      </c>
      <c r="N163" s="88" t="e">
        <f t="shared" si="19"/>
        <v>#REF!</v>
      </c>
      <c r="O163" s="88"/>
    </row>
    <row r="164" spans="3:15" ht="15" x14ac:dyDescent="0.25">
      <c r="C164" s="88">
        <v>0</v>
      </c>
      <c r="D164" s="88">
        <v>0.9</v>
      </c>
      <c r="E164" s="89" t="e">
        <f>IFERROR(
_xlfn.XLOOKUP(
B164,#REF!,#REF!
),
_xlfn.XLOOKUP(
A164,#REF!,#REF!
)
)</f>
        <v>#REF!</v>
      </c>
      <c r="F164" s="88" t="str">
        <f>IFERROR(
VLOOKUP(
B164,#REF!,
6,
FALSE
),
""
)</f>
        <v/>
      </c>
      <c r="G164" s="88">
        <v>0</v>
      </c>
      <c r="H164" s="88">
        <v>24</v>
      </c>
      <c r="I164" s="90" t="e">
        <f t="shared" si="15"/>
        <v>#REF!</v>
      </c>
      <c r="J164" s="91" t="e">
        <f t="shared" si="16"/>
        <v>#REF!</v>
      </c>
      <c r="K164" s="91"/>
      <c r="L164" s="88" t="e">
        <f t="shared" si="17"/>
        <v>#REF!</v>
      </c>
      <c r="M164" s="88" t="e">
        <f t="shared" si="18"/>
        <v>#REF!</v>
      </c>
      <c r="N164" s="88" t="e">
        <f t="shared" si="19"/>
        <v>#REF!</v>
      </c>
      <c r="O164" s="88"/>
    </row>
    <row r="165" spans="3:15" ht="15" x14ac:dyDescent="0.25">
      <c r="C165" s="88">
        <v>0</v>
      </c>
      <c r="D165" s="88">
        <v>0.9</v>
      </c>
      <c r="E165" s="89" t="e">
        <f>IFERROR(
_xlfn.XLOOKUP(
B165,#REF!,#REF!
),
_xlfn.XLOOKUP(
A165,#REF!,#REF!
)
)</f>
        <v>#REF!</v>
      </c>
      <c r="F165" s="88" t="str">
        <f>IFERROR(
VLOOKUP(
B165,#REF!,
6,
FALSE
),
""
)</f>
        <v/>
      </c>
      <c r="G165" s="88">
        <v>0</v>
      </c>
      <c r="H165" s="88">
        <v>24</v>
      </c>
      <c r="I165" s="90" t="e">
        <f t="shared" si="15"/>
        <v>#REF!</v>
      </c>
      <c r="J165" s="91" t="e">
        <f t="shared" si="16"/>
        <v>#REF!</v>
      </c>
      <c r="K165" s="91"/>
      <c r="L165" s="88" t="e">
        <f t="shared" si="17"/>
        <v>#REF!</v>
      </c>
      <c r="M165" s="88" t="e">
        <f t="shared" si="18"/>
        <v>#REF!</v>
      </c>
      <c r="N165" s="88" t="e">
        <f t="shared" si="19"/>
        <v>#REF!</v>
      </c>
      <c r="O165" s="88"/>
    </row>
    <row r="166" spans="3:15" ht="15" x14ac:dyDescent="0.25">
      <c r="C166" s="88">
        <v>0</v>
      </c>
      <c r="D166" s="88">
        <v>0.9</v>
      </c>
      <c r="E166" s="89" t="e">
        <f>IFERROR(
_xlfn.XLOOKUP(
B166,#REF!,#REF!
),
_xlfn.XLOOKUP(
A166,#REF!,#REF!
)
)</f>
        <v>#REF!</v>
      </c>
      <c r="F166" s="88" t="str">
        <f>IFERROR(
VLOOKUP(
B166,#REF!,
6,
FALSE
),
""
)</f>
        <v/>
      </c>
      <c r="G166" s="88">
        <v>0</v>
      </c>
      <c r="H166" s="88">
        <v>24</v>
      </c>
      <c r="I166" s="90" t="e">
        <f t="shared" si="15"/>
        <v>#REF!</v>
      </c>
      <c r="J166" s="91" t="e">
        <f t="shared" si="16"/>
        <v>#REF!</v>
      </c>
      <c r="K166" s="91"/>
      <c r="L166" s="88" t="e">
        <f t="shared" si="17"/>
        <v>#REF!</v>
      </c>
      <c r="M166" s="88" t="e">
        <f t="shared" si="18"/>
        <v>#REF!</v>
      </c>
      <c r="N166" s="88" t="e">
        <f t="shared" si="19"/>
        <v>#REF!</v>
      </c>
      <c r="O166" s="88"/>
    </row>
    <row r="167" spans="3:15" ht="15" x14ac:dyDescent="0.25">
      <c r="C167" s="88">
        <v>0</v>
      </c>
      <c r="D167" s="88">
        <v>0.9</v>
      </c>
      <c r="E167" s="89" t="e">
        <f>IFERROR(
_xlfn.XLOOKUP(
B167,#REF!,#REF!
),
_xlfn.XLOOKUP(
A167,#REF!,#REF!
)
)</f>
        <v>#REF!</v>
      </c>
      <c r="F167" s="88" t="str">
        <f>IFERROR(
VLOOKUP(
B167,#REF!,
6,
FALSE
),
""
)</f>
        <v/>
      </c>
      <c r="G167" s="88">
        <v>0</v>
      </c>
      <c r="H167" s="88">
        <v>24</v>
      </c>
      <c r="I167" s="90" t="e">
        <f t="shared" si="15"/>
        <v>#REF!</v>
      </c>
      <c r="J167" s="91" t="e">
        <f t="shared" si="16"/>
        <v>#REF!</v>
      </c>
      <c r="K167" s="91"/>
      <c r="L167" s="88" t="e">
        <f t="shared" si="17"/>
        <v>#REF!</v>
      </c>
      <c r="M167" s="88" t="e">
        <f t="shared" si="18"/>
        <v>#REF!</v>
      </c>
      <c r="N167" s="88" t="e">
        <f t="shared" si="19"/>
        <v>#REF!</v>
      </c>
      <c r="O167" s="88"/>
    </row>
    <row r="168" spans="3:15" ht="15" x14ac:dyDescent="0.25">
      <c r="C168" s="88">
        <v>0</v>
      </c>
      <c r="D168" s="88">
        <v>0.9</v>
      </c>
      <c r="E168" s="89" t="e">
        <f>IFERROR(
_xlfn.XLOOKUP(
B168,#REF!,#REF!
),
_xlfn.XLOOKUP(
A168,#REF!,#REF!
)
)</f>
        <v>#REF!</v>
      </c>
      <c r="F168" s="88" t="str">
        <f>IFERROR(
VLOOKUP(
B168,#REF!,
6,
FALSE
),
""
)</f>
        <v/>
      </c>
      <c r="G168" s="88">
        <v>0</v>
      </c>
      <c r="H168" s="88">
        <v>24</v>
      </c>
      <c r="I168" s="90" t="e">
        <f t="shared" si="15"/>
        <v>#REF!</v>
      </c>
      <c r="J168" s="91" t="e">
        <f t="shared" si="16"/>
        <v>#REF!</v>
      </c>
      <c r="K168" s="91"/>
      <c r="L168" s="88" t="e">
        <f t="shared" si="17"/>
        <v>#REF!</v>
      </c>
      <c r="M168" s="88" t="e">
        <f t="shared" si="18"/>
        <v>#REF!</v>
      </c>
      <c r="N168" s="88" t="e">
        <f t="shared" si="19"/>
        <v>#REF!</v>
      </c>
      <c r="O168" s="88"/>
    </row>
    <row r="169" spans="3:15" ht="15" x14ac:dyDescent="0.25">
      <c r="C169" s="88">
        <v>0</v>
      </c>
      <c r="D169" s="88">
        <v>0.9</v>
      </c>
      <c r="E169" s="89" t="e">
        <f>IFERROR(
_xlfn.XLOOKUP(
B169,#REF!,#REF!
),
_xlfn.XLOOKUP(
A169,#REF!,#REF!
)
)</f>
        <v>#REF!</v>
      </c>
      <c r="F169" s="88" t="str">
        <f>IFERROR(
VLOOKUP(
B169,#REF!,
6,
FALSE
),
""
)</f>
        <v/>
      </c>
      <c r="G169" s="88">
        <v>0</v>
      </c>
      <c r="H169" s="88">
        <v>24</v>
      </c>
      <c r="I169" s="90" t="e">
        <f t="shared" si="15"/>
        <v>#REF!</v>
      </c>
      <c r="J169" s="91" t="e">
        <f t="shared" si="16"/>
        <v>#REF!</v>
      </c>
      <c r="K169" s="91"/>
      <c r="L169" s="88" t="e">
        <f t="shared" si="17"/>
        <v>#REF!</v>
      </c>
      <c r="M169" s="88" t="e">
        <f t="shared" si="18"/>
        <v>#REF!</v>
      </c>
      <c r="N169" s="88" t="e">
        <f t="shared" si="19"/>
        <v>#REF!</v>
      </c>
      <c r="O169" s="88"/>
    </row>
    <row r="170" spans="3:15" ht="15" x14ac:dyDescent="0.25">
      <c r="C170" s="88">
        <v>0</v>
      </c>
      <c r="D170" s="88">
        <v>0.9</v>
      </c>
      <c r="E170" s="89" t="e">
        <f>IFERROR(
_xlfn.XLOOKUP(
B170,#REF!,#REF!
),
_xlfn.XLOOKUP(
A170,#REF!,#REF!
)
)</f>
        <v>#REF!</v>
      </c>
      <c r="F170" s="88" t="str">
        <f>IFERROR(
VLOOKUP(
B170,#REF!,
6,
FALSE
),
""
)</f>
        <v/>
      </c>
      <c r="G170" s="88">
        <v>0</v>
      </c>
      <c r="H170" s="88">
        <v>24</v>
      </c>
      <c r="I170" s="90" t="e">
        <f t="shared" si="15"/>
        <v>#REF!</v>
      </c>
      <c r="J170" s="91" t="e">
        <f t="shared" si="16"/>
        <v>#REF!</v>
      </c>
      <c r="K170" s="91"/>
      <c r="L170" s="88" t="e">
        <f t="shared" si="17"/>
        <v>#REF!</v>
      </c>
      <c r="M170" s="88" t="e">
        <f t="shared" si="18"/>
        <v>#REF!</v>
      </c>
      <c r="N170" s="88" t="e">
        <f t="shared" si="19"/>
        <v>#REF!</v>
      </c>
      <c r="O170" s="88"/>
    </row>
    <row r="171" spans="3:15" ht="15" x14ac:dyDescent="0.25">
      <c r="C171" s="88">
        <v>0</v>
      </c>
      <c r="D171" s="88">
        <v>0.9</v>
      </c>
      <c r="E171" s="89" t="e">
        <f>IFERROR(
_xlfn.XLOOKUP(
B171,#REF!,#REF!
),
_xlfn.XLOOKUP(
A171,#REF!,#REF!
)
)</f>
        <v>#REF!</v>
      </c>
      <c r="F171" s="88" t="str">
        <f>IFERROR(
VLOOKUP(
B171,#REF!,
6,
FALSE
),
""
)</f>
        <v/>
      </c>
      <c r="G171" s="88">
        <v>0</v>
      </c>
      <c r="H171" s="88">
        <v>24</v>
      </c>
      <c r="I171" s="90" t="e">
        <f t="shared" si="15"/>
        <v>#REF!</v>
      </c>
      <c r="J171" s="91" t="e">
        <f t="shared" si="16"/>
        <v>#REF!</v>
      </c>
      <c r="K171" s="91"/>
      <c r="L171" s="88" t="e">
        <f t="shared" si="17"/>
        <v>#REF!</v>
      </c>
      <c r="M171" s="88" t="e">
        <f t="shared" si="18"/>
        <v>#REF!</v>
      </c>
      <c r="N171" s="88" t="e">
        <f t="shared" si="19"/>
        <v>#REF!</v>
      </c>
      <c r="O171" s="88"/>
    </row>
    <row r="172" spans="3:15" ht="15" x14ac:dyDescent="0.25">
      <c r="C172" s="88">
        <v>0</v>
      </c>
      <c r="D172" s="88">
        <v>0.9</v>
      </c>
      <c r="E172" s="89" t="e">
        <f>IFERROR(
_xlfn.XLOOKUP(
B172,#REF!,#REF!
),
_xlfn.XLOOKUP(
A172,#REF!,#REF!
)
)</f>
        <v>#REF!</v>
      </c>
      <c r="F172" s="88" t="str">
        <f>IFERROR(
VLOOKUP(
B172,#REF!,
6,
FALSE
),
""
)</f>
        <v/>
      </c>
      <c r="G172" s="88">
        <v>0</v>
      </c>
      <c r="H172" s="88">
        <v>24</v>
      </c>
      <c r="I172" s="90" t="e">
        <f t="shared" si="15"/>
        <v>#REF!</v>
      </c>
      <c r="J172" s="91" t="e">
        <f t="shared" si="16"/>
        <v>#REF!</v>
      </c>
      <c r="K172" s="91"/>
      <c r="L172" s="88" t="e">
        <f t="shared" si="17"/>
        <v>#REF!</v>
      </c>
      <c r="M172" s="88" t="e">
        <f t="shared" si="18"/>
        <v>#REF!</v>
      </c>
      <c r="N172" s="88" t="e">
        <f t="shared" si="19"/>
        <v>#REF!</v>
      </c>
      <c r="O172" s="88"/>
    </row>
    <row r="173" spans="3:15" ht="15" x14ac:dyDescent="0.25">
      <c r="C173" s="88">
        <v>0</v>
      </c>
      <c r="D173" s="88">
        <v>0.9</v>
      </c>
      <c r="E173" s="89" t="e">
        <f>IFERROR(
_xlfn.XLOOKUP(
B173,#REF!,#REF!
),
_xlfn.XLOOKUP(
A173,#REF!,#REF!
)
)</f>
        <v>#REF!</v>
      </c>
      <c r="F173" s="88" t="str">
        <f>IFERROR(
VLOOKUP(
B173,#REF!,
6,
FALSE
),
""
)</f>
        <v/>
      </c>
      <c r="G173" s="88">
        <v>0</v>
      </c>
      <c r="H173" s="88">
        <v>24</v>
      </c>
      <c r="I173" s="90" t="e">
        <f t="shared" si="15"/>
        <v>#REF!</v>
      </c>
      <c r="J173" s="91" t="e">
        <f t="shared" si="16"/>
        <v>#REF!</v>
      </c>
      <c r="K173" s="91"/>
      <c r="L173" s="88" t="e">
        <f t="shared" si="17"/>
        <v>#REF!</v>
      </c>
      <c r="M173" s="88" t="e">
        <f t="shared" si="18"/>
        <v>#REF!</v>
      </c>
      <c r="N173" s="88" t="e">
        <f t="shared" si="19"/>
        <v>#REF!</v>
      </c>
      <c r="O173" s="88"/>
    </row>
    <row r="174" spans="3:15" ht="15" x14ac:dyDescent="0.25">
      <c r="C174" s="88">
        <v>0</v>
      </c>
      <c r="D174" s="88">
        <v>0.9</v>
      </c>
      <c r="E174" s="89" t="e">
        <f>IFERROR(
_xlfn.XLOOKUP(
B174,#REF!,#REF!
),
_xlfn.XLOOKUP(
A174,#REF!,#REF!
)
)</f>
        <v>#REF!</v>
      </c>
      <c r="F174" s="88" t="str">
        <f>IFERROR(
VLOOKUP(
B174,#REF!,
6,
FALSE
),
""
)</f>
        <v/>
      </c>
      <c r="G174" s="88">
        <v>0</v>
      </c>
      <c r="H174" s="88">
        <v>24</v>
      </c>
      <c r="I174" s="90" t="e">
        <f t="shared" si="15"/>
        <v>#REF!</v>
      </c>
      <c r="J174" s="91" t="e">
        <f t="shared" si="16"/>
        <v>#REF!</v>
      </c>
      <c r="K174" s="91"/>
      <c r="L174" s="88" t="e">
        <f t="shared" si="17"/>
        <v>#REF!</v>
      </c>
      <c r="M174" s="88" t="e">
        <f t="shared" si="18"/>
        <v>#REF!</v>
      </c>
      <c r="N174" s="88" t="e">
        <f t="shared" si="19"/>
        <v>#REF!</v>
      </c>
      <c r="O174" s="88"/>
    </row>
    <row r="175" spans="3:15" ht="15" x14ac:dyDescent="0.25">
      <c r="C175" s="88">
        <v>0</v>
      </c>
      <c r="D175" s="88">
        <v>0.9</v>
      </c>
      <c r="E175" s="89" t="e">
        <f>IFERROR(
_xlfn.XLOOKUP(
B175,#REF!,#REF!
),
_xlfn.XLOOKUP(
A175,#REF!,#REF!
)
)</f>
        <v>#REF!</v>
      </c>
      <c r="F175" s="88" t="str">
        <f>IFERROR(
VLOOKUP(
B175,#REF!,
6,
FALSE
),
""
)</f>
        <v/>
      </c>
      <c r="G175" s="88">
        <v>0</v>
      </c>
      <c r="H175" s="88">
        <v>24</v>
      </c>
      <c r="I175" s="90" t="e">
        <f t="shared" si="15"/>
        <v>#REF!</v>
      </c>
      <c r="J175" s="91" t="e">
        <f t="shared" si="16"/>
        <v>#REF!</v>
      </c>
      <c r="K175" s="91"/>
      <c r="L175" s="88" t="e">
        <f t="shared" si="17"/>
        <v>#REF!</v>
      </c>
      <c r="M175" s="88" t="e">
        <f t="shared" si="18"/>
        <v>#REF!</v>
      </c>
      <c r="N175" s="88" t="e">
        <f t="shared" si="19"/>
        <v>#REF!</v>
      </c>
      <c r="O175" s="88"/>
    </row>
    <row r="176" spans="3:15" ht="15" x14ac:dyDescent="0.25">
      <c r="C176" s="88">
        <v>0</v>
      </c>
      <c r="D176" s="88">
        <v>0.9</v>
      </c>
      <c r="E176" s="89" t="e">
        <f>IFERROR(
_xlfn.XLOOKUP(
B176,#REF!,#REF!
),
_xlfn.XLOOKUP(
A176,#REF!,#REF!
)
)</f>
        <v>#REF!</v>
      </c>
      <c r="F176" s="88" t="str">
        <f>IFERROR(
VLOOKUP(
B176,#REF!,
6,
FALSE
),
""
)</f>
        <v/>
      </c>
      <c r="G176" s="88">
        <v>0</v>
      </c>
      <c r="H176" s="88">
        <v>24</v>
      </c>
      <c r="I176" s="90" t="e">
        <f t="shared" si="15"/>
        <v>#REF!</v>
      </c>
      <c r="J176" s="91" t="e">
        <f t="shared" si="16"/>
        <v>#REF!</v>
      </c>
      <c r="K176" s="91"/>
      <c r="L176" s="88" t="e">
        <f t="shared" si="17"/>
        <v>#REF!</v>
      </c>
      <c r="M176" s="88" t="e">
        <f t="shared" si="18"/>
        <v>#REF!</v>
      </c>
      <c r="N176" s="88" t="e">
        <f t="shared" si="19"/>
        <v>#REF!</v>
      </c>
      <c r="O176" s="88"/>
    </row>
    <row r="177" spans="3:15" ht="15" x14ac:dyDescent="0.25">
      <c r="C177" s="88">
        <v>0</v>
      </c>
      <c r="D177" s="88">
        <v>0.9</v>
      </c>
      <c r="E177" s="89" t="e">
        <f>IFERROR(
_xlfn.XLOOKUP(
B177,#REF!,#REF!
),
_xlfn.XLOOKUP(
A177,#REF!,#REF!
)
)</f>
        <v>#REF!</v>
      </c>
      <c r="F177" s="88" t="str">
        <f>IFERROR(
VLOOKUP(
B177,#REF!,
6,
FALSE
),
""
)</f>
        <v/>
      </c>
      <c r="G177" s="88">
        <v>0</v>
      </c>
      <c r="H177" s="88">
        <v>24</v>
      </c>
      <c r="I177" s="90" t="e">
        <f t="shared" si="15"/>
        <v>#REF!</v>
      </c>
      <c r="J177" s="91" t="e">
        <f t="shared" si="16"/>
        <v>#REF!</v>
      </c>
      <c r="K177" s="91"/>
      <c r="L177" s="88" t="e">
        <f t="shared" si="17"/>
        <v>#REF!</v>
      </c>
      <c r="M177" s="88" t="e">
        <f t="shared" si="18"/>
        <v>#REF!</v>
      </c>
      <c r="N177" s="88" t="e">
        <f t="shared" si="19"/>
        <v>#REF!</v>
      </c>
      <c r="O177" s="88"/>
    </row>
    <row r="178" spans="3:15" ht="15" x14ac:dyDescent="0.25">
      <c r="C178" s="88">
        <v>0</v>
      </c>
      <c r="D178" s="88">
        <v>0.9</v>
      </c>
      <c r="E178" s="89" t="e">
        <f>IFERROR(
_xlfn.XLOOKUP(
B178,#REF!,#REF!
),
_xlfn.XLOOKUP(
A178,#REF!,#REF!
)
)</f>
        <v>#REF!</v>
      </c>
      <c r="F178" s="88" t="str">
        <f>IFERROR(
VLOOKUP(
B178,#REF!,
6,
FALSE
),
""
)</f>
        <v/>
      </c>
      <c r="G178" s="88">
        <v>0</v>
      </c>
      <c r="H178" s="88">
        <v>24</v>
      </c>
      <c r="I178" s="90" t="e">
        <f t="shared" si="15"/>
        <v>#REF!</v>
      </c>
      <c r="J178" s="91" t="e">
        <f t="shared" si="16"/>
        <v>#REF!</v>
      </c>
      <c r="K178" s="91"/>
      <c r="L178" s="88" t="e">
        <f t="shared" si="17"/>
        <v>#REF!</v>
      </c>
      <c r="M178" s="88" t="e">
        <f t="shared" si="18"/>
        <v>#REF!</v>
      </c>
      <c r="N178" s="88" t="e">
        <f t="shared" si="19"/>
        <v>#REF!</v>
      </c>
      <c r="O178" s="88"/>
    </row>
    <row r="179" spans="3:15" ht="15" x14ac:dyDescent="0.25">
      <c r="C179" s="88">
        <v>0</v>
      </c>
      <c r="D179" s="88">
        <v>0.9</v>
      </c>
      <c r="E179" s="89" t="e">
        <f>IFERROR(
_xlfn.XLOOKUP(
B179,#REF!,#REF!
),
_xlfn.XLOOKUP(
A179,#REF!,#REF!
)
)</f>
        <v>#REF!</v>
      </c>
      <c r="F179" s="88" t="str">
        <f>IFERROR(
VLOOKUP(
B179,#REF!,
6,
FALSE
),
""
)</f>
        <v/>
      </c>
      <c r="G179" s="88">
        <v>0</v>
      </c>
      <c r="H179" s="88">
        <v>24</v>
      </c>
      <c r="I179" s="90" t="e">
        <f t="shared" si="15"/>
        <v>#REF!</v>
      </c>
      <c r="J179" s="91" t="e">
        <f t="shared" si="16"/>
        <v>#REF!</v>
      </c>
      <c r="K179" s="91"/>
      <c r="L179" s="88" t="e">
        <f t="shared" si="17"/>
        <v>#REF!</v>
      </c>
      <c r="M179" s="88" t="e">
        <f t="shared" si="18"/>
        <v>#REF!</v>
      </c>
      <c r="N179" s="88" t="e">
        <f t="shared" si="19"/>
        <v>#REF!</v>
      </c>
      <c r="O179" s="88"/>
    </row>
    <row r="180" spans="3:15" ht="15" x14ac:dyDescent="0.25">
      <c r="C180" s="88">
        <v>0</v>
      </c>
      <c r="D180" s="88">
        <v>0.9</v>
      </c>
      <c r="E180" s="89" t="e">
        <f>IFERROR(
_xlfn.XLOOKUP(
B180,#REF!,#REF!
),
_xlfn.XLOOKUP(
A180,#REF!,#REF!
)
)</f>
        <v>#REF!</v>
      </c>
      <c r="F180" s="88" t="str">
        <f>IFERROR(
VLOOKUP(
B180,#REF!,
6,
FALSE
),
""
)</f>
        <v/>
      </c>
      <c r="G180" s="88">
        <v>0</v>
      </c>
      <c r="H180" s="88">
        <v>24</v>
      </c>
      <c r="I180" s="90" t="e">
        <f t="shared" si="15"/>
        <v>#REF!</v>
      </c>
      <c r="J180" s="91" t="e">
        <f t="shared" si="16"/>
        <v>#REF!</v>
      </c>
      <c r="K180" s="91"/>
      <c r="L180" s="88" t="e">
        <f t="shared" si="17"/>
        <v>#REF!</v>
      </c>
      <c r="M180" s="88" t="e">
        <f t="shared" si="18"/>
        <v>#REF!</v>
      </c>
      <c r="N180" s="88" t="e">
        <f t="shared" si="19"/>
        <v>#REF!</v>
      </c>
      <c r="O180" s="88"/>
    </row>
    <row r="181" spans="3:15" ht="15" x14ac:dyDescent="0.25">
      <c r="C181" s="88">
        <v>0</v>
      </c>
      <c r="D181" s="88">
        <v>0.9</v>
      </c>
      <c r="E181" s="89" t="e">
        <f>IFERROR(
_xlfn.XLOOKUP(
B181,#REF!,#REF!
),
_xlfn.XLOOKUP(
A181,#REF!,#REF!
)
)</f>
        <v>#REF!</v>
      </c>
      <c r="F181" s="88" t="str">
        <f>IFERROR(
VLOOKUP(
B181,#REF!,
6,
FALSE
),
""
)</f>
        <v/>
      </c>
      <c r="G181" s="88">
        <v>0</v>
      </c>
      <c r="H181" s="88">
        <v>24</v>
      </c>
      <c r="I181" s="90" t="e">
        <f t="shared" si="15"/>
        <v>#REF!</v>
      </c>
      <c r="J181" s="91" t="e">
        <f t="shared" si="16"/>
        <v>#REF!</v>
      </c>
      <c r="K181" s="91"/>
      <c r="L181" s="88" t="e">
        <f t="shared" si="17"/>
        <v>#REF!</v>
      </c>
      <c r="M181" s="88" t="e">
        <f t="shared" si="18"/>
        <v>#REF!</v>
      </c>
      <c r="N181" s="88" t="e">
        <f t="shared" si="19"/>
        <v>#REF!</v>
      </c>
      <c r="O181" s="88"/>
    </row>
    <row r="182" spans="3:15" ht="15" x14ac:dyDescent="0.25">
      <c r="C182" s="88">
        <v>0</v>
      </c>
      <c r="D182" s="88">
        <v>0.9</v>
      </c>
      <c r="E182" s="89" t="e">
        <f>IFERROR(
_xlfn.XLOOKUP(
B182,#REF!,#REF!
),
_xlfn.XLOOKUP(
A182,#REF!,#REF!
)
)</f>
        <v>#REF!</v>
      </c>
      <c r="F182" s="88" t="str">
        <f>IFERROR(
VLOOKUP(
B182,#REF!,
6,
FALSE
),
""
)</f>
        <v/>
      </c>
      <c r="G182" s="88">
        <v>0</v>
      </c>
      <c r="H182" s="88">
        <v>24</v>
      </c>
      <c r="I182" s="90" t="e">
        <f t="shared" si="15"/>
        <v>#REF!</v>
      </c>
      <c r="J182" s="91" t="e">
        <f t="shared" si="16"/>
        <v>#REF!</v>
      </c>
      <c r="K182" s="91"/>
      <c r="L182" s="88" t="e">
        <f t="shared" si="17"/>
        <v>#REF!</v>
      </c>
      <c r="M182" s="88" t="e">
        <f t="shared" si="18"/>
        <v>#REF!</v>
      </c>
      <c r="N182" s="88" t="e">
        <f t="shared" si="19"/>
        <v>#REF!</v>
      </c>
      <c r="O182" s="88"/>
    </row>
    <row r="183" spans="3:15" ht="15" x14ac:dyDescent="0.25">
      <c r="C183" s="88">
        <v>0</v>
      </c>
      <c r="D183" s="88">
        <v>0.9</v>
      </c>
      <c r="E183" s="89" t="e">
        <f>IFERROR(
_xlfn.XLOOKUP(
B183,#REF!,#REF!
),
_xlfn.XLOOKUP(
A183,#REF!,#REF!
)
)</f>
        <v>#REF!</v>
      </c>
      <c r="F183" s="88" t="str">
        <f>IFERROR(
VLOOKUP(
B183,#REF!,
6,
FALSE
),
""
)</f>
        <v/>
      </c>
      <c r="G183" s="88">
        <v>0</v>
      </c>
      <c r="H183" s="88">
        <v>24</v>
      </c>
      <c r="I183" s="90" t="e">
        <f t="shared" si="15"/>
        <v>#REF!</v>
      </c>
      <c r="J183" s="91" t="e">
        <f t="shared" si="16"/>
        <v>#REF!</v>
      </c>
      <c r="K183" s="91"/>
      <c r="L183" s="88" t="e">
        <f t="shared" si="17"/>
        <v>#REF!</v>
      </c>
      <c r="M183" s="88" t="e">
        <f t="shared" si="18"/>
        <v>#REF!</v>
      </c>
      <c r="N183" s="88" t="e">
        <f t="shared" si="19"/>
        <v>#REF!</v>
      </c>
      <c r="O183" s="88"/>
    </row>
    <row r="184" spans="3:15" ht="15" x14ac:dyDescent="0.25">
      <c r="C184" s="88">
        <v>0</v>
      </c>
      <c r="D184" s="88">
        <v>0.9</v>
      </c>
      <c r="E184" s="89" t="e">
        <f>IFERROR(
_xlfn.XLOOKUP(
B184,#REF!,#REF!
),
_xlfn.XLOOKUP(
A184,#REF!,#REF!
)
)</f>
        <v>#REF!</v>
      </c>
      <c r="F184" s="88" t="str">
        <f>IFERROR(
VLOOKUP(
B184,#REF!,
6,
FALSE
),
""
)</f>
        <v/>
      </c>
      <c r="G184" s="88">
        <v>0</v>
      </c>
      <c r="H184" s="88">
        <v>24</v>
      </c>
      <c r="I184" s="90" t="e">
        <f t="shared" si="15"/>
        <v>#REF!</v>
      </c>
      <c r="J184" s="91" t="e">
        <f t="shared" si="16"/>
        <v>#REF!</v>
      </c>
      <c r="K184" s="91"/>
      <c r="L184" s="88" t="e">
        <f t="shared" si="17"/>
        <v>#REF!</v>
      </c>
      <c r="M184" s="88" t="e">
        <f t="shared" si="18"/>
        <v>#REF!</v>
      </c>
      <c r="N184" s="88" t="e">
        <f t="shared" si="19"/>
        <v>#REF!</v>
      </c>
      <c r="O184" s="88"/>
    </row>
    <row r="185" spans="3:15" ht="15" x14ac:dyDescent="0.25">
      <c r="C185" s="88">
        <v>0</v>
      </c>
      <c r="D185" s="88">
        <v>0.9</v>
      </c>
      <c r="E185" s="89" t="e">
        <f>IFERROR(
_xlfn.XLOOKUP(
B185,#REF!,#REF!
),
_xlfn.XLOOKUP(
A185,#REF!,#REF!
)
)</f>
        <v>#REF!</v>
      </c>
      <c r="F185" s="88" t="str">
        <f>IFERROR(
VLOOKUP(
B185,#REF!,
6,
FALSE
),
""
)</f>
        <v/>
      </c>
      <c r="G185" s="88">
        <v>0</v>
      </c>
      <c r="H185" s="88">
        <v>24</v>
      </c>
      <c r="I185" s="90" t="e">
        <f t="shared" si="15"/>
        <v>#REF!</v>
      </c>
      <c r="J185" s="91" t="e">
        <f t="shared" si="16"/>
        <v>#REF!</v>
      </c>
      <c r="K185" s="91"/>
      <c r="L185" s="88" t="e">
        <f t="shared" si="17"/>
        <v>#REF!</v>
      </c>
      <c r="M185" s="88" t="e">
        <f t="shared" si="18"/>
        <v>#REF!</v>
      </c>
      <c r="N185" s="88" t="e">
        <f t="shared" si="19"/>
        <v>#REF!</v>
      </c>
      <c r="O185" s="88"/>
    </row>
    <row r="186" spans="3:15" ht="15" x14ac:dyDescent="0.25">
      <c r="C186" s="88">
        <v>0</v>
      </c>
      <c r="D186" s="88">
        <v>0.9</v>
      </c>
      <c r="E186" s="89" t="e">
        <f>IFERROR(
_xlfn.XLOOKUP(
B186,#REF!,#REF!
),
_xlfn.XLOOKUP(
A186,#REF!,#REF!
)
)</f>
        <v>#REF!</v>
      </c>
      <c r="F186" s="88" t="str">
        <f>IFERROR(
VLOOKUP(
B186,#REF!,
6,
FALSE
),
""
)</f>
        <v/>
      </c>
      <c r="G186" s="88">
        <v>0</v>
      </c>
      <c r="H186" s="88">
        <v>24</v>
      </c>
      <c r="I186" s="90" t="e">
        <f t="shared" si="15"/>
        <v>#REF!</v>
      </c>
      <c r="J186" s="91" t="e">
        <f t="shared" si="16"/>
        <v>#REF!</v>
      </c>
      <c r="K186" s="91"/>
      <c r="L186" s="88" t="e">
        <f t="shared" si="17"/>
        <v>#REF!</v>
      </c>
      <c r="M186" s="88" t="e">
        <f t="shared" si="18"/>
        <v>#REF!</v>
      </c>
      <c r="N186" s="88" t="e">
        <f t="shared" si="19"/>
        <v>#REF!</v>
      </c>
      <c r="O186" s="88"/>
    </row>
    <row r="187" spans="3:15" ht="15" x14ac:dyDescent="0.25">
      <c r="C187" s="88">
        <v>0</v>
      </c>
      <c r="D187" s="88">
        <v>0.9</v>
      </c>
      <c r="E187" s="89" t="e">
        <f>IFERROR(
_xlfn.XLOOKUP(
B187,#REF!,#REF!
),
_xlfn.XLOOKUP(
A187,#REF!,#REF!
)
)</f>
        <v>#REF!</v>
      </c>
      <c r="F187" s="88" t="str">
        <f>IFERROR(
VLOOKUP(
B187,#REF!,
6,
FALSE
),
""
)</f>
        <v/>
      </c>
      <c r="G187" s="88">
        <v>0</v>
      </c>
      <c r="H187" s="88">
        <v>24</v>
      </c>
      <c r="I187" s="90" t="e">
        <f t="shared" si="15"/>
        <v>#REF!</v>
      </c>
      <c r="J187" s="91" t="e">
        <f t="shared" si="16"/>
        <v>#REF!</v>
      </c>
      <c r="K187" s="91"/>
      <c r="L187" s="88" t="e">
        <f t="shared" si="17"/>
        <v>#REF!</v>
      </c>
      <c r="M187" s="88" t="e">
        <f t="shared" si="18"/>
        <v>#REF!</v>
      </c>
      <c r="N187" s="88" t="e">
        <f t="shared" si="19"/>
        <v>#REF!</v>
      </c>
      <c r="O187" s="88"/>
    </row>
    <row r="188" spans="3:15" ht="15" x14ac:dyDescent="0.25">
      <c r="C188" s="88">
        <v>0</v>
      </c>
      <c r="D188" s="88">
        <v>0.9</v>
      </c>
      <c r="E188" s="89" t="e">
        <f>IFERROR(
_xlfn.XLOOKUP(
B188,#REF!,#REF!
),
_xlfn.XLOOKUP(
A188,#REF!,#REF!
)
)</f>
        <v>#REF!</v>
      </c>
      <c r="F188" s="88" t="str">
        <f>IFERROR(
VLOOKUP(
B188,#REF!,
6,
FALSE
),
""
)</f>
        <v/>
      </c>
      <c r="G188" s="88">
        <v>0</v>
      </c>
      <c r="H188" s="88">
        <v>24</v>
      </c>
      <c r="I188" s="90" t="e">
        <f t="shared" si="15"/>
        <v>#REF!</v>
      </c>
      <c r="J188" s="91" t="e">
        <f t="shared" si="16"/>
        <v>#REF!</v>
      </c>
      <c r="K188" s="91"/>
      <c r="L188" s="88" t="e">
        <f t="shared" si="17"/>
        <v>#REF!</v>
      </c>
      <c r="M188" s="88" t="e">
        <f t="shared" si="18"/>
        <v>#REF!</v>
      </c>
      <c r="N188" s="88" t="e">
        <f t="shared" si="19"/>
        <v>#REF!</v>
      </c>
      <c r="O188" s="88"/>
    </row>
    <row r="189" spans="3:15" ht="15" x14ac:dyDescent="0.25">
      <c r="C189" s="88">
        <v>0</v>
      </c>
      <c r="D189" s="88">
        <v>0.9</v>
      </c>
      <c r="E189" s="89" t="e">
        <f>IFERROR(
_xlfn.XLOOKUP(
B189,#REF!,#REF!
),
_xlfn.XLOOKUP(
A189,#REF!,#REF!
)
)</f>
        <v>#REF!</v>
      </c>
      <c r="F189" s="88" t="str">
        <f>IFERROR(
VLOOKUP(
B189,#REF!,
6,
FALSE
),
""
)</f>
        <v/>
      </c>
      <c r="G189" s="88">
        <v>0</v>
      </c>
      <c r="H189" s="88">
        <v>24</v>
      </c>
      <c r="I189" s="90" t="e">
        <f t="shared" si="15"/>
        <v>#REF!</v>
      </c>
      <c r="J189" s="91" t="e">
        <f t="shared" si="16"/>
        <v>#REF!</v>
      </c>
      <c r="K189" s="91"/>
      <c r="L189" s="88" t="e">
        <f t="shared" si="17"/>
        <v>#REF!</v>
      </c>
      <c r="M189" s="88" t="e">
        <f t="shared" si="18"/>
        <v>#REF!</v>
      </c>
      <c r="N189" s="88" t="e">
        <f t="shared" si="19"/>
        <v>#REF!</v>
      </c>
      <c r="O189" s="88"/>
    </row>
    <row r="190" spans="3:15" ht="15" x14ac:dyDescent="0.25">
      <c r="C190" s="88">
        <v>0</v>
      </c>
      <c r="D190" s="88">
        <v>0.9</v>
      </c>
      <c r="E190" s="89" t="e">
        <f>IFERROR(
_xlfn.XLOOKUP(
B190,#REF!,#REF!
),
_xlfn.XLOOKUP(
A190,#REF!,#REF!
)
)</f>
        <v>#REF!</v>
      </c>
      <c r="F190" s="88" t="str">
        <f>IFERROR(
VLOOKUP(
B190,#REF!,
6,
FALSE
),
""
)</f>
        <v/>
      </c>
      <c r="G190" s="88">
        <v>0</v>
      </c>
      <c r="H190" s="88">
        <v>24</v>
      </c>
      <c r="I190" s="90" t="e">
        <f t="shared" si="15"/>
        <v>#REF!</v>
      </c>
      <c r="J190" s="91" t="e">
        <f t="shared" si="16"/>
        <v>#REF!</v>
      </c>
      <c r="K190" s="91"/>
      <c r="L190" s="88" t="e">
        <f t="shared" si="17"/>
        <v>#REF!</v>
      </c>
      <c r="M190" s="88" t="e">
        <f t="shared" si="18"/>
        <v>#REF!</v>
      </c>
      <c r="N190" s="88" t="e">
        <f t="shared" si="19"/>
        <v>#REF!</v>
      </c>
      <c r="O190" s="88"/>
    </row>
    <row r="191" spans="3:15" ht="15" x14ac:dyDescent="0.25">
      <c r="C191" s="88">
        <v>0</v>
      </c>
      <c r="D191" s="88">
        <v>0.9</v>
      </c>
      <c r="E191" s="89" t="e">
        <f>IFERROR(
_xlfn.XLOOKUP(
B191,#REF!,#REF!
),
_xlfn.XLOOKUP(
A191,#REF!,#REF!
)
)</f>
        <v>#REF!</v>
      </c>
      <c r="F191" s="88" t="str">
        <f>IFERROR(
VLOOKUP(
B191,#REF!,
6,
FALSE
),
""
)</f>
        <v/>
      </c>
      <c r="G191" s="88">
        <v>0</v>
      </c>
      <c r="H191" s="88">
        <v>24</v>
      </c>
      <c r="I191" s="90" t="e">
        <f t="shared" si="15"/>
        <v>#REF!</v>
      </c>
      <c r="J191" s="91" t="e">
        <f t="shared" si="16"/>
        <v>#REF!</v>
      </c>
      <c r="K191" s="91"/>
      <c r="L191" s="88" t="e">
        <f t="shared" si="17"/>
        <v>#REF!</v>
      </c>
      <c r="M191" s="88" t="e">
        <f t="shared" si="18"/>
        <v>#REF!</v>
      </c>
      <c r="N191" s="88" t="e">
        <f t="shared" si="19"/>
        <v>#REF!</v>
      </c>
      <c r="O191" s="88"/>
    </row>
    <row r="192" spans="3:15" ht="15" x14ac:dyDescent="0.25">
      <c r="C192" s="88">
        <v>0</v>
      </c>
      <c r="D192" s="88">
        <v>0.9</v>
      </c>
      <c r="E192" s="89" t="e">
        <f>IFERROR(
_xlfn.XLOOKUP(
B192,#REF!,#REF!
),
_xlfn.XLOOKUP(
A192,#REF!,#REF!
)
)</f>
        <v>#REF!</v>
      </c>
      <c r="F192" s="88" t="str">
        <f>IFERROR(
VLOOKUP(
B192,#REF!,
6,
FALSE
),
""
)</f>
        <v/>
      </c>
      <c r="G192" s="88">
        <v>0</v>
      </c>
      <c r="H192" s="88">
        <v>24</v>
      </c>
      <c r="I192" s="90" t="e">
        <f t="shared" si="15"/>
        <v>#REF!</v>
      </c>
      <c r="J192" s="91" t="e">
        <f t="shared" si="16"/>
        <v>#REF!</v>
      </c>
      <c r="K192" s="91"/>
      <c r="L192" s="88" t="e">
        <f t="shared" si="17"/>
        <v>#REF!</v>
      </c>
      <c r="M192" s="88" t="e">
        <f t="shared" si="18"/>
        <v>#REF!</v>
      </c>
      <c r="N192" s="88" t="e">
        <f t="shared" si="19"/>
        <v>#REF!</v>
      </c>
      <c r="O192" s="88"/>
    </row>
    <row r="193" spans="3:15" ht="15" x14ac:dyDescent="0.25">
      <c r="C193" s="88">
        <v>0</v>
      </c>
      <c r="D193" s="88">
        <v>0.9</v>
      </c>
      <c r="E193" s="89" t="e">
        <f>IFERROR(
_xlfn.XLOOKUP(
B193,#REF!,#REF!
),
_xlfn.XLOOKUP(
A193,#REF!,#REF!
)
)</f>
        <v>#REF!</v>
      </c>
      <c r="F193" s="88" t="str">
        <f>IFERROR(
VLOOKUP(
B193,#REF!,
6,
FALSE
),
""
)</f>
        <v/>
      </c>
      <c r="G193" s="88">
        <v>0</v>
      </c>
      <c r="H193" s="88">
        <v>24</v>
      </c>
      <c r="I193" s="90" t="e">
        <f t="shared" si="15"/>
        <v>#REF!</v>
      </c>
      <c r="J193" s="91" t="e">
        <f t="shared" si="16"/>
        <v>#REF!</v>
      </c>
      <c r="K193" s="91"/>
      <c r="L193" s="88" t="e">
        <f t="shared" si="17"/>
        <v>#REF!</v>
      </c>
      <c r="M193" s="88" t="e">
        <f t="shared" si="18"/>
        <v>#REF!</v>
      </c>
      <c r="N193" s="88" t="e">
        <f t="shared" si="19"/>
        <v>#REF!</v>
      </c>
      <c r="O193" s="88"/>
    </row>
    <row r="194" spans="3:15" ht="15" x14ac:dyDescent="0.25">
      <c r="C194" s="88">
        <v>0</v>
      </c>
      <c r="D194" s="88">
        <v>0.9</v>
      </c>
      <c r="E194" s="89" t="e">
        <f>IFERROR(
_xlfn.XLOOKUP(
B194,#REF!,#REF!
),
_xlfn.XLOOKUP(
A194,#REF!,#REF!
)
)</f>
        <v>#REF!</v>
      </c>
      <c r="F194" s="88" t="str">
        <f>IFERROR(
VLOOKUP(
B194,#REF!,
6,
FALSE
),
""
)</f>
        <v/>
      </c>
      <c r="G194" s="88">
        <v>0</v>
      </c>
      <c r="H194" s="88">
        <v>24</v>
      </c>
      <c r="I194" s="90" t="e">
        <f t="shared" si="15"/>
        <v>#REF!</v>
      </c>
      <c r="J194" s="91" t="e">
        <f t="shared" si="16"/>
        <v>#REF!</v>
      </c>
      <c r="K194" s="91"/>
      <c r="L194" s="88" t="e">
        <f t="shared" si="17"/>
        <v>#REF!</v>
      </c>
      <c r="M194" s="88" t="e">
        <f t="shared" si="18"/>
        <v>#REF!</v>
      </c>
      <c r="N194" s="88" t="e">
        <f t="shared" si="19"/>
        <v>#REF!</v>
      </c>
      <c r="O194" s="88"/>
    </row>
    <row r="195" spans="3:15" ht="15" x14ac:dyDescent="0.25">
      <c r="C195" s="88">
        <v>0</v>
      </c>
      <c r="D195" s="88">
        <v>0.9</v>
      </c>
      <c r="E195" s="89" t="e">
        <f>IFERROR(
_xlfn.XLOOKUP(
B195,#REF!,#REF!
),
_xlfn.XLOOKUP(
A195,#REF!,#REF!
)
)</f>
        <v>#REF!</v>
      </c>
      <c r="F195" s="88" t="str">
        <f>IFERROR(
VLOOKUP(
B195,#REF!,
6,
FALSE
),
""
)</f>
        <v/>
      </c>
      <c r="G195" s="88">
        <v>0</v>
      </c>
      <c r="H195" s="88">
        <v>24</v>
      </c>
      <c r="I195" s="90" t="e">
        <f t="shared" ref="I195:I258" si="20">C195+D195+E195</f>
        <v>#REF!</v>
      </c>
      <c r="J195" s="91" t="e">
        <f t="shared" ref="J195:J258" si="21">(I195+G195) / (1 - F195/100 - (1 - 1/(1 + H195/100)))</f>
        <v>#REF!</v>
      </c>
      <c r="K195" s="91"/>
      <c r="L195" s="88" t="e">
        <f t="shared" ref="L195:L258" si="22">J195 * F195 / 100</f>
        <v>#REF!</v>
      </c>
      <c r="M195" s="88" t="e">
        <f t="shared" ref="M195:M258" si="23">J195 - (J195 / (1 + H195/100))</f>
        <v>#REF!</v>
      </c>
      <c r="N195" s="88" t="e">
        <f t="shared" ref="N195:N258" si="24">J195 - L195 - M195</f>
        <v>#REF!</v>
      </c>
      <c r="O195" s="88"/>
    </row>
    <row r="196" spans="3:15" ht="15" x14ac:dyDescent="0.25">
      <c r="C196" s="88">
        <v>0</v>
      </c>
      <c r="D196" s="88">
        <v>0.9</v>
      </c>
      <c r="E196" s="89" t="e">
        <f>IFERROR(
_xlfn.XLOOKUP(
B196,#REF!,#REF!
),
_xlfn.XLOOKUP(
A196,#REF!,#REF!
)
)</f>
        <v>#REF!</v>
      </c>
      <c r="F196" s="88" t="str">
        <f>IFERROR(
VLOOKUP(
B196,#REF!,
6,
FALSE
),
""
)</f>
        <v/>
      </c>
      <c r="G196" s="88">
        <v>0</v>
      </c>
      <c r="H196" s="88">
        <v>24</v>
      </c>
      <c r="I196" s="90" t="e">
        <f t="shared" si="20"/>
        <v>#REF!</v>
      </c>
      <c r="J196" s="91" t="e">
        <f t="shared" si="21"/>
        <v>#REF!</v>
      </c>
      <c r="K196" s="91"/>
      <c r="L196" s="88" t="e">
        <f t="shared" si="22"/>
        <v>#REF!</v>
      </c>
      <c r="M196" s="88" t="e">
        <f t="shared" si="23"/>
        <v>#REF!</v>
      </c>
      <c r="N196" s="88" t="e">
        <f t="shared" si="24"/>
        <v>#REF!</v>
      </c>
      <c r="O196" s="88"/>
    </row>
    <row r="197" spans="3:15" ht="15" x14ac:dyDescent="0.25">
      <c r="C197" s="88">
        <v>0</v>
      </c>
      <c r="D197" s="88">
        <v>0.9</v>
      </c>
      <c r="E197" s="89" t="e">
        <f>IFERROR(
_xlfn.XLOOKUP(
B197,#REF!,#REF!
),
_xlfn.XLOOKUP(
A197,#REF!,#REF!
)
)</f>
        <v>#REF!</v>
      </c>
      <c r="F197" s="88" t="str">
        <f>IFERROR(
VLOOKUP(
B197,#REF!,
6,
FALSE
),
""
)</f>
        <v/>
      </c>
      <c r="G197" s="88">
        <v>0</v>
      </c>
      <c r="H197" s="88">
        <v>24</v>
      </c>
      <c r="I197" s="90" t="e">
        <f t="shared" si="20"/>
        <v>#REF!</v>
      </c>
      <c r="J197" s="91" t="e">
        <f t="shared" si="21"/>
        <v>#REF!</v>
      </c>
      <c r="K197" s="91"/>
      <c r="L197" s="88" t="e">
        <f t="shared" si="22"/>
        <v>#REF!</v>
      </c>
      <c r="M197" s="88" t="e">
        <f t="shared" si="23"/>
        <v>#REF!</v>
      </c>
      <c r="N197" s="88" t="e">
        <f t="shared" si="24"/>
        <v>#REF!</v>
      </c>
      <c r="O197" s="88"/>
    </row>
    <row r="198" spans="3:15" ht="15" x14ac:dyDescent="0.25">
      <c r="C198" s="88">
        <v>0</v>
      </c>
      <c r="D198" s="88">
        <v>0.9</v>
      </c>
      <c r="E198" s="89" t="e">
        <f>IFERROR(
_xlfn.XLOOKUP(
B198,#REF!,#REF!
),
_xlfn.XLOOKUP(
A198,#REF!,#REF!
)
)</f>
        <v>#REF!</v>
      </c>
      <c r="F198" s="88" t="str">
        <f>IFERROR(
VLOOKUP(
B198,#REF!,
6,
FALSE
),
""
)</f>
        <v/>
      </c>
      <c r="G198" s="88">
        <v>0</v>
      </c>
      <c r="H198" s="88">
        <v>24</v>
      </c>
      <c r="I198" s="90" t="e">
        <f t="shared" si="20"/>
        <v>#REF!</v>
      </c>
      <c r="J198" s="91" t="e">
        <f t="shared" si="21"/>
        <v>#REF!</v>
      </c>
      <c r="K198" s="91"/>
      <c r="L198" s="88" t="e">
        <f t="shared" si="22"/>
        <v>#REF!</v>
      </c>
      <c r="M198" s="88" t="e">
        <f t="shared" si="23"/>
        <v>#REF!</v>
      </c>
      <c r="N198" s="88" t="e">
        <f t="shared" si="24"/>
        <v>#REF!</v>
      </c>
      <c r="O198" s="88"/>
    </row>
    <row r="199" spans="3:15" ht="15" x14ac:dyDescent="0.25">
      <c r="C199" s="88">
        <v>0</v>
      </c>
      <c r="D199" s="88">
        <v>0.9</v>
      </c>
      <c r="E199" s="89" t="e">
        <f>IFERROR(
_xlfn.XLOOKUP(
B199,#REF!,#REF!
),
_xlfn.XLOOKUP(
A199,#REF!,#REF!
)
)</f>
        <v>#REF!</v>
      </c>
      <c r="F199" s="88" t="str">
        <f>IFERROR(
VLOOKUP(
B199,#REF!,
6,
FALSE
),
""
)</f>
        <v/>
      </c>
      <c r="G199" s="88">
        <v>0</v>
      </c>
      <c r="H199" s="88">
        <v>24</v>
      </c>
      <c r="I199" s="90" t="e">
        <f t="shared" si="20"/>
        <v>#REF!</v>
      </c>
      <c r="J199" s="91" t="e">
        <f t="shared" si="21"/>
        <v>#REF!</v>
      </c>
      <c r="K199" s="91"/>
      <c r="L199" s="88" t="e">
        <f t="shared" si="22"/>
        <v>#REF!</v>
      </c>
      <c r="M199" s="88" t="e">
        <f t="shared" si="23"/>
        <v>#REF!</v>
      </c>
      <c r="N199" s="88" t="e">
        <f t="shared" si="24"/>
        <v>#REF!</v>
      </c>
      <c r="O199" s="88"/>
    </row>
    <row r="200" spans="3:15" ht="15" x14ac:dyDescent="0.25">
      <c r="C200" s="88">
        <v>0</v>
      </c>
      <c r="D200" s="88">
        <v>0.9</v>
      </c>
      <c r="E200" s="89" t="e">
        <f>IFERROR(
_xlfn.XLOOKUP(
B200,#REF!,#REF!
),
_xlfn.XLOOKUP(
A200,#REF!,#REF!
)
)</f>
        <v>#REF!</v>
      </c>
      <c r="F200" s="88" t="str">
        <f>IFERROR(
VLOOKUP(
B200,#REF!,
6,
FALSE
),
""
)</f>
        <v/>
      </c>
      <c r="G200" s="88">
        <v>0</v>
      </c>
      <c r="H200" s="88">
        <v>24</v>
      </c>
      <c r="I200" s="90" t="e">
        <f t="shared" si="20"/>
        <v>#REF!</v>
      </c>
      <c r="J200" s="91" t="e">
        <f t="shared" si="21"/>
        <v>#REF!</v>
      </c>
      <c r="K200" s="91"/>
      <c r="L200" s="88" t="e">
        <f t="shared" si="22"/>
        <v>#REF!</v>
      </c>
      <c r="M200" s="88" t="e">
        <f t="shared" si="23"/>
        <v>#REF!</v>
      </c>
      <c r="N200" s="88" t="e">
        <f t="shared" si="24"/>
        <v>#REF!</v>
      </c>
      <c r="O200" s="88"/>
    </row>
    <row r="201" spans="3:15" ht="15" x14ac:dyDescent="0.25">
      <c r="C201" s="88">
        <v>0</v>
      </c>
      <c r="D201" s="88">
        <v>0.9</v>
      </c>
      <c r="E201" s="89" t="e">
        <f>IFERROR(
_xlfn.XLOOKUP(
B201,#REF!,#REF!
),
_xlfn.XLOOKUP(
A201,#REF!,#REF!
)
)</f>
        <v>#REF!</v>
      </c>
      <c r="F201" s="88" t="str">
        <f>IFERROR(
VLOOKUP(
B201,#REF!,
6,
FALSE
),
""
)</f>
        <v/>
      </c>
      <c r="G201" s="88">
        <v>0</v>
      </c>
      <c r="H201" s="88">
        <v>24</v>
      </c>
      <c r="I201" s="90" t="e">
        <f t="shared" si="20"/>
        <v>#REF!</v>
      </c>
      <c r="J201" s="91" t="e">
        <f t="shared" si="21"/>
        <v>#REF!</v>
      </c>
      <c r="K201" s="91"/>
      <c r="L201" s="88" t="e">
        <f t="shared" si="22"/>
        <v>#REF!</v>
      </c>
      <c r="M201" s="88" t="e">
        <f t="shared" si="23"/>
        <v>#REF!</v>
      </c>
      <c r="N201" s="88" t="e">
        <f t="shared" si="24"/>
        <v>#REF!</v>
      </c>
      <c r="O201" s="88"/>
    </row>
    <row r="202" spans="3:15" ht="15" x14ac:dyDescent="0.25">
      <c r="C202" s="88">
        <v>0</v>
      </c>
      <c r="D202" s="88">
        <v>0.9</v>
      </c>
      <c r="E202" s="89" t="e">
        <f>IFERROR(
_xlfn.XLOOKUP(
B202,#REF!,#REF!
),
_xlfn.XLOOKUP(
A202,#REF!,#REF!
)
)</f>
        <v>#REF!</v>
      </c>
      <c r="F202" s="88" t="str">
        <f>IFERROR(
VLOOKUP(
B202,#REF!,
6,
FALSE
),
""
)</f>
        <v/>
      </c>
      <c r="G202" s="88">
        <v>0</v>
      </c>
      <c r="H202" s="88">
        <v>24</v>
      </c>
      <c r="I202" s="90" t="e">
        <f t="shared" si="20"/>
        <v>#REF!</v>
      </c>
      <c r="J202" s="91" t="e">
        <f t="shared" si="21"/>
        <v>#REF!</v>
      </c>
      <c r="K202" s="91"/>
      <c r="L202" s="88" t="e">
        <f t="shared" si="22"/>
        <v>#REF!</v>
      </c>
      <c r="M202" s="88" t="e">
        <f t="shared" si="23"/>
        <v>#REF!</v>
      </c>
      <c r="N202" s="88" t="e">
        <f t="shared" si="24"/>
        <v>#REF!</v>
      </c>
      <c r="O202" s="88"/>
    </row>
    <row r="203" spans="3:15" ht="15" x14ac:dyDescent="0.25">
      <c r="C203" s="88">
        <v>0</v>
      </c>
      <c r="D203" s="88">
        <v>0.9</v>
      </c>
      <c r="E203" s="89" t="e">
        <f>IFERROR(
_xlfn.XLOOKUP(
B203,#REF!,#REF!
),
_xlfn.XLOOKUP(
A203,#REF!,#REF!
)
)</f>
        <v>#REF!</v>
      </c>
      <c r="F203" s="88" t="str">
        <f>IFERROR(
VLOOKUP(
B203,#REF!,
6,
FALSE
),
""
)</f>
        <v/>
      </c>
      <c r="G203" s="88">
        <v>0</v>
      </c>
      <c r="H203" s="88">
        <v>24</v>
      </c>
      <c r="I203" s="90" t="e">
        <f t="shared" si="20"/>
        <v>#REF!</v>
      </c>
      <c r="J203" s="91" t="e">
        <f t="shared" si="21"/>
        <v>#REF!</v>
      </c>
      <c r="K203" s="91"/>
      <c r="L203" s="88" t="e">
        <f t="shared" si="22"/>
        <v>#REF!</v>
      </c>
      <c r="M203" s="88" t="e">
        <f t="shared" si="23"/>
        <v>#REF!</v>
      </c>
      <c r="N203" s="88" t="e">
        <f t="shared" si="24"/>
        <v>#REF!</v>
      </c>
      <c r="O203" s="88"/>
    </row>
    <row r="204" spans="3:15" ht="15" x14ac:dyDescent="0.25">
      <c r="C204" s="88">
        <v>0</v>
      </c>
      <c r="D204" s="88">
        <v>0.9</v>
      </c>
      <c r="E204" s="89" t="e">
        <f>IFERROR(
_xlfn.XLOOKUP(
B204,#REF!,#REF!
),
_xlfn.XLOOKUP(
A204,#REF!,#REF!
)
)</f>
        <v>#REF!</v>
      </c>
      <c r="F204" s="88" t="str">
        <f>IFERROR(
VLOOKUP(
B204,#REF!,
6,
FALSE
),
""
)</f>
        <v/>
      </c>
      <c r="G204" s="88">
        <v>0</v>
      </c>
      <c r="H204" s="88">
        <v>24</v>
      </c>
      <c r="I204" s="90" t="e">
        <f t="shared" si="20"/>
        <v>#REF!</v>
      </c>
      <c r="J204" s="91" t="e">
        <f t="shared" si="21"/>
        <v>#REF!</v>
      </c>
      <c r="K204" s="91"/>
      <c r="L204" s="88" t="e">
        <f t="shared" si="22"/>
        <v>#REF!</v>
      </c>
      <c r="M204" s="88" t="e">
        <f t="shared" si="23"/>
        <v>#REF!</v>
      </c>
      <c r="N204" s="88" t="e">
        <f t="shared" si="24"/>
        <v>#REF!</v>
      </c>
      <c r="O204" s="88"/>
    </row>
    <row r="205" spans="3:15" ht="15" x14ac:dyDescent="0.25">
      <c r="C205" s="88">
        <v>0</v>
      </c>
      <c r="D205" s="88">
        <v>0.9</v>
      </c>
      <c r="E205" s="89" t="e">
        <f>IFERROR(
_xlfn.XLOOKUP(
B205,#REF!,#REF!
),
_xlfn.XLOOKUP(
A205,#REF!,#REF!
)
)</f>
        <v>#REF!</v>
      </c>
      <c r="F205" s="88" t="str">
        <f>IFERROR(
VLOOKUP(
B205,#REF!,
6,
FALSE
),
""
)</f>
        <v/>
      </c>
      <c r="G205" s="88">
        <v>0</v>
      </c>
      <c r="H205" s="88">
        <v>24</v>
      </c>
      <c r="I205" s="90" t="e">
        <f t="shared" si="20"/>
        <v>#REF!</v>
      </c>
      <c r="J205" s="91" t="e">
        <f t="shared" si="21"/>
        <v>#REF!</v>
      </c>
      <c r="K205" s="91"/>
      <c r="L205" s="88" t="e">
        <f t="shared" si="22"/>
        <v>#REF!</v>
      </c>
      <c r="M205" s="88" t="e">
        <f t="shared" si="23"/>
        <v>#REF!</v>
      </c>
      <c r="N205" s="88" t="e">
        <f t="shared" si="24"/>
        <v>#REF!</v>
      </c>
      <c r="O205" s="88"/>
    </row>
    <row r="206" spans="3:15" ht="15" x14ac:dyDescent="0.25">
      <c r="C206" s="88">
        <v>0</v>
      </c>
      <c r="D206" s="88">
        <v>0.9</v>
      </c>
      <c r="E206" s="89" t="e">
        <f>IFERROR(
_xlfn.XLOOKUP(
B206,#REF!,#REF!
),
_xlfn.XLOOKUP(
A206,#REF!,#REF!
)
)</f>
        <v>#REF!</v>
      </c>
      <c r="F206" s="88" t="str">
        <f>IFERROR(
VLOOKUP(
B206,#REF!,
6,
FALSE
),
""
)</f>
        <v/>
      </c>
      <c r="G206" s="88">
        <v>0</v>
      </c>
      <c r="H206" s="88">
        <v>24</v>
      </c>
      <c r="I206" s="90" t="e">
        <f t="shared" si="20"/>
        <v>#REF!</v>
      </c>
      <c r="J206" s="91" t="e">
        <f t="shared" si="21"/>
        <v>#REF!</v>
      </c>
      <c r="K206" s="91"/>
      <c r="L206" s="88" t="e">
        <f t="shared" si="22"/>
        <v>#REF!</v>
      </c>
      <c r="M206" s="88" t="e">
        <f t="shared" si="23"/>
        <v>#REF!</v>
      </c>
      <c r="N206" s="88" t="e">
        <f t="shared" si="24"/>
        <v>#REF!</v>
      </c>
      <c r="O206" s="88"/>
    </row>
    <row r="207" spans="3:15" ht="15" x14ac:dyDescent="0.25">
      <c r="C207" s="88">
        <v>0</v>
      </c>
      <c r="D207" s="88">
        <v>0.9</v>
      </c>
      <c r="E207" s="89" t="e">
        <f>IFERROR(
_xlfn.XLOOKUP(
B207,#REF!,#REF!
),
_xlfn.XLOOKUP(
A207,#REF!,#REF!
)
)</f>
        <v>#REF!</v>
      </c>
      <c r="F207" s="88" t="str">
        <f>IFERROR(
VLOOKUP(
B207,#REF!,
6,
FALSE
),
""
)</f>
        <v/>
      </c>
      <c r="G207" s="88">
        <v>0</v>
      </c>
      <c r="H207" s="88">
        <v>24</v>
      </c>
      <c r="I207" s="90" t="e">
        <f t="shared" si="20"/>
        <v>#REF!</v>
      </c>
      <c r="J207" s="91" t="e">
        <f t="shared" si="21"/>
        <v>#REF!</v>
      </c>
      <c r="K207" s="91"/>
      <c r="L207" s="88" t="e">
        <f t="shared" si="22"/>
        <v>#REF!</v>
      </c>
      <c r="M207" s="88" t="e">
        <f t="shared" si="23"/>
        <v>#REF!</v>
      </c>
      <c r="N207" s="88" t="e">
        <f t="shared" si="24"/>
        <v>#REF!</v>
      </c>
      <c r="O207" s="88"/>
    </row>
    <row r="208" spans="3:15" ht="15" x14ac:dyDescent="0.25">
      <c r="C208" s="88">
        <v>0</v>
      </c>
      <c r="D208" s="88">
        <v>0.9</v>
      </c>
      <c r="E208" s="89" t="e">
        <f>IFERROR(
_xlfn.XLOOKUP(
B208,#REF!,#REF!
),
_xlfn.XLOOKUP(
A208,#REF!,#REF!
)
)</f>
        <v>#REF!</v>
      </c>
      <c r="F208" s="88" t="str">
        <f>IFERROR(
VLOOKUP(
B208,#REF!,
6,
FALSE
),
""
)</f>
        <v/>
      </c>
      <c r="G208" s="88">
        <v>0</v>
      </c>
      <c r="H208" s="88">
        <v>24</v>
      </c>
      <c r="I208" s="90" t="e">
        <f t="shared" si="20"/>
        <v>#REF!</v>
      </c>
      <c r="J208" s="91" t="e">
        <f t="shared" si="21"/>
        <v>#REF!</v>
      </c>
      <c r="K208" s="91"/>
      <c r="L208" s="88" t="e">
        <f t="shared" si="22"/>
        <v>#REF!</v>
      </c>
      <c r="M208" s="88" t="e">
        <f t="shared" si="23"/>
        <v>#REF!</v>
      </c>
      <c r="N208" s="88" t="e">
        <f t="shared" si="24"/>
        <v>#REF!</v>
      </c>
      <c r="O208" s="88"/>
    </row>
    <row r="209" spans="3:15" ht="15" x14ac:dyDescent="0.25">
      <c r="C209" s="88">
        <v>0</v>
      </c>
      <c r="D209" s="88">
        <v>0.9</v>
      </c>
      <c r="E209" s="89" t="e">
        <f>IFERROR(
_xlfn.XLOOKUP(
B209,#REF!,#REF!
),
_xlfn.XLOOKUP(
A209,#REF!,#REF!
)
)</f>
        <v>#REF!</v>
      </c>
      <c r="F209" s="88" t="str">
        <f>IFERROR(
VLOOKUP(
B209,#REF!,
6,
FALSE
),
""
)</f>
        <v/>
      </c>
      <c r="G209" s="88">
        <v>0</v>
      </c>
      <c r="H209" s="88">
        <v>24</v>
      </c>
      <c r="I209" s="90" t="e">
        <f t="shared" si="20"/>
        <v>#REF!</v>
      </c>
      <c r="J209" s="91" t="e">
        <f t="shared" si="21"/>
        <v>#REF!</v>
      </c>
      <c r="K209" s="91"/>
      <c r="L209" s="88" t="e">
        <f t="shared" si="22"/>
        <v>#REF!</v>
      </c>
      <c r="M209" s="88" t="e">
        <f t="shared" si="23"/>
        <v>#REF!</v>
      </c>
      <c r="N209" s="88" t="e">
        <f t="shared" si="24"/>
        <v>#REF!</v>
      </c>
      <c r="O209" s="88"/>
    </row>
    <row r="210" spans="3:15" ht="15" x14ac:dyDescent="0.25">
      <c r="C210" s="88">
        <v>0</v>
      </c>
      <c r="D210" s="88">
        <v>0.9</v>
      </c>
      <c r="E210" s="89" t="e">
        <f>IFERROR(
_xlfn.XLOOKUP(
B210,#REF!,#REF!
),
_xlfn.XLOOKUP(
A210,#REF!,#REF!
)
)</f>
        <v>#REF!</v>
      </c>
      <c r="F210" s="88" t="str">
        <f>IFERROR(
VLOOKUP(
B210,#REF!,
6,
FALSE
),
""
)</f>
        <v/>
      </c>
      <c r="G210" s="88">
        <v>0</v>
      </c>
      <c r="H210" s="88">
        <v>24</v>
      </c>
      <c r="I210" s="90" t="e">
        <f t="shared" si="20"/>
        <v>#REF!</v>
      </c>
      <c r="J210" s="91" t="e">
        <f t="shared" si="21"/>
        <v>#REF!</v>
      </c>
      <c r="K210" s="91"/>
      <c r="L210" s="88" t="e">
        <f t="shared" si="22"/>
        <v>#REF!</v>
      </c>
      <c r="M210" s="88" t="e">
        <f t="shared" si="23"/>
        <v>#REF!</v>
      </c>
      <c r="N210" s="88" t="e">
        <f t="shared" si="24"/>
        <v>#REF!</v>
      </c>
      <c r="O210" s="88"/>
    </row>
    <row r="211" spans="3:15" ht="15" x14ac:dyDescent="0.25">
      <c r="C211" s="88">
        <v>0</v>
      </c>
      <c r="D211" s="88">
        <v>0.9</v>
      </c>
      <c r="E211" s="89" t="e">
        <f>IFERROR(
_xlfn.XLOOKUP(
B211,#REF!,#REF!
),
_xlfn.XLOOKUP(
A211,#REF!,#REF!
)
)</f>
        <v>#REF!</v>
      </c>
      <c r="F211" s="88" t="str">
        <f>IFERROR(
VLOOKUP(
B211,#REF!,
6,
FALSE
),
""
)</f>
        <v/>
      </c>
      <c r="G211" s="88">
        <v>0</v>
      </c>
      <c r="H211" s="88">
        <v>24</v>
      </c>
      <c r="I211" s="90" t="e">
        <f t="shared" si="20"/>
        <v>#REF!</v>
      </c>
      <c r="J211" s="91" t="e">
        <f t="shared" si="21"/>
        <v>#REF!</v>
      </c>
      <c r="K211" s="91"/>
      <c r="L211" s="88" t="e">
        <f t="shared" si="22"/>
        <v>#REF!</v>
      </c>
      <c r="M211" s="88" t="e">
        <f t="shared" si="23"/>
        <v>#REF!</v>
      </c>
      <c r="N211" s="88" t="e">
        <f t="shared" si="24"/>
        <v>#REF!</v>
      </c>
      <c r="O211" s="88"/>
    </row>
    <row r="212" spans="3:15" ht="15" x14ac:dyDescent="0.25">
      <c r="C212" s="88">
        <v>0</v>
      </c>
      <c r="D212" s="88">
        <v>0.9</v>
      </c>
      <c r="E212" s="89" t="e">
        <f>IFERROR(
_xlfn.XLOOKUP(
B212,#REF!,#REF!
),
_xlfn.XLOOKUP(
A212,#REF!,#REF!
)
)</f>
        <v>#REF!</v>
      </c>
      <c r="F212" s="88" t="str">
        <f>IFERROR(
VLOOKUP(
B212,#REF!,
6,
FALSE
),
""
)</f>
        <v/>
      </c>
      <c r="G212" s="88">
        <v>0</v>
      </c>
      <c r="H212" s="88">
        <v>24</v>
      </c>
      <c r="I212" s="90" t="e">
        <f t="shared" si="20"/>
        <v>#REF!</v>
      </c>
      <c r="J212" s="91" t="e">
        <f t="shared" si="21"/>
        <v>#REF!</v>
      </c>
      <c r="K212" s="91"/>
      <c r="L212" s="88" t="e">
        <f t="shared" si="22"/>
        <v>#REF!</v>
      </c>
      <c r="M212" s="88" t="e">
        <f t="shared" si="23"/>
        <v>#REF!</v>
      </c>
      <c r="N212" s="88" t="e">
        <f t="shared" si="24"/>
        <v>#REF!</v>
      </c>
      <c r="O212" s="88"/>
    </row>
    <row r="213" spans="3:15" ht="15" x14ac:dyDescent="0.25">
      <c r="C213" s="88">
        <v>0</v>
      </c>
      <c r="D213" s="88">
        <v>0.9</v>
      </c>
      <c r="E213" s="89" t="e">
        <f>IFERROR(
_xlfn.XLOOKUP(
B213,#REF!,#REF!
),
_xlfn.XLOOKUP(
A213,#REF!,#REF!
)
)</f>
        <v>#REF!</v>
      </c>
      <c r="F213" s="88" t="str">
        <f>IFERROR(
VLOOKUP(
B213,#REF!,
6,
FALSE
),
""
)</f>
        <v/>
      </c>
      <c r="G213" s="88">
        <v>0</v>
      </c>
      <c r="H213" s="88">
        <v>24</v>
      </c>
      <c r="I213" s="90" t="e">
        <f t="shared" si="20"/>
        <v>#REF!</v>
      </c>
      <c r="J213" s="91" t="e">
        <f t="shared" si="21"/>
        <v>#REF!</v>
      </c>
      <c r="K213" s="91"/>
      <c r="L213" s="88" t="e">
        <f t="shared" si="22"/>
        <v>#REF!</v>
      </c>
      <c r="M213" s="88" t="e">
        <f t="shared" si="23"/>
        <v>#REF!</v>
      </c>
      <c r="N213" s="88" t="e">
        <f t="shared" si="24"/>
        <v>#REF!</v>
      </c>
      <c r="O213" s="88"/>
    </row>
    <row r="214" spans="3:15" ht="15" x14ac:dyDescent="0.25">
      <c r="C214" s="88">
        <v>0</v>
      </c>
      <c r="D214" s="88">
        <v>0.9</v>
      </c>
      <c r="E214" s="89" t="e">
        <f>IFERROR(
_xlfn.XLOOKUP(
B214,#REF!,#REF!
),
_xlfn.XLOOKUP(
A214,#REF!,#REF!
)
)</f>
        <v>#REF!</v>
      </c>
      <c r="F214" s="88" t="str">
        <f>IFERROR(
VLOOKUP(
B214,#REF!,
6,
FALSE
),
""
)</f>
        <v/>
      </c>
      <c r="G214" s="88">
        <v>0</v>
      </c>
      <c r="H214" s="88">
        <v>24</v>
      </c>
      <c r="I214" s="90" t="e">
        <f t="shared" si="20"/>
        <v>#REF!</v>
      </c>
      <c r="J214" s="91" t="e">
        <f t="shared" si="21"/>
        <v>#REF!</v>
      </c>
      <c r="K214" s="91"/>
      <c r="L214" s="88" t="e">
        <f t="shared" si="22"/>
        <v>#REF!</v>
      </c>
      <c r="M214" s="88" t="e">
        <f t="shared" si="23"/>
        <v>#REF!</v>
      </c>
      <c r="N214" s="88" t="e">
        <f t="shared" si="24"/>
        <v>#REF!</v>
      </c>
      <c r="O214" s="88"/>
    </row>
    <row r="215" spans="3:15" ht="15" x14ac:dyDescent="0.25">
      <c r="C215" s="88">
        <v>0</v>
      </c>
      <c r="D215" s="88">
        <v>0.9</v>
      </c>
      <c r="E215" s="89" t="e">
        <f>IFERROR(
_xlfn.XLOOKUP(
B215,#REF!,#REF!
),
_xlfn.XLOOKUP(
A215,#REF!,#REF!
)
)</f>
        <v>#REF!</v>
      </c>
      <c r="F215" s="88" t="str">
        <f>IFERROR(
VLOOKUP(
B215,#REF!,
6,
FALSE
),
""
)</f>
        <v/>
      </c>
      <c r="G215" s="88">
        <v>0</v>
      </c>
      <c r="H215" s="88">
        <v>24</v>
      </c>
      <c r="I215" s="90" t="e">
        <f t="shared" si="20"/>
        <v>#REF!</v>
      </c>
      <c r="J215" s="91" t="e">
        <f t="shared" si="21"/>
        <v>#REF!</v>
      </c>
      <c r="K215" s="91"/>
      <c r="L215" s="88" t="e">
        <f t="shared" si="22"/>
        <v>#REF!</v>
      </c>
      <c r="M215" s="88" t="e">
        <f t="shared" si="23"/>
        <v>#REF!</v>
      </c>
      <c r="N215" s="88" t="e">
        <f t="shared" si="24"/>
        <v>#REF!</v>
      </c>
      <c r="O215" s="88"/>
    </row>
    <row r="216" spans="3:15" ht="15" x14ac:dyDescent="0.25">
      <c r="C216" s="88">
        <v>0</v>
      </c>
      <c r="D216" s="88">
        <v>0.9</v>
      </c>
      <c r="E216" s="89" t="e">
        <f>IFERROR(
_xlfn.XLOOKUP(
B216,#REF!,#REF!
),
_xlfn.XLOOKUP(
A216,#REF!,#REF!
)
)</f>
        <v>#REF!</v>
      </c>
      <c r="F216" s="88" t="str">
        <f>IFERROR(
VLOOKUP(
B216,#REF!,
6,
FALSE
),
""
)</f>
        <v/>
      </c>
      <c r="G216" s="88">
        <v>0</v>
      </c>
      <c r="H216" s="88">
        <v>24</v>
      </c>
      <c r="I216" s="90" t="e">
        <f t="shared" si="20"/>
        <v>#REF!</v>
      </c>
      <c r="J216" s="91" t="e">
        <f t="shared" si="21"/>
        <v>#REF!</v>
      </c>
      <c r="K216" s="91"/>
      <c r="L216" s="88" t="e">
        <f t="shared" si="22"/>
        <v>#REF!</v>
      </c>
      <c r="M216" s="88" t="e">
        <f t="shared" si="23"/>
        <v>#REF!</v>
      </c>
      <c r="N216" s="88" t="e">
        <f t="shared" si="24"/>
        <v>#REF!</v>
      </c>
      <c r="O216" s="88"/>
    </row>
    <row r="217" spans="3:15" ht="15" x14ac:dyDescent="0.25">
      <c r="C217" s="88">
        <v>0</v>
      </c>
      <c r="D217" s="88">
        <v>0.9</v>
      </c>
      <c r="E217" s="89" t="e">
        <f>IFERROR(
_xlfn.XLOOKUP(
B217,#REF!,#REF!
),
_xlfn.XLOOKUP(
A217,#REF!,#REF!
)
)</f>
        <v>#REF!</v>
      </c>
      <c r="F217" s="88" t="str">
        <f>IFERROR(
VLOOKUP(
B217,#REF!,
6,
FALSE
),
""
)</f>
        <v/>
      </c>
      <c r="G217" s="88">
        <v>0</v>
      </c>
      <c r="H217" s="88">
        <v>24</v>
      </c>
      <c r="I217" s="90" t="e">
        <f t="shared" si="20"/>
        <v>#REF!</v>
      </c>
      <c r="J217" s="91" t="e">
        <f t="shared" si="21"/>
        <v>#REF!</v>
      </c>
      <c r="K217" s="91"/>
      <c r="L217" s="88" t="e">
        <f t="shared" si="22"/>
        <v>#REF!</v>
      </c>
      <c r="M217" s="88" t="e">
        <f t="shared" si="23"/>
        <v>#REF!</v>
      </c>
      <c r="N217" s="88" t="e">
        <f t="shared" si="24"/>
        <v>#REF!</v>
      </c>
      <c r="O217" s="88"/>
    </row>
    <row r="218" spans="3:15" ht="15" x14ac:dyDescent="0.25">
      <c r="C218" s="88">
        <v>0</v>
      </c>
      <c r="D218" s="88">
        <v>0.9</v>
      </c>
      <c r="E218" s="89" t="e">
        <f>IFERROR(
_xlfn.XLOOKUP(
B218,#REF!,#REF!
),
_xlfn.XLOOKUP(
A218,#REF!,#REF!
)
)</f>
        <v>#REF!</v>
      </c>
      <c r="F218" s="88" t="str">
        <f>IFERROR(
VLOOKUP(
B218,#REF!,
6,
FALSE
),
""
)</f>
        <v/>
      </c>
      <c r="G218" s="88">
        <v>0</v>
      </c>
      <c r="H218" s="88">
        <v>24</v>
      </c>
      <c r="I218" s="90" t="e">
        <f t="shared" si="20"/>
        <v>#REF!</v>
      </c>
      <c r="J218" s="91" t="e">
        <f t="shared" si="21"/>
        <v>#REF!</v>
      </c>
      <c r="K218" s="91"/>
      <c r="L218" s="88" t="e">
        <f t="shared" si="22"/>
        <v>#REF!</v>
      </c>
      <c r="M218" s="88" t="e">
        <f t="shared" si="23"/>
        <v>#REF!</v>
      </c>
      <c r="N218" s="88" t="e">
        <f t="shared" si="24"/>
        <v>#REF!</v>
      </c>
      <c r="O218" s="88"/>
    </row>
    <row r="219" spans="3:15" ht="15" x14ac:dyDescent="0.25">
      <c r="C219" s="88">
        <v>0</v>
      </c>
      <c r="D219" s="88">
        <v>0.9</v>
      </c>
      <c r="E219" s="89" t="e">
        <f>IFERROR(
_xlfn.XLOOKUP(
B219,#REF!,#REF!
),
_xlfn.XLOOKUP(
A219,#REF!,#REF!
)
)</f>
        <v>#REF!</v>
      </c>
      <c r="F219" s="88" t="str">
        <f>IFERROR(
VLOOKUP(
B219,#REF!,
6,
FALSE
),
""
)</f>
        <v/>
      </c>
      <c r="G219" s="88">
        <v>0</v>
      </c>
      <c r="H219" s="88">
        <v>24</v>
      </c>
      <c r="I219" s="90" t="e">
        <f t="shared" si="20"/>
        <v>#REF!</v>
      </c>
      <c r="J219" s="91" t="e">
        <f t="shared" si="21"/>
        <v>#REF!</v>
      </c>
      <c r="K219" s="91"/>
      <c r="L219" s="88" t="e">
        <f t="shared" si="22"/>
        <v>#REF!</v>
      </c>
      <c r="M219" s="88" t="e">
        <f t="shared" si="23"/>
        <v>#REF!</v>
      </c>
      <c r="N219" s="88" t="e">
        <f t="shared" si="24"/>
        <v>#REF!</v>
      </c>
      <c r="O219" s="88"/>
    </row>
    <row r="220" spans="3:15" ht="15" x14ac:dyDescent="0.25">
      <c r="C220" s="88">
        <v>0</v>
      </c>
      <c r="D220" s="88">
        <v>0.9</v>
      </c>
      <c r="E220" s="89" t="e">
        <f>IFERROR(
_xlfn.XLOOKUP(
B220,#REF!,#REF!
),
_xlfn.XLOOKUP(
A220,#REF!,#REF!
)
)</f>
        <v>#REF!</v>
      </c>
      <c r="F220" s="88" t="str">
        <f>IFERROR(
VLOOKUP(
B220,#REF!,
6,
FALSE
),
""
)</f>
        <v/>
      </c>
      <c r="G220" s="88">
        <v>0</v>
      </c>
      <c r="H220" s="88">
        <v>24</v>
      </c>
      <c r="I220" s="90" t="e">
        <f t="shared" si="20"/>
        <v>#REF!</v>
      </c>
      <c r="J220" s="91" t="e">
        <f t="shared" si="21"/>
        <v>#REF!</v>
      </c>
      <c r="K220" s="91"/>
      <c r="L220" s="88" t="e">
        <f t="shared" si="22"/>
        <v>#REF!</v>
      </c>
      <c r="M220" s="88" t="e">
        <f t="shared" si="23"/>
        <v>#REF!</v>
      </c>
      <c r="N220" s="88" t="e">
        <f t="shared" si="24"/>
        <v>#REF!</v>
      </c>
      <c r="O220" s="88"/>
    </row>
    <row r="221" spans="3:15" ht="15" x14ac:dyDescent="0.25">
      <c r="C221" s="88">
        <v>0</v>
      </c>
      <c r="D221" s="88">
        <v>0.9</v>
      </c>
      <c r="E221" s="89" t="e">
        <f>IFERROR(
_xlfn.XLOOKUP(
B221,#REF!,#REF!
),
_xlfn.XLOOKUP(
A221,#REF!,#REF!
)
)</f>
        <v>#REF!</v>
      </c>
      <c r="F221" s="88" t="str">
        <f>IFERROR(
VLOOKUP(
B221,#REF!,
6,
FALSE
),
""
)</f>
        <v/>
      </c>
      <c r="G221" s="88">
        <v>0</v>
      </c>
      <c r="H221" s="88">
        <v>24</v>
      </c>
      <c r="I221" s="90" t="e">
        <f t="shared" si="20"/>
        <v>#REF!</v>
      </c>
      <c r="J221" s="91" t="e">
        <f t="shared" si="21"/>
        <v>#REF!</v>
      </c>
      <c r="K221" s="91"/>
      <c r="L221" s="88" t="e">
        <f t="shared" si="22"/>
        <v>#REF!</v>
      </c>
      <c r="M221" s="88" t="e">
        <f t="shared" si="23"/>
        <v>#REF!</v>
      </c>
      <c r="N221" s="88" t="e">
        <f t="shared" si="24"/>
        <v>#REF!</v>
      </c>
      <c r="O221" s="88"/>
    </row>
    <row r="222" spans="3:15" ht="15" x14ac:dyDescent="0.25">
      <c r="C222" s="88">
        <v>0</v>
      </c>
      <c r="D222" s="88">
        <v>0.9</v>
      </c>
      <c r="E222" s="89" t="e">
        <f>IFERROR(
_xlfn.XLOOKUP(
B222,#REF!,#REF!
),
_xlfn.XLOOKUP(
A222,#REF!,#REF!
)
)</f>
        <v>#REF!</v>
      </c>
      <c r="F222" s="88" t="str">
        <f>IFERROR(
VLOOKUP(
B222,#REF!,
6,
FALSE
),
""
)</f>
        <v/>
      </c>
      <c r="G222" s="88">
        <v>0</v>
      </c>
      <c r="H222" s="88">
        <v>24</v>
      </c>
      <c r="I222" s="90" t="e">
        <f t="shared" si="20"/>
        <v>#REF!</v>
      </c>
      <c r="J222" s="91" t="e">
        <f t="shared" si="21"/>
        <v>#REF!</v>
      </c>
      <c r="K222" s="91"/>
      <c r="L222" s="88" t="e">
        <f t="shared" si="22"/>
        <v>#REF!</v>
      </c>
      <c r="M222" s="88" t="e">
        <f t="shared" si="23"/>
        <v>#REF!</v>
      </c>
      <c r="N222" s="88" t="e">
        <f t="shared" si="24"/>
        <v>#REF!</v>
      </c>
      <c r="O222" s="88"/>
    </row>
    <row r="223" spans="3:15" ht="15" x14ac:dyDescent="0.25">
      <c r="C223" s="88">
        <v>0</v>
      </c>
      <c r="D223" s="88">
        <v>0.9</v>
      </c>
      <c r="E223" s="89" t="e">
        <f>IFERROR(
_xlfn.XLOOKUP(
B223,#REF!,#REF!
),
_xlfn.XLOOKUP(
A223,#REF!,#REF!
)
)</f>
        <v>#REF!</v>
      </c>
      <c r="F223" s="88" t="str">
        <f>IFERROR(
VLOOKUP(
B223,#REF!,
6,
FALSE
),
""
)</f>
        <v/>
      </c>
      <c r="G223" s="88">
        <v>0</v>
      </c>
      <c r="H223" s="88">
        <v>24</v>
      </c>
      <c r="I223" s="90" t="e">
        <f t="shared" si="20"/>
        <v>#REF!</v>
      </c>
      <c r="J223" s="91" t="e">
        <f t="shared" si="21"/>
        <v>#REF!</v>
      </c>
      <c r="K223" s="91"/>
      <c r="L223" s="88" t="e">
        <f t="shared" si="22"/>
        <v>#REF!</v>
      </c>
      <c r="M223" s="88" t="e">
        <f t="shared" si="23"/>
        <v>#REF!</v>
      </c>
      <c r="N223" s="88" t="e">
        <f t="shared" si="24"/>
        <v>#REF!</v>
      </c>
      <c r="O223" s="88"/>
    </row>
    <row r="224" spans="3:15" ht="15" x14ac:dyDescent="0.25">
      <c r="C224" s="88">
        <v>0</v>
      </c>
      <c r="D224" s="88">
        <v>0.9</v>
      </c>
      <c r="E224" s="89" t="e">
        <f>IFERROR(
_xlfn.XLOOKUP(
B224,#REF!,#REF!
),
_xlfn.XLOOKUP(
A224,#REF!,#REF!
)
)</f>
        <v>#REF!</v>
      </c>
      <c r="F224" s="88" t="str">
        <f>IFERROR(
VLOOKUP(
B224,#REF!,
6,
FALSE
),
""
)</f>
        <v/>
      </c>
      <c r="G224" s="88">
        <v>0</v>
      </c>
      <c r="H224" s="88">
        <v>24</v>
      </c>
      <c r="I224" s="90" t="e">
        <f t="shared" si="20"/>
        <v>#REF!</v>
      </c>
      <c r="J224" s="91" t="e">
        <f t="shared" si="21"/>
        <v>#REF!</v>
      </c>
      <c r="K224" s="91"/>
      <c r="L224" s="88" t="e">
        <f t="shared" si="22"/>
        <v>#REF!</v>
      </c>
      <c r="M224" s="88" t="e">
        <f t="shared" si="23"/>
        <v>#REF!</v>
      </c>
      <c r="N224" s="88" t="e">
        <f t="shared" si="24"/>
        <v>#REF!</v>
      </c>
      <c r="O224" s="88"/>
    </row>
    <row r="225" spans="3:15" ht="15" x14ac:dyDescent="0.25">
      <c r="C225" s="88">
        <v>0</v>
      </c>
      <c r="D225" s="88">
        <v>0.9</v>
      </c>
      <c r="E225" s="89" t="e">
        <f>IFERROR(
_xlfn.XLOOKUP(
B225,#REF!,#REF!
),
_xlfn.XLOOKUP(
A225,#REF!,#REF!
)
)</f>
        <v>#REF!</v>
      </c>
      <c r="F225" s="88" t="str">
        <f>IFERROR(
VLOOKUP(
B225,#REF!,
6,
FALSE
),
""
)</f>
        <v/>
      </c>
      <c r="G225" s="88">
        <v>0</v>
      </c>
      <c r="H225" s="88">
        <v>24</v>
      </c>
      <c r="I225" s="90" t="e">
        <f t="shared" si="20"/>
        <v>#REF!</v>
      </c>
      <c r="J225" s="91" t="e">
        <f t="shared" si="21"/>
        <v>#REF!</v>
      </c>
      <c r="K225" s="91"/>
      <c r="L225" s="88" t="e">
        <f t="shared" si="22"/>
        <v>#REF!</v>
      </c>
      <c r="M225" s="88" t="e">
        <f t="shared" si="23"/>
        <v>#REF!</v>
      </c>
      <c r="N225" s="88" t="e">
        <f t="shared" si="24"/>
        <v>#REF!</v>
      </c>
      <c r="O225" s="88"/>
    </row>
    <row r="226" spans="3:15" ht="15" x14ac:dyDescent="0.25">
      <c r="C226" s="88">
        <v>0</v>
      </c>
      <c r="D226" s="88">
        <v>0.9</v>
      </c>
      <c r="E226" s="89" t="e">
        <f>IFERROR(
_xlfn.XLOOKUP(
B226,#REF!,#REF!
),
_xlfn.XLOOKUP(
A226,#REF!,#REF!
)
)</f>
        <v>#REF!</v>
      </c>
      <c r="F226" s="88" t="str">
        <f>IFERROR(
VLOOKUP(
B226,#REF!,
6,
FALSE
),
""
)</f>
        <v/>
      </c>
      <c r="G226" s="88">
        <v>0</v>
      </c>
      <c r="H226" s="88">
        <v>24</v>
      </c>
      <c r="I226" s="90" t="e">
        <f t="shared" si="20"/>
        <v>#REF!</v>
      </c>
      <c r="J226" s="91" t="e">
        <f t="shared" si="21"/>
        <v>#REF!</v>
      </c>
      <c r="K226" s="91"/>
      <c r="L226" s="88" t="e">
        <f t="shared" si="22"/>
        <v>#REF!</v>
      </c>
      <c r="M226" s="88" t="e">
        <f t="shared" si="23"/>
        <v>#REF!</v>
      </c>
      <c r="N226" s="88" t="e">
        <f t="shared" si="24"/>
        <v>#REF!</v>
      </c>
      <c r="O226" s="88"/>
    </row>
    <row r="227" spans="3:15" ht="15" x14ac:dyDescent="0.25">
      <c r="C227" s="88">
        <v>0</v>
      </c>
      <c r="D227" s="88">
        <v>0.9</v>
      </c>
      <c r="E227" s="89" t="e">
        <f>IFERROR(
_xlfn.XLOOKUP(
B227,#REF!,#REF!
),
_xlfn.XLOOKUP(
A227,#REF!,#REF!
)
)</f>
        <v>#REF!</v>
      </c>
      <c r="F227" s="88" t="str">
        <f>IFERROR(
VLOOKUP(
B227,#REF!,
6,
FALSE
),
""
)</f>
        <v/>
      </c>
      <c r="G227" s="88">
        <v>0</v>
      </c>
      <c r="H227" s="88">
        <v>24</v>
      </c>
      <c r="I227" s="90" t="e">
        <f t="shared" si="20"/>
        <v>#REF!</v>
      </c>
      <c r="J227" s="91" t="e">
        <f t="shared" si="21"/>
        <v>#REF!</v>
      </c>
      <c r="K227" s="91"/>
      <c r="L227" s="88" t="e">
        <f t="shared" si="22"/>
        <v>#REF!</v>
      </c>
      <c r="M227" s="88" t="e">
        <f t="shared" si="23"/>
        <v>#REF!</v>
      </c>
      <c r="N227" s="88" t="e">
        <f t="shared" si="24"/>
        <v>#REF!</v>
      </c>
      <c r="O227" s="88"/>
    </row>
    <row r="228" spans="3:15" ht="15" x14ac:dyDescent="0.25">
      <c r="C228" s="88">
        <v>0</v>
      </c>
      <c r="D228" s="88">
        <v>0.9</v>
      </c>
      <c r="E228" s="89" t="e">
        <f>IFERROR(
_xlfn.XLOOKUP(
B228,#REF!,#REF!
),
_xlfn.XLOOKUP(
A228,#REF!,#REF!
)
)</f>
        <v>#REF!</v>
      </c>
      <c r="F228" s="88" t="str">
        <f>IFERROR(
VLOOKUP(
B228,#REF!,
6,
FALSE
),
""
)</f>
        <v/>
      </c>
      <c r="G228" s="88">
        <v>0</v>
      </c>
      <c r="H228" s="88">
        <v>24</v>
      </c>
      <c r="I228" s="90" t="e">
        <f t="shared" si="20"/>
        <v>#REF!</v>
      </c>
      <c r="J228" s="91" t="e">
        <f t="shared" si="21"/>
        <v>#REF!</v>
      </c>
      <c r="K228" s="91"/>
      <c r="L228" s="88" t="e">
        <f t="shared" si="22"/>
        <v>#REF!</v>
      </c>
      <c r="M228" s="88" t="e">
        <f t="shared" si="23"/>
        <v>#REF!</v>
      </c>
      <c r="N228" s="88" t="e">
        <f t="shared" si="24"/>
        <v>#REF!</v>
      </c>
      <c r="O228" s="88"/>
    </row>
    <row r="229" spans="3:15" ht="15" x14ac:dyDescent="0.25">
      <c r="C229" s="88">
        <v>0</v>
      </c>
      <c r="D229" s="88">
        <v>0.9</v>
      </c>
      <c r="E229" s="89" t="e">
        <f>IFERROR(
_xlfn.XLOOKUP(
B229,#REF!,#REF!
),
_xlfn.XLOOKUP(
A229,#REF!,#REF!
)
)</f>
        <v>#REF!</v>
      </c>
      <c r="F229" s="88" t="str">
        <f>IFERROR(
VLOOKUP(
B229,#REF!,
6,
FALSE
),
""
)</f>
        <v/>
      </c>
      <c r="G229" s="88">
        <v>0</v>
      </c>
      <c r="H229" s="88">
        <v>24</v>
      </c>
      <c r="I229" s="90" t="e">
        <f t="shared" si="20"/>
        <v>#REF!</v>
      </c>
      <c r="J229" s="91" t="e">
        <f t="shared" si="21"/>
        <v>#REF!</v>
      </c>
      <c r="K229" s="91"/>
      <c r="L229" s="88" t="e">
        <f t="shared" si="22"/>
        <v>#REF!</v>
      </c>
      <c r="M229" s="88" t="e">
        <f t="shared" si="23"/>
        <v>#REF!</v>
      </c>
      <c r="N229" s="88" t="e">
        <f t="shared" si="24"/>
        <v>#REF!</v>
      </c>
      <c r="O229" s="88"/>
    </row>
    <row r="230" spans="3:15" ht="15" x14ac:dyDescent="0.25">
      <c r="C230" s="88">
        <v>0</v>
      </c>
      <c r="D230" s="88">
        <v>0.9</v>
      </c>
      <c r="E230" s="89" t="e">
        <f>IFERROR(
_xlfn.XLOOKUP(
B230,#REF!,#REF!
),
_xlfn.XLOOKUP(
A230,#REF!,#REF!
)
)</f>
        <v>#REF!</v>
      </c>
      <c r="F230" s="88" t="str">
        <f>IFERROR(
VLOOKUP(
B230,#REF!,
6,
FALSE
),
""
)</f>
        <v/>
      </c>
      <c r="G230" s="88">
        <v>0</v>
      </c>
      <c r="H230" s="88">
        <v>24</v>
      </c>
      <c r="I230" s="90" t="e">
        <f t="shared" si="20"/>
        <v>#REF!</v>
      </c>
      <c r="J230" s="91" t="e">
        <f t="shared" si="21"/>
        <v>#REF!</v>
      </c>
      <c r="K230" s="91"/>
      <c r="L230" s="88" t="e">
        <f t="shared" si="22"/>
        <v>#REF!</v>
      </c>
      <c r="M230" s="88" t="e">
        <f t="shared" si="23"/>
        <v>#REF!</v>
      </c>
      <c r="N230" s="88" t="e">
        <f t="shared" si="24"/>
        <v>#REF!</v>
      </c>
      <c r="O230" s="88"/>
    </row>
    <row r="231" spans="3:15" ht="15" x14ac:dyDescent="0.25">
      <c r="C231" s="88">
        <v>0</v>
      </c>
      <c r="D231" s="88">
        <v>0.9</v>
      </c>
      <c r="E231" s="89" t="e">
        <f>IFERROR(
_xlfn.XLOOKUP(
B231,#REF!,#REF!
),
_xlfn.XLOOKUP(
A231,#REF!,#REF!
)
)</f>
        <v>#REF!</v>
      </c>
      <c r="F231" s="88" t="str">
        <f>IFERROR(
VLOOKUP(
B231,#REF!,
6,
FALSE
),
""
)</f>
        <v/>
      </c>
      <c r="G231" s="88">
        <v>0</v>
      </c>
      <c r="H231" s="88">
        <v>24</v>
      </c>
      <c r="I231" s="90" t="e">
        <f t="shared" si="20"/>
        <v>#REF!</v>
      </c>
      <c r="J231" s="91" t="e">
        <f t="shared" si="21"/>
        <v>#REF!</v>
      </c>
      <c r="K231" s="91"/>
      <c r="L231" s="88" t="e">
        <f t="shared" si="22"/>
        <v>#REF!</v>
      </c>
      <c r="M231" s="88" t="e">
        <f t="shared" si="23"/>
        <v>#REF!</v>
      </c>
      <c r="N231" s="88" t="e">
        <f t="shared" si="24"/>
        <v>#REF!</v>
      </c>
      <c r="O231" s="88"/>
    </row>
    <row r="232" spans="3:15" ht="15" x14ac:dyDescent="0.25">
      <c r="C232" s="88">
        <v>0</v>
      </c>
      <c r="D232" s="88">
        <v>0.9</v>
      </c>
      <c r="E232" s="89" t="e">
        <f>IFERROR(
_xlfn.XLOOKUP(
B232,#REF!,#REF!
),
_xlfn.XLOOKUP(
A232,#REF!,#REF!
)
)</f>
        <v>#REF!</v>
      </c>
      <c r="F232" s="88" t="str">
        <f>IFERROR(
VLOOKUP(
B232,#REF!,
6,
FALSE
),
""
)</f>
        <v/>
      </c>
      <c r="G232" s="88">
        <v>0</v>
      </c>
      <c r="H232" s="88">
        <v>24</v>
      </c>
      <c r="I232" s="90" t="e">
        <f t="shared" si="20"/>
        <v>#REF!</v>
      </c>
      <c r="J232" s="91" t="e">
        <f t="shared" si="21"/>
        <v>#REF!</v>
      </c>
      <c r="K232" s="91"/>
      <c r="L232" s="88" t="e">
        <f t="shared" si="22"/>
        <v>#REF!</v>
      </c>
      <c r="M232" s="88" t="e">
        <f t="shared" si="23"/>
        <v>#REF!</v>
      </c>
      <c r="N232" s="88" t="e">
        <f t="shared" si="24"/>
        <v>#REF!</v>
      </c>
      <c r="O232" s="88"/>
    </row>
    <row r="233" spans="3:15" ht="15" x14ac:dyDescent="0.25">
      <c r="C233" s="88">
        <v>0</v>
      </c>
      <c r="D233" s="88">
        <v>0.9</v>
      </c>
      <c r="E233" s="89" t="e">
        <f>IFERROR(
_xlfn.XLOOKUP(
B233,#REF!,#REF!
),
_xlfn.XLOOKUP(
A233,#REF!,#REF!
)
)</f>
        <v>#REF!</v>
      </c>
      <c r="F233" s="88" t="str">
        <f>IFERROR(
VLOOKUP(
B233,#REF!,
6,
FALSE
),
""
)</f>
        <v/>
      </c>
      <c r="G233" s="88">
        <v>0</v>
      </c>
      <c r="H233" s="88">
        <v>24</v>
      </c>
      <c r="I233" s="90" t="e">
        <f t="shared" si="20"/>
        <v>#REF!</v>
      </c>
      <c r="J233" s="91" t="e">
        <f t="shared" si="21"/>
        <v>#REF!</v>
      </c>
      <c r="K233" s="91"/>
      <c r="L233" s="88" t="e">
        <f t="shared" si="22"/>
        <v>#REF!</v>
      </c>
      <c r="M233" s="88" t="e">
        <f t="shared" si="23"/>
        <v>#REF!</v>
      </c>
      <c r="N233" s="88" t="e">
        <f t="shared" si="24"/>
        <v>#REF!</v>
      </c>
      <c r="O233" s="88"/>
    </row>
    <row r="234" spans="3:15" ht="15" x14ac:dyDescent="0.25">
      <c r="C234" s="88">
        <v>0</v>
      </c>
      <c r="D234" s="88">
        <v>0.9</v>
      </c>
      <c r="E234" s="89" t="e">
        <f>IFERROR(
_xlfn.XLOOKUP(
B234,#REF!,#REF!
),
_xlfn.XLOOKUP(
A234,#REF!,#REF!
)
)</f>
        <v>#REF!</v>
      </c>
      <c r="F234" s="88" t="str">
        <f>IFERROR(
VLOOKUP(
B234,#REF!,
6,
FALSE
),
""
)</f>
        <v/>
      </c>
      <c r="G234" s="88">
        <v>0</v>
      </c>
      <c r="H234" s="88">
        <v>24</v>
      </c>
      <c r="I234" s="90" t="e">
        <f t="shared" si="20"/>
        <v>#REF!</v>
      </c>
      <c r="J234" s="91" t="e">
        <f t="shared" si="21"/>
        <v>#REF!</v>
      </c>
      <c r="K234" s="91"/>
      <c r="L234" s="88" t="e">
        <f t="shared" si="22"/>
        <v>#REF!</v>
      </c>
      <c r="M234" s="88" t="e">
        <f t="shared" si="23"/>
        <v>#REF!</v>
      </c>
      <c r="N234" s="88" t="e">
        <f t="shared" si="24"/>
        <v>#REF!</v>
      </c>
      <c r="O234" s="88"/>
    </row>
    <row r="235" spans="3:15" ht="15" x14ac:dyDescent="0.25">
      <c r="C235" s="88">
        <v>0</v>
      </c>
      <c r="D235" s="88">
        <v>0.9</v>
      </c>
      <c r="E235" s="89" t="e">
        <f>IFERROR(
_xlfn.XLOOKUP(
B235,#REF!,#REF!
),
_xlfn.XLOOKUP(
A235,#REF!,#REF!
)
)</f>
        <v>#REF!</v>
      </c>
      <c r="F235" s="88" t="str">
        <f>IFERROR(
VLOOKUP(
B235,#REF!,
6,
FALSE
),
""
)</f>
        <v/>
      </c>
      <c r="G235" s="88">
        <v>0</v>
      </c>
      <c r="H235" s="88">
        <v>24</v>
      </c>
      <c r="I235" s="90" t="e">
        <f t="shared" si="20"/>
        <v>#REF!</v>
      </c>
      <c r="J235" s="91" t="e">
        <f t="shared" si="21"/>
        <v>#REF!</v>
      </c>
      <c r="K235" s="91"/>
      <c r="L235" s="88" t="e">
        <f t="shared" si="22"/>
        <v>#REF!</v>
      </c>
      <c r="M235" s="88" t="e">
        <f t="shared" si="23"/>
        <v>#REF!</v>
      </c>
      <c r="N235" s="88" t="e">
        <f t="shared" si="24"/>
        <v>#REF!</v>
      </c>
      <c r="O235" s="88"/>
    </row>
    <row r="236" spans="3:15" ht="15" x14ac:dyDescent="0.25">
      <c r="C236" s="88">
        <v>0</v>
      </c>
      <c r="D236" s="88">
        <v>0.9</v>
      </c>
      <c r="E236" s="89" t="e">
        <f>IFERROR(
_xlfn.XLOOKUP(
B236,#REF!,#REF!
),
_xlfn.XLOOKUP(
A236,#REF!,#REF!
)
)</f>
        <v>#REF!</v>
      </c>
      <c r="F236" s="88" t="str">
        <f>IFERROR(
VLOOKUP(
B236,#REF!,
6,
FALSE
),
""
)</f>
        <v/>
      </c>
      <c r="G236" s="88">
        <v>0</v>
      </c>
      <c r="H236" s="88">
        <v>24</v>
      </c>
      <c r="I236" s="90" t="e">
        <f t="shared" si="20"/>
        <v>#REF!</v>
      </c>
      <c r="J236" s="91" t="e">
        <f t="shared" si="21"/>
        <v>#REF!</v>
      </c>
      <c r="K236" s="91"/>
      <c r="L236" s="88" t="e">
        <f t="shared" si="22"/>
        <v>#REF!</v>
      </c>
      <c r="M236" s="88" t="e">
        <f t="shared" si="23"/>
        <v>#REF!</v>
      </c>
      <c r="N236" s="88" t="e">
        <f t="shared" si="24"/>
        <v>#REF!</v>
      </c>
      <c r="O236" s="88"/>
    </row>
    <row r="237" spans="3:15" ht="15" x14ac:dyDescent="0.25">
      <c r="C237" s="88">
        <v>0</v>
      </c>
      <c r="D237" s="88">
        <v>0.9</v>
      </c>
      <c r="E237" s="89" t="e">
        <f>IFERROR(
_xlfn.XLOOKUP(
B237,#REF!,#REF!
),
_xlfn.XLOOKUP(
A237,#REF!,#REF!
)
)</f>
        <v>#REF!</v>
      </c>
      <c r="F237" s="88" t="str">
        <f>IFERROR(
VLOOKUP(
B237,#REF!,
6,
FALSE
),
""
)</f>
        <v/>
      </c>
      <c r="G237" s="88">
        <v>0</v>
      </c>
      <c r="H237" s="88">
        <v>24</v>
      </c>
      <c r="I237" s="90" t="e">
        <f t="shared" si="20"/>
        <v>#REF!</v>
      </c>
      <c r="J237" s="91" t="e">
        <f t="shared" si="21"/>
        <v>#REF!</v>
      </c>
      <c r="K237" s="91"/>
      <c r="L237" s="88" t="e">
        <f t="shared" si="22"/>
        <v>#REF!</v>
      </c>
      <c r="M237" s="88" t="e">
        <f t="shared" si="23"/>
        <v>#REF!</v>
      </c>
      <c r="N237" s="88" t="e">
        <f t="shared" si="24"/>
        <v>#REF!</v>
      </c>
      <c r="O237" s="88"/>
    </row>
    <row r="238" spans="3:15" ht="15" x14ac:dyDescent="0.25">
      <c r="C238" s="88">
        <v>0</v>
      </c>
      <c r="D238" s="88">
        <v>0.9</v>
      </c>
      <c r="E238" s="89" t="e">
        <f>IFERROR(
_xlfn.XLOOKUP(
B238,#REF!,#REF!
),
_xlfn.XLOOKUP(
A238,#REF!,#REF!
)
)</f>
        <v>#REF!</v>
      </c>
      <c r="F238" s="88" t="str">
        <f>IFERROR(
VLOOKUP(
B238,#REF!,
6,
FALSE
),
""
)</f>
        <v/>
      </c>
      <c r="G238" s="88">
        <v>0</v>
      </c>
      <c r="H238" s="88">
        <v>24</v>
      </c>
      <c r="I238" s="90" t="e">
        <f t="shared" si="20"/>
        <v>#REF!</v>
      </c>
      <c r="J238" s="91" t="e">
        <f t="shared" si="21"/>
        <v>#REF!</v>
      </c>
      <c r="K238" s="91"/>
      <c r="L238" s="88" t="e">
        <f t="shared" si="22"/>
        <v>#REF!</v>
      </c>
      <c r="M238" s="88" t="e">
        <f t="shared" si="23"/>
        <v>#REF!</v>
      </c>
      <c r="N238" s="88" t="e">
        <f t="shared" si="24"/>
        <v>#REF!</v>
      </c>
      <c r="O238" s="88"/>
    </row>
    <row r="239" spans="3:15" ht="15" x14ac:dyDescent="0.25">
      <c r="C239" s="88">
        <v>0</v>
      </c>
      <c r="D239" s="88">
        <v>0.9</v>
      </c>
      <c r="E239" s="89" t="e">
        <f>IFERROR(
_xlfn.XLOOKUP(
B239,#REF!,#REF!
),
_xlfn.XLOOKUP(
A239,#REF!,#REF!
)
)</f>
        <v>#REF!</v>
      </c>
      <c r="F239" s="88" t="str">
        <f>IFERROR(
VLOOKUP(
B239,#REF!,
6,
FALSE
),
""
)</f>
        <v/>
      </c>
      <c r="G239" s="88">
        <v>0</v>
      </c>
      <c r="H239" s="88">
        <v>24</v>
      </c>
      <c r="I239" s="90" t="e">
        <f t="shared" si="20"/>
        <v>#REF!</v>
      </c>
      <c r="J239" s="91" t="e">
        <f t="shared" si="21"/>
        <v>#REF!</v>
      </c>
      <c r="K239" s="91"/>
      <c r="L239" s="88" t="e">
        <f t="shared" si="22"/>
        <v>#REF!</v>
      </c>
      <c r="M239" s="88" t="e">
        <f t="shared" si="23"/>
        <v>#REF!</v>
      </c>
      <c r="N239" s="88" t="e">
        <f t="shared" si="24"/>
        <v>#REF!</v>
      </c>
      <c r="O239" s="88"/>
    </row>
    <row r="240" spans="3:15" ht="15" x14ac:dyDescent="0.25">
      <c r="C240" s="88">
        <v>0</v>
      </c>
      <c r="D240" s="88">
        <v>0.9</v>
      </c>
      <c r="E240" s="89" t="e">
        <f>IFERROR(
_xlfn.XLOOKUP(
B240,#REF!,#REF!
),
_xlfn.XLOOKUP(
A240,#REF!,#REF!
)
)</f>
        <v>#REF!</v>
      </c>
      <c r="F240" s="88" t="str">
        <f>IFERROR(
VLOOKUP(
B240,#REF!,
6,
FALSE
),
""
)</f>
        <v/>
      </c>
      <c r="G240" s="88">
        <v>0</v>
      </c>
      <c r="H240" s="88">
        <v>24</v>
      </c>
      <c r="I240" s="90" t="e">
        <f t="shared" si="20"/>
        <v>#REF!</v>
      </c>
      <c r="J240" s="91" t="e">
        <f t="shared" si="21"/>
        <v>#REF!</v>
      </c>
      <c r="K240" s="91"/>
      <c r="L240" s="88" t="e">
        <f t="shared" si="22"/>
        <v>#REF!</v>
      </c>
      <c r="M240" s="88" t="e">
        <f t="shared" si="23"/>
        <v>#REF!</v>
      </c>
      <c r="N240" s="88" t="e">
        <f t="shared" si="24"/>
        <v>#REF!</v>
      </c>
      <c r="O240" s="88"/>
    </row>
    <row r="241" spans="3:15" ht="15" x14ac:dyDescent="0.25">
      <c r="C241" s="88">
        <v>0</v>
      </c>
      <c r="D241" s="88">
        <v>0.9</v>
      </c>
      <c r="E241" s="89" t="e">
        <f>IFERROR(
_xlfn.XLOOKUP(
B241,#REF!,#REF!
),
_xlfn.XLOOKUP(
A241,#REF!,#REF!
)
)</f>
        <v>#REF!</v>
      </c>
      <c r="F241" s="88" t="str">
        <f>IFERROR(
VLOOKUP(
B241,#REF!,
6,
FALSE
),
""
)</f>
        <v/>
      </c>
      <c r="G241" s="88">
        <v>0</v>
      </c>
      <c r="H241" s="88">
        <v>24</v>
      </c>
      <c r="I241" s="90" t="e">
        <f t="shared" si="20"/>
        <v>#REF!</v>
      </c>
      <c r="J241" s="91" t="e">
        <f t="shared" si="21"/>
        <v>#REF!</v>
      </c>
      <c r="K241" s="91"/>
      <c r="L241" s="88" t="e">
        <f t="shared" si="22"/>
        <v>#REF!</v>
      </c>
      <c r="M241" s="88" t="e">
        <f t="shared" si="23"/>
        <v>#REF!</v>
      </c>
      <c r="N241" s="88" t="e">
        <f t="shared" si="24"/>
        <v>#REF!</v>
      </c>
      <c r="O241" s="88"/>
    </row>
    <row r="242" spans="3:15" ht="15" x14ac:dyDescent="0.25">
      <c r="C242" s="88">
        <v>0</v>
      </c>
      <c r="D242" s="88">
        <v>0.9</v>
      </c>
      <c r="E242" s="89" t="e">
        <f>IFERROR(
_xlfn.XLOOKUP(
B242,#REF!,#REF!
),
_xlfn.XLOOKUP(
A242,#REF!,#REF!
)
)</f>
        <v>#REF!</v>
      </c>
      <c r="F242" s="88" t="str">
        <f>IFERROR(
VLOOKUP(
B242,#REF!,
6,
FALSE
),
""
)</f>
        <v/>
      </c>
      <c r="G242" s="88">
        <v>0</v>
      </c>
      <c r="H242" s="88">
        <v>24</v>
      </c>
      <c r="I242" s="90" t="e">
        <f t="shared" si="20"/>
        <v>#REF!</v>
      </c>
      <c r="J242" s="91" t="e">
        <f t="shared" si="21"/>
        <v>#REF!</v>
      </c>
      <c r="K242" s="91"/>
      <c r="L242" s="88" t="e">
        <f t="shared" si="22"/>
        <v>#REF!</v>
      </c>
      <c r="M242" s="88" t="e">
        <f t="shared" si="23"/>
        <v>#REF!</v>
      </c>
      <c r="N242" s="88" t="e">
        <f t="shared" si="24"/>
        <v>#REF!</v>
      </c>
      <c r="O242" s="88"/>
    </row>
    <row r="243" spans="3:15" ht="15" x14ac:dyDescent="0.25">
      <c r="C243" s="88">
        <v>0</v>
      </c>
      <c r="D243" s="88">
        <v>0.9</v>
      </c>
      <c r="E243" s="89" t="e">
        <f>IFERROR(
_xlfn.XLOOKUP(
B243,#REF!,#REF!
),
_xlfn.XLOOKUP(
A243,#REF!,#REF!
)
)</f>
        <v>#REF!</v>
      </c>
      <c r="F243" s="88" t="str">
        <f>IFERROR(
VLOOKUP(
B243,#REF!,
6,
FALSE
),
""
)</f>
        <v/>
      </c>
      <c r="G243" s="88">
        <v>0</v>
      </c>
      <c r="H243" s="88">
        <v>24</v>
      </c>
      <c r="I243" s="90" t="e">
        <f t="shared" si="20"/>
        <v>#REF!</v>
      </c>
      <c r="J243" s="91" t="e">
        <f t="shared" si="21"/>
        <v>#REF!</v>
      </c>
      <c r="K243" s="91"/>
      <c r="L243" s="88" t="e">
        <f t="shared" si="22"/>
        <v>#REF!</v>
      </c>
      <c r="M243" s="88" t="e">
        <f t="shared" si="23"/>
        <v>#REF!</v>
      </c>
      <c r="N243" s="88" t="e">
        <f t="shared" si="24"/>
        <v>#REF!</v>
      </c>
      <c r="O243" s="88"/>
    </row>
    <row r="244" spans="3:15" ht="15" x14ac:dyDescent="0.25">
      <c r="C244" s="88">
        <v>0</v>
      </c>
      <c r="D244" s="88">
        <v>0.9</v>
      </c>
      <c r="E244" s="89" t="e">
        <f>IFERROR(
_xlfn.XLOOKUP(
B244,#REF!,#REF!
),
_xlfn.XLOOKUP(
A244,#REF!,#REF!
)
)</f>
        <v>#REF!</v>
      </c>
      <c r="F244" s="88" t="str">
        <f>IFERROR(
VLOOKUP(
B244,#REF!,
6,
FALSE
),
""
)</f>
        <v/>
      </c>
      <c r="G244" s="88">
        <v>0</v>
      </c>
      <c r="H244" s="88">
        <v>24</v>
      </c>
      <c r="I244" s="90" t="e">
        <f t="shared" si="20"/>
        <v>#REF!</v>
      </c>
      <c r="J244" s="91" t="e">
        <f t="shared" si="21"/>
        <v>#REF!</v>
      </c>
      <c r="K244" s="91"/>
      <c r="L244" s="88" t="e">
        <f t="shared" si="22"/>
        <v>#REF!</v>
      </c>
      <c r="M244" s="88" t="e">
        <f t="shared" si="23"/>
        <v>#REF!</v>
      </c>
      <c r="N244" s="88" t="e">
        <f t="shared" si="24"/>
        <v>#REF!</v>
      </c>
      <c r="O244" s="88"/>
    </row>
    <row r="245" spans="3:15" ht="15" x14ac:dyDescent="0.25">
      <c r="C245" s="88">
        <v>0</v>
      </c>
      <c r="D245" s="88">
        <v>0.9</v>
      </c>
      <c r="E245" s="89" t="e">
        <f>IFERROR(
_xlfn.XLOOKUP(
B245,#REF!,#REF!
),
_xlfn.XLOOKUP(
A245,#REF!,#REF!
)
)</f>
        <v>#REF!</v>
      </c>
      <c r="F245" s="88" t="str">
        <f>IFERROR(
VLOOKUP(
B245,#REF!,
6,
FALSE
),
""
)</f>
        <v/>
      </c>
      <c r="G245" s="88">
        <v>0</v>
      </c>
      <c r="H245" s="88">
        <v>24</v>
      </c>
      <c r="I245" s="90" t="e">
        <f t="shared" si="20"/>
        <v>#REF!</v>
      </c>
      <c r="J245" s="91" t="e">
        <f t="shared" si="21"/>
        <v>#REF!</v>
      </c>
      <c r="K245" s="91"/>
      <c r="L245" s="88" t="e">
        <f t="shared" si="22"/>
        <v>#REF!</v>
      </c>
      <c r="M245" s="88" t="e">
        <f t="shared" si="23"/>
        <v>#REF!</v>
      </c>
      <c r="N245" s="88" t="e">
        <f t="shared" si="24"/>
        <v>#REF!</v>
      </c>
      <c r="O245" s="88"/>
    </row>
    <row r="246" spans="3:15" ht="15" x14ac:dyDescent="0.25">
      <c r="C246" s="88">
        <v>0</v>
      </c>
      <c r="D246" s="88">
        <v>0.9</v>
      </c>
      <c r="E246" s="89" t="e">
        <f>IFERROR(
_xlfn.XLOOKUP(
B246,#REF!,#REF!
),
_xlfn.XLOOKUP(
A246,#REF!,#REF!
)
)</f>
        <v>#REF!</v>
      </c>
      <c r="F246" s="88" t="str">
        <f>IFERROR(
VLOOKUP(
B246,#REF!,
6,
FALSE
),
""
)</f>
        <v/>
      </c>
      <c r="G246" s="88">
        <v>0</v>
      </c>
      <c r="H246" s="88">
        <v>24</v>
      </c>
      <c r="I246" s="90" t="e">
        <f t="shared" si="20"/>
        <v>#REF!</v>
      </c>
      <c r="J246" s="91" t="e">
        <f t="shared" si="21"/>
        <v>#REF!</v>
      </c>
      <c r="K246" s="91"/>
      <c r="L246" s="88" t="e">
        <f t="shared" si="22"/>
        <v>#REF!</v>
      </c>
      <c r="M246" s="88" t="e">
        <f t="shared" si="23"/>
        <v>#REF!</v>
      </c>
      <c r="N246" s="88" t="e">
        <f t="shared" si="24"/>
        <v>#REF!</v>
      </c>
      <c r="O246" s="88"/>
    </row>
    <row r="247" spans="3:15" ht="15" x14ac:dyDescent="0.25">
      <c r="C247" s="88">
        <v>0</v>
      </c>
      <c r="D247" s="88">
        <v>0.9</v>
      </c>
      <c r="E247" s="89" t="e">
        <f>IFERROR(
_xlfn.XLOOKUP(
B247,#REF!,#REF!
),
_xlfn.XLOOKUP(
A247,#REF!,#REF!
)
)</f>
        <v>#REF!</v>
      </c>
      <c r="F247" s="88" t="str">
        <f>IFERROR(
VLOOKUP(
B247,#REF!,
6,
FALSE
),
""
)</f>
        <v/>
      </c>
      <c r="G247" s="88">
        <v>0</v>
      </c>
      <c r="H247" s="88">
        <v>24</v>
      </c>
      <c r="I247" s="90" t="e">
        <f t="shared" si="20"/>
        <v>#REF!</v>
      </c>
      <c r="J247" s="91" t="e">
        <f t="shared" si="21"/>
        <v>#REF!</v>
      </c>
      <c r="K247" s="91"/>
      <c r="L247" s="88" t="e">
        <f t="shared" si="22"/>
        <v>#REF!</v>
      </c>
      <c r="M247" s="88" t="e">
        <f t="shared" si="23"/>
        <v>#REF!</v>
      </c>
      <c r="N247" s="88" t="e">
        <f t="shared" si="24"/>
        <v>#REF!</v>
      </c>
      <c r="O247" s="88"/>
    </row>
    <row r="248" spans="3:15" ht="15" x14ac:dyDescent="0.25">
      <c r="C248" s="88">
        <v>0</v>
      </c>
      <c r="D248" s="88">
        <v>0.9</v>
      </c>
      <c r="E248" s="89" t="e">
        <f>IFERROR(
_xlfn.XLOOKUP(
B248,#REF!,#REF!
),
_xlfn.XLOOKUP(
A248,#REF!,#REF!
)
)</f>
        <v>#REF!</v>
      </c>
      <c r="F248" s="88" t="str">
        <f>IFERROR(
VLOOKUP(
B248,#REF!,
6,
FALSE
),
""
)</f>
        <v/>
      </c>
      <c r="G248" s="88">
        <v>0</v>
      </c>
      <c r="H248" s="88">
        <v>24</v>
      </c>
      <c r="I248" s="90" t="e">
        <f t="shared" si="20"/>
        <v>#REF!</v>
      </c>
      <c r="J248" s="91" t="e">
        <f t="shared" si="21"/>
        <v>#REF!</v>
      </c>
      <c r="K248" s="91"/>
      <c r="L248" s="88" t="e">
        <f t="shared" si="22"/>
        <v>#REF!</v>
      </c>
      <c r="M248" s="88" t="e">
        <f t="shared" si="23"/>
        <v>#REF!</v>
      </c>
      <c r="N248" s="88" t="e">
        <f t="shared" si="24"/>
        <v>#REF!</v>
      </c>
      <c r="O248" s="88"/>
    </row>
    <row r="249" spans="3:15" ht="15" x14ac:dyDescent="0.25">
      <c r="C249" s="88">
        <v>0</v>
      </c>
      <c r="D249" s="88">
        <v>0.9</v>
      </c>
      <c r="E249" s="89" t="e">
        <f>IFERROR(
_xlfn.XLOOKUP(
B249,#REF!,#REF!
),
_xlfn.XLOOKUP(
A249,#REF!,#REF!
)
)</f>
        <v>#REF!</v>
      </c>
      <c r="F249" s="88" t="str">
        <f>IFERROR(
VLOOKUP(
B249,#REF!,
6,
FALSE
),
""
)</f>
        <v/>
      </c>
      <c r="G249" s="88">
        <v>0</v>
      </c>
      <c r="H249" s="88">
        <v>24</v>
      </c>
      <c r="I249" s="90" t="e">
        <f t="shared" si="20"/>
        <v>#REF!</v>
      </c>
      <c r="J249" s="91" t="e">
        <f t="shared" si="21"/>
        <v>#REF!</v>
      </c>
      <c r="K249" s="91"/>
      <c r="L249" s="88" t="e">
        <f t="shared" si="22"/>
        <v>#REF!</v>
      </c>
      <c r="M249" s="88" t="e">
        <f t="shared" si="23"/>
        <v>#REF!</v>
      </c>
      <c r="N249" s="88" t="e">
        <f t="shared" si="24"/>
        <v>#REF!</v>
      </c>
      <c r="O249" s="88"/>
    </row>
    <row r="250" spans="3:15" ht="15" x14ac:dyDescent="0.25">
      <c r="C250" s="88">
        <v>0</v>
      </c>
      <c r="D250" s="88">
        <v>0.9</v>
      </c>
      <c r="E250" s="89" t="e">
        <f>IFERROR(
_xlfn.XLOOKUP(
B250,#REF!,#REF!
),
_xlfn.XLOOKUP(
A250,#REF!,#REF!
)
)</f>
        <v>#REF!</v>
      </c>
      <c r="F250" s="88" t="str">
        <f>IFERROR(
VLOOKUP(
B250,#REF!,
6,
FALSE
),
""
)</f>
        <v/>
      </c>
      <c r="G250" s="88">
        <v>0</v>
      </c>
      <c r="H250" s="88">
        <v>24</v>
      </c>
      <c r="I250" s="90" t="e">
        <f t="shared" si="20"/>
        <v>#REF!</v>
      </c>
      <c r="J250" s="91" t="e">
        <f t="shared" si="21"/>
        <v>#REF!</v>
      </c>
      <c r="K250" s="91"/>
      <c r="L250" s="88" t="e">
        <f t="shared" si="22"/>
        <v>#REF!</v>
      </c>
      <c r="M250" s="88" t="e">
        <f t="shared" si="23"/>
        <v>#REF!</v>
      </c>
      <c r="N250" s="88" t="e">
        <f t="shared" si="24"/>
        <v>#REF!</v>
      </c>
      <c r="O250" s="88"/>
    </row>
    <row r="251" spans="3:15" ht="15" x14ac:dyDescent="0.25">
      <c r="C251" s="88">
        <v>0</v>
      </c>
      <c r="D251" s="88">
        <v>0.9</v>
      </c>
      <c r="E251" s="89" t="e">
        <f>IFERROR(
_xlfn.XLOOKUP(
B251,#REF!,#REF!
),
_xlfn.XLOOKUP(
A251,#REF!,#REF!
)
)</f>
        <v>#REF!</v>
      </c>
      <c r="F251" s="88" t="str">
        <f>IFERROR(
VLOOKUP(
B251,#REF!,
6,
FALSE
),
""
)</f>
        <v/>
      </c>
      <c r="G251" s="88">
        <v>0</v>
      </c>
      <c r="H251" s="88">
        <v>24</v>
      </c>
      <c r="I251" s="90" t="e">
        <f t="shared" si="20"/>
        <v>#REF!</v>
      </c>
      <c r="J251" s="91" t="e">
        <f t="shared" si="21"/>
        <v>#REF!</v>
      </c>
      <c r="K251" s="91"/>
      <c r="L251" s="88" t="e">
        <f t="shared" si="22"/>
        <v>#REF!</v>
      </c>
      <c r="M251" s="88" t="e">
        <f t="shared" si="23"/>
        <v>#REF!</v>
      </c>
      <c r="N251" s="88" t="e">
        <f t="shared" si="24"/>
        <v>#REF!</v>
      </c>
      <c r="O251" s="88"/>
    </row>
    <row r="252" spans="3:15" ht="15" x14ac:dyDescent="0.25">
      <c r="C252" s="88">
        <v>0</v>
      </c>
      <c r="D252" s="88">
        <v>0.9</v>
      </c>
      <c r="E252" s="89" t="e">
        <f>IFERROR(
_xlfn.XLOOKUP(
B252,#REF!,#REF!
),
_xlfn.XLOOKUP(
A252,#REF!,#REF!
)
)</f>
        <v>#REF!</v>
      </c>
      <c r="F252" s="88" t="str">
        <f>IFERROR(
VLOOKUP(
B252,#REF!,
6,
FALSE
),
""
)</f>
        <v/>
      </c>
      <c r="G252" s="88">
        <v>0</v>
      </c>
      <c r="H252" s="88">
        <v>24</v>
      </c>
      <c r="I252" s="90" t="e">
        <f t="shared" si="20"/>
        <v>#REF!</v>
      </c>
      <c r="J252" s="91" t="e">
        <f t="shared" si="21"/>
        <v>#REF!</v>
      </c>
      <c r="K252" s="91"/>
      <c r="L252" s="88" t="e">
        <f t="shared" si="22"/>
        <v>#REF!</v>
      </c>
      <c r="M252" s="88" t="e">
        <f t="shared" si="23"/>
        <v>#REF!</v>
      </c>
      <c r="N252" s="88" t="e">
        <f t="shared" si="24"/>
        <v>#REF!</v>
      </c>
      <c r="O252" s="88"/>
    </row>
    <row r="253" spans="3:15" ht="15" x14ac:dyDescent="0.25">
      <c r="C253" s="88">
        <v>0</v>
      </c>
      <c r="D253" s="88">
        <v>0.9</v>
      </c>
      <c r="E253" s="89" t="e">
        <f>IFERROR(
_xlfn.XLOOKUP(
B253,#REF!,#REF!
),
_xlfn.XLOOKUP(
A253,#REF!,#REF!
)
)</f>
        <v>#REF!</v>
      </c>
      <c r="F253" s="88" t="str">
        <f>IFERROR(
VLOOKUP(
B253,#REF!,
6,
FALSE
),
""
)</f>
        <v/>
      </c>
      <c r="G253" s="88">
        <v>0</v>
      </c>
      <c r="H253" s="88">
        <v>24</v>
      </c>
      <c r="I253" s="90" t="e">
        <f t="shared" si="20"/>
        <v>#REF!</v>
      </c>
      <c r="J253" s="91" t="e">
        <f t="shared" si="21"/>
        <v>#REF!</v>
      </c>
      <c r="K253" s="91"/>
      <c r="L253" s="88" t="e">
        <f t="shared" si="22"/>
        <v>#REF!</v>
      </c>
      <c r="M253" s="88" t="e">
        <f t="shared" si="23"/>
        <v>#REF!</v>
      </c>
      <c r="N253" s="88" t="e">
        <f t="shared" si="24"/>
        <v>#REF!</v>
      </c>
      <c r="O253" s="88"/>
    </row>
    <row r="254" spans="3:15" ht="15" x14ac:dyDescent="0.25">
      <c r="C254" s="88">
        <v>0</v>
      </c>
      <c r="D254" s="88">
        <v>0.9</v>
      </c>
      <c r="E254" s="89" t="e">
        <f>IFERROR(
_xlfn.XLOOKUP(
B254,#REF!,#REF!
),
_xlfn.XLOOKUP(
A254,#REF!,#REF!
)
)</f>
        <v>#REF!</v>
      </c>
      <c r="F254" s="88" t="str">
        <f>IFERROR(
VLOOKUP(
B254,#REF!,
6,
FALSE
),
""
)</f>
        <v/>
      </c>
      <c r="G254" s="88">
        <v>0</v>
      </c>
      <c r="H254" s="88">
        <v>24</v>
      </c>
      <c r="I254" s="90" t="e">
        <f t="shared" si="20"/>
        <v>#REF!</v>
      </c>
      <c r="J254" s="91" t="e">
        <f t="shared" si="21"/>
        <v>#REF!</v>
      </c>
      <c r="K254" s="91"/>
      <c r="L254" s="88" t="e">
        <f t="shared" si="22"/>
        <v>#REF!</v>
      </c>
      <c r="M254" s="88" t="e">
        <f t="shared" si="23"/>
        <v>#REF!</v>
      </c>
      <c r="N254" s="88" t="e">
        <f t="shared" si="24"/>
        <v>#REF!</v>
      </c>
      <c r="O254" s="88"/>
    </row>
    <row r="255" spans="3:15" ht="15" x14ac:dyDescent="0.25">
      <c r="C255" s="88">
        <v>0</v>
      </c>
      <c r="D255" s="88">
        <v>0.9</v>
      </c>
      <c r="E255" s="89" t="e">
        <f>IFERROR(
_xlfn.XLOOKUP(
B255,#REF!,#REF!
),
_xlfn.XLOOKUP(
A255,#REF!,#REF!
)
)</f>
        <v>#REF!</v>
      </c>
      <c r="F255" s="88" t="str">
        <f>IFERROR(
VLOOKUP(
B255,#REF!,
6,
FALSE
),
""
)</f>
        <v/>
      </c>
      <c r="G255" s="88">
        <v>0</v>
      </c>
      <c r="H255" s="88">
        <v>24</v>
      </c>
      <c r="I255" s="90" t="e">
        <f t="shared" si="20"/>
        <v>#REF!</v>
      </c>
      <c r="J255" s="91" t="e">
        <f t="shared" si="21"/>
        <v>#REF!</v>
      </c>
      <c r="K255" s="91"/>
      <c r="L255" s="88" t="e">
        <f t="shared" si="22"/>
        <v>#REF!</v>
      </c>
      <c r="M255" s="88" t="e">
        <f t="shared" si="23"/>
        <v>#REF!</v>
      </c>
      <c r="N255" s="88" t="e">
        <f t="shared" si="24"/>
        <v>#REF!</v>
      </c>
      <c r="O255" s="88"/>
    </row>
    <row r="256" spans="3:15" ht="15" x14ac:dyDescent="0.25">
      <c r="C256" s="88">
        <v>0</v>
      </c>
      <c r="D256" s="88">
        <v>0.9</v>
      </c>
      <c r="E256" s="89" t="e">
        <f>IFERROR(
_xlfn.XLOOKUP(
B256,#REF!,#REF!
),
_xlfn.XLOOKUP(
A256,#REF!,#REF!
)
)</f>
        <v>#REF!</v>
      </c>
      <c r="F256" s="88" t="str">
        <f>IFERROR(
VLOOKUP(
B256,#REF!,
6,
FALSE
),
""
)</f>
        <v/>
      </c>
      <c r="G256" s="88">
        <v>0</v>
      </c>
      <c r="H256" s="88">
        <v>24</v>
      </c>
      <c r="I256" s="90" t="e">
        <f t="shared" si="20"/>
        <v>#REF!</v>
      </c>
      <c r="J256" s="91" t="e">
        <f t="shared" si="21"/>
        <v>#REF!</v>
      </c>
      <c r="K256" s="91"/>
      <c r="L256" s="88" t="e">
        <f t="shared" si="22"/>
        <v>#REF!</v>
      </c>
      <c r="M256" s="88" t="e">
        <f t="shared" si="23"/>
        <v>#REF!</v>
      </c>
      <c r="N256" s="88" t="e">
        <f t="shared" si="24"/>
        <v>#REF!</v>
      </c>
      <c r="O256" s="88"/>
    </row>
    <row r="257" spans="3:15" ht="15" x14ac:dyDescent="0.25">
      <c r="C257" s="88">
        <v>0</v>
      </c>
      <c r="D257" s="88">
        <v>0.9</v>
      </c>
      <c r="E257" s="89" t="e">
        <f>IFERROR(
_xlfn.XLOOKUP(
B257,#REF!,#REF!
),
_xlfn.XLOOKUP(
A257,#REF!,#REF!
)
)</f>
        <v>#REF!</v>
      </c>
      <c r="F257" s="88" t="str">
        <f>IFERROR(
VLOOKUP(
B257,#REF!,
6,
FALSE
),
""
)</f>
        <v/>
      </c>
      <c r="G257" s="88">
        <v>0</v>
      </c>
      <c r="H257" s="88">
        <v>24</v>
      </c>
      <c r="I257" s="90" t="e">
        <f t="shared" si="20"/>
        <v>#REF!</v>
      </c>
      <c r="J257" s="91" t="e">
        <f t="shared" si="21"/>
        <v>#REF!</v>
      </c>
      <c r="K257" s="91"/>
      <c r="L257" s="88" t="e">
        <f t="shared" si="22"/>
        <v>#REF!</v>
      </c>
      <c r="M257" s="88" t="e">
        <f t="shared" si="23"/>
        <v>#REF!</v>
      </c>
      <c r="N257" s="88" t="e">
        <f t="shared" si="24"/>
        <v>#REF!</v>
      </c>
      <c r="O257" s="88"/>
    </row>
    <row r="258" spans="3:15" ht="15" x14ac:dyDescent="0.25">
      <c r="C258" s="88">
        <v>0</v>
      </c>
      <c r="D258" s="88">
        <v>0.9</v>
      </c>
      <c r="E258" s="89" t="e">
        <f>IFERROR(
_xlfn.XLOOKUP(
B258,#REF!,#REF!
),
_xlfn.XLOOKUP(
A258,#REF!,#REF!
)
)</f>
        <v>#REF!</v>
      </c>
      <c r="F258" s="88" t="str">
        <f>IFERROR(
VLOOKUP(
B258,#REF!,
6,
FALSE
),
""
)</f>
        <v/>
      </c>
      <c r="G258" s="88">
        <v>0</v>
      </c>
      <c r="H258" s="88">
        <v>24</v>
      </c>
      <c r="I258" s="90" t="e">
        <f t="shared" si="20"/>
        <v>#REF!</v>
      </c>
      <c r="J258" s="91" t="e">
        <f t="shared" si="21"/>
        <v>#REF!</v>
      </c>
      <c r="K258" s="91"/>
      <c r="L258" s="88" t="e">
        <f t="shared" si="22"/>
        <v>#REF!</v>
      </c>
      <c r="M258" s="88" t="e">
        <f t="shared" si="23"/>
        <v>#REF!</v>
      </c>
      <c r="N258" s="88" t="e">
        <f t="shared" si="24"/>
        <v>#REF!</v>
      </c>
      <c r="O258" s="88"/>
    </row>
    <row r="259" spans="3:15" ht="15" x14ac:dyDescent="0.25">
      <c r="C259" s="88">
        <v>0</v>
      </c>
      <c r="D259" s="88">
        <v>0.9</v>
      </c>
      <c r="E259" s="89" t="e">
        <f>IFERROR(
_xlfn.XLOOKUP(
B259,#REF!,#REF!
),
_xlfn.XLOOKUP(
A259,#REF!,#REF!
)
)</f>
        <v>#REF!</v>
      </c>
      <c r="F259" s="88" t="str">
        <f>IFERROR(
VLOOKUP(
B259,#REF!,
6,
FALSE
),
""
)</f>
        <v/>
      </c>
      <c r="G259" s="88">
        <v>0</v>
      </c>
      <c r="H259" s="88">
        <v>24</v>
      </c>
      <c r="I259" s="90" t="e">
        <f t="shared" ref="I259:I322" si="25">C259+D259+E259</f>
        <v>#REF!</v>
      </c>
      <c r="J259" s="91" t="e">
        <f t="shared" ref="J259:J322" si="26">(I259+G259) / (1 - F259/100 - (1 - 1/(1 + H259/100)))</f>
        <v>#REF!</v>
      </c>
      <c r="K259" s="91"/>
      <c r="L259" s="88" t="e">
        <f t="shared" ref="L259:L322" si="27">J259 * F259 / 100</f>
        <v>#REF!</v>
      </c>
      <c r="M259" s="88" t="e">
        <f t="shared" ref="M259:M322" si="28">J259 - (J259 / (1 + H259/100))</f>
        <v>#REF!</v>
      </c>
      <c r="N259" s="88" t="e">
        <f t="shared" ref="N259:N322" si="29">J259 - L259 - M259</f>
        <v>#REF!</v>
      </c>
      <c r="O259" s="88"/>
    </row>
    <row r="260" spans="3:15" ht="15" x14ac:dyDescent="0.25">
      <c r="C260" s="88">
        <v>0</v>
      </c>
      <c r="D260" s="88">
        <v>0.9</v>
      </c>
      <c r="E260" s="89" t="e">
        <f>IFERROR(
_xlfn.XLOOKUP(
B260,#REF!,#REF!
),
_xlfn.XLOOKUP(
A260,#REF!,#REF!
)
)</f>
        <v>#REF!</v>
      </c>
      <c r="F260" s="88" t="str">
        <f>IFERROR(
VLOOKUP(
B260,#REF!,
6,
FALSE
),
""
)</f>
        <v/>
      </c>
      <c r="G260" s="88">
        <v>0</v>
      </c>
      <c r="H260" s="88">
        <v>24</v>
      </c>
      <c r="I260" s="90" t="e">
        <f t="shared" si="25"/>
        <v>#REF!</v>
      </c>
      <c r="J260" s="91" t="e">
        <f t="shared" si="26"/>
        <v>#REF!</v>
      </c>
      <c r="K260" s="91"/>
      <c r="L260" s="88" t="e">
        <f t="shared" si="27"/>
        <v>#REF!</v>
      </c>
      <c r="M260" s="88" t="e">
        <f t="shared" si="28"/>
        <v>#REF!</v>
      </c>
      <c r="N260" s="88" t="e">
        <f t="shared" si="29"/>
        <v>#REF!</v>
      </c>
      <c r="O260" s="88"/>
    </row>
    <row r="261" spans="3:15" ht="15" x14ac:dyDescent="0.25">
      <c r="C261" s="88">
        <v>0</v>
      </c>
      <c r="D261" s="88">
        <v>0.9</v>
      </c>
      <c r="E261" s="89" t="e">
        <f>IFERROR(
_xlfn.XLOOKUP(
B261,#REF!,#REF!
),
_xlfn.XLOOKUP(
A261,#REF!,#REF!
)
)</f>
        <v>#REF!</v>
      </c>
      <c r="F261" s="88" t="str">
        <f>IFERROR(
VLOOKUP(
B261,#REF!,
6,
FALSE
),
""
)</f>
        <v/>
      </c>
      <c r="G261" s="88">
        <v>0</v>
      </c>
      <c r="H261" s="88">
        <v>24</v>
      </c>
      <c r="I261" s="90" t="e">
        <f t="shared" si="25"/>
        <v>#REF!</v>
      </c>
      <c r="J261" s="91" t="e">
        <f t="shared" si="26"/>
        <v>#REF!</v>
      </c>
      <c r="K261" s="91"/>
      <c r="L261" s="88" t="e">
        <f t="shared" si="27"/>
        <v>#REF!</v>
      </c>
      <c r="M261" s="88" t="e">
        <f t="shared" si="28"/>
        <v>#REF!</v>
      </c>
      <c r="N261" s="88" t="e">
        <f t="shared" si="29"/>
        <v>#REF!</v>
      </c>
      <c r="O261" s="88"/>
    </row>
    <row r="262" spans="3:15" ht="15" x14ac:dyDescent="0.25">
      <c r="C262" s="88">
        <v>0</v>
      </c>
      <c r="D262" s="88">
        <v>0.9</v>
      </c>
      <c r="E262" s="89" t="e">
        <f>IFERROR(
_xlfn.XLOOKUP(
B262,#REF!,#REF!
),
_xlfn.XLOOKUP(
A262,#REF!,#REF!
)
)</f>
        <v>#REF!</v>
      </c>
      <c r="F262" s="88" t="str">
        <f>IFERROR(
VLOOKUP(
B262,#REF!,
6,
FALSE
),
""
)</f>
        <v/>
      </c>
      <c r="G262" s="88">
        <v>0</v>
      </c>
      <c r="H262" s="88">
        <v>24</v>
      </c>
      <c r="I262" s="90" t="e">
        <f t="shared" si="25"/>
        <v>#REF!</v>
      </c>
      <c r="J262" s="91" t="e">
        <f t="shared" si="26"/>
        <v>#REF!</v>
      </c>
      <c r="K262" s="91"/>
      <c r="L262" s="88" t="e">
        <f t="shared" si="27"/>
        <v>#REF!</v>
      </c>
      <c r="M262" s="88" t="e">
        <f t="shared" si="28"/>
        <v>#REF!</v>
      </c>
      <c r="N262" s="88" t="e">
        <f t="shared" si="29"/>
        <v>#REF!</v>
      </c>
      <c r="O262" s="88"/>
    </row>
    <row r="263" spans="3:15" ht="15" x14ac:dyDescent="0.25">
      <c r="C263" s="88">
        <v>0</v>
      </c>
      <c r="D263" s="88">
        <v>0.9</v>
      </c>
      <c r="E263" s="89" t="e">
        <f>IFERROR(
_xlfn.XLOOKUP(
B263,#REF!,#REF!
),
_xlfn.XLOOKUP(
A263,#REF!,#REF!
)
)</f>
        <v>#REF!</v>
      </c>
      <c r="F263" s="88" t="str">
        <f>IFERROR(
VLOOKUP(
B263,#REF!,
6,
FALSE
),
""
)</f>
        <v/>
      </c>
      <c r="G263" s="88">
        <v>0</v>
      </c>
      <c r="H263" s="88">
        <v>24</v>
      </c>
      <c r="I263" s="90" t="e">
        <f t="shared" si="25"/>
        <v>#REF!</v>
      </c>
      <c r="J263" s="91" t="e">
        <f t="shared" si="26"/>
        <v>#REF!</v>
      </c>
      <c r="K263" s="91"/>
      <c r="L263" s="88" t="e">
        <f t="shared" si="27"/>
        <v>#REF!</v>
      </c>
      <c r="M263" s="88" t="e">
        <f t="shared" si="28"/>
        <v>#REF!</v>
      </c>
      <c r="N263" s="88" t="e">
        <f t="shared" si="29"/>
        <v>#REF!</v>
      </c>
      <c r="O263" s="88"/>
    </row>
    <row r="264" spans="3:15" ht="15" x14ac:dyDescent="0.25">
      <c r="C264" s="88">
        <v>0</v>
      </c>
      <c r="D264" s="88">
        <v>0.9</v>
      </c>
      <c r="E264" s="89" t="e">
        <f>IFERROR(
_xlfn.XLOOKUP(
B264,#REF!,#REF!
),
_xlfn.XLOOKUP(
A264,#REF!,#REF!
)
)</f>
        <v>#REF!</v>
      </c>
      <c r="F264" s="88" t="str">
        <f>IFERROR(
VLOOKUP(
B264,#REF!,
6,
FALSE
),
""
)</f>
        <v/>
      </c>
      <c r="G264" s="88">
        <v>0</v>
      </c>
      <c r="H264" s="88">
        <v>24</v>
      </c>
      <c r="I264" s="90" t="e">
        <f t="shared" si="25"/>
        <v>#REF!</v>
      </c>
      <c r="J264" s="91" t="e">
        <f t="shared" si="26"/>
        <v>#REF!</v>
      </c>
      <c r="K264" s="91"/>
      <c r="L264" s="88" t="e">
        <f t="shared" si="27"/>
        <v>#REF!</v>
      </c>
      <c r="M264" s="88" t="e">
        <f t="shared" si="28"/>
        <v>#REF!</v>
      </c>
      <c r="N264" s="88" t="e">
        <f t="shared" si="29"/>
        <v>#REF!</v>
      </c>
      <c r="O264" s="88"/>
    </row>
    <row r="265" spans="3:15" ht="15" x14ac:dyDescent="0.25">
      <c r="C265" s="88">
        <v>0</v>
      </c>
      <c r="D265" s="88">
        <v>0.9</v>
      </c>
      <c r="E265" s="89" t="e">
        <f>IFERROR(
_xlfn.XLOOKUP(
B265,#REF!,#REF!
),
_xlfn.XLOOKUP(
A265,#REF!,#REF!
)
)</f>
        <v>#REF!</v>
      </c>
      <c r="F265" s="88" t="str">
        <f>IFERROR(
VLOOKUP(
B265,#REF!,
6,
FALSE
),
""
)</f>
        <v/>
      </c>
      <c r="G265" s="88">
        <v>0</v>
      </c>
      <c r="H265" s="88">
        <v>24</v>
      </c>
      <c r="I265" s="90" t="e">
        <f t="shared" si="25"/>
        <v>#REF!</v>
      </c>
      <c r="J265" s="91" t="e">
        <f t="shared" si="26"/>
        <v>#REF!</v>
      </c>
      <c r="K265" s="91"/>
      <c r="L265" s="88" t="e">
        <f t="shared" si="27"/>
        <v>#REF!</v>
      </c>
      <c r="M265" s="88" t="e">
        <f t="shared" si="28"/>
        <v>#REF!</v>
      </c>
      <c r="N265" s="88" t="e">
        <f t="shared" si="29"/>
        <v>#REF!</v>
      </c>
      <c r="O265" s="88"/>
    </row>
    <row r="266" spans="3:15" ht="15" x14ac:dyDescent="0.25">
      <c r="C266" s="88">
        <v>0</v>
      </c>
      <c r="D266" s="88">
        <v>0.9</v>
      </c>
      <c r="E266" s="89" t="e">
        <f>IFERROR(
_xlfn.XLOOKUP(
B266,#REF!,#REF!
),
_xlfn.XLOOKUP(
A266,#REF!,#REF!
)
)</f>
        <v>#REF!</v>
      </c>
      <c r="F266" s="88" t="str">
        <f>IFERROR(
VLOOKUP(
B266,#REF!,
6,
FALSE
),
""
)</f>
        <v/>
      </c>
      <c r="G266" s="88">
        <v>0</v>
      </c>
      <c r="H266" s="88">
        <v>24</v>
      </c>
      <c r="I266" s="90" t="e">
        <f t="shared" si="25"/>
        <v>#REF!</v>
      </c>
      <c r="J266" s="91" t="e">
        <f t="shared" si="26"/>
        <v>#REF!</v>
      </c>
      <c r="K266" s="91"/>
      <c r="L266" s="88" t="e">
        <f t="shared" si="27"/>
        <v>#REF!</v>
      </c>
      <c r="M266" s="88" t="e">
        <f t="shared" si="28"/>
        <v>#REF!</v>
      </c>
      <c r="N266" s="88" t="e">
        <f t="shared" si="29"/>
        <v>#REF!</v>
      </c>
      <c r="O266" s="88"/>
    </row>
    <row r="267" spans="3:15" ht="15" x14ac:dyDescent="0.25">
      <c r="C267" s="88">
        <v>0</v>
      </c>
      <c r="D267" s="88">
        <v>0.9</v>
      </c>
      <c r="E267" s="89" t="e">
        <f>IFERROR(
_xlfn.XLOOKUP(
B267,#REF!,#REF!
),
_xlfn.XLOOKUP(
A267,#REF!,#REF!
)
)</f>
        <v>#REF!</v>
      </c>
      <c r="F267" s="88" t="str">
        <f>IFERROR(
VLOOKUP(
B267,#REF!,
6,
FALSE
),
""
)</f>
        <v/>
      </c>
      <c r="G267" s="88">
        <v>0</v>
      </c>
      <c r="H267" s="88">
        <v>24</v>
      </c>
      <c r="I267" s="90" t="e">
        <f t="shared" si="25"/>
        <v>#REF!</v>
      </c>
      <c r="J267" s="91" t="e">
        <f t="shared" si="26"/>
        <v>#REF!</v>
      </c>
      <c r="K267" s="91"/>
      <c r="L267" s="88" t="e">
        <f t="shared" si="27"/>
        <v>#REF!</v>
      </c>
      <c r="M267" s="88" t="e">
        <f t="shared" si="28"/>
        <v>#REF!</v>
      </c>
      <c r="N267" s="88" t="e">
        <f t="shared" si="29"/>
        <v>#REF!</v>
      </c>
      <c r="O267" s="88"/>
    </row>
    <row r="268" spans="3:15" ht="15" x14ac:dyDescent="0.25">
      <c r="C268" s="88">
        <v>0</v>
      </c>
      <c r="D268" s="88">
        <v>0.9</v>
      </c>
      <c r="E268" s="89" t="e">
        <f>IFERROR(
_xlfn.XLOOKUP(
B268,#REF!,#REF!
),
_xlfn.XLOOKUP(
A268,#REF!,#REF!
)
)</f>
        <v>#REF!</v>
      </c>
      <c r="F268" s="88" t="str">
        <f>IFERROR(
VLOOKUP(
B268,#REF!,
6,
FALSE
),
""
)</f>
        <v/>
      </c>
      <c r="G268" s="88">
        <v>0</v>
      </c>
      <c r="H268" s="88">
        <v>24</v>
      </c>
      <c r="I268" s="90" t="e">
        <f t="shared" si="25"/>
        <v>#REF!</v>
      </c>
      <c r="J268" s="91" t="e">
        <f t="shared" si="26"/>
        <v>#REF!</v>
      </c>
      <c r="K268" s="91"/>
      <c r="L268" s="88" t="e">
        <f t="shared" si="27"/>
        <v>#REF!</v>
      </c>
      <c r="M268" s="88" t="e">
        <f t="shared" si="28"/>
        <v>#REF!</v>
      </c>
      <c r="N268" s="88" t="e">
        <f t="shared" si="29"/>
        <v>#REF!</v>
      </c>
      <c r="O268" s="88"/>
    </row>
    <row r="269" spans="3:15" ht="15" x14ac:dyDescent="0.25">
      <c r="C269" s="88">
        <v>0</v>
      </c>
      <c r="D269" s="88">
        <v>0.9</v>
      </c>
      <c r="E269" s="89" t="e">
        <f>IFERROR(
_xlfn.XLOOKUP(
B269,#REF!,#REF!
),
_xlfn.XLOOKUP(
A269,#REF!,#REF!
)
)</f>
        <v>#REF!</v>
      </c>
      <c r="F269" s="88" t="str">
        <f>IFERROR(
VLOOKUP(
B269,#REF!,
6,
FALSE
),
""
)</f>
        <v/>
      </c>
      <c r="G269" s="88">
        <v>0</v>
      </c>
      <c r="H269" s="88">
        <v>24</v>
      </c>
      <c r="I269" s="90" t="e">
        <f t="shared" si="25"/>
        <v>#REF!</v>
      </c>
      <c r="J269" s="91" t="e">
        <f t="shared" si="26"/>
        <v>#REF!</v>
      </c>
      <c r="K269" s="91"/>
      <c r="L269" s="88" t="e">
        <f t="shared" si="27"/>
        <v>#REF!</v>
      </c>
      <c r="M269" s="88" t="e">
        <f t="shared" si="28"/>
        <v>#REF!</v>
      </c>
      <c r="N269" s="88" t="e">
        <f t="shared" si="29"/>
        <v>#REF!</v>
      </c>
      <c r="O269" s="88"/>
    </row>
    <row r="270" spans="3:15" ht="15" x14ac:dyDescent="0.25">
      <c r="C270" s="88">
        <v>0</v>
      </c>
      <c r="D270" s="88">
        <v>0.9</v>
      </c>
      <c r="E270" s="89" t="e">
        <f>IFERROR(
_xlfn.XLOOKUP(
B270,#REF!,#REF!
),
_xlfn.XLOOKUP(
A270,#REF!,#REF!
)
)</f>
        <v>#REF!</v>
      </c>
      <c r="F270" s="88" t="str">
        <f>IFERROR(
VLOOKUP(
B270,#REF!,
6,
FALSE
),
""
)</f>
        <v/>
      </c>
      <c r="G270" s="88">
        <v>0</v>
      </c>
      <c r="H270" s="88">
        <v>24</v>
      </c>
      <c r="I270" s="90" t="e">
        <f t="shared" si="25"/>
        <v>#REF!</v>
      </c>
      <c r="J270" s="91" t="e">
        <f t="shared" si="26"/>
        <v>#REF!</v>
      </c>
      <c r="K270" s="91"/>
      <c r="L270" s="88" t="e">
        <f t="shared" si="27"/>
        <v>#REF!</v>
      </c>
      <c r="M270" s="88" t="e">
        <f t="shared" si="28"/>
        <v>#REF!</v>
      </c>
      <c r="N270" s="88" t="e">
        <f t="shared" si="29"/>
        <v>#REF!</v>
      </c>
      <c r="O270" s="88"/>
    </row>
    <row r="271" spans="3:15" ht="15" x14ac:dyDescent="0.25">
      <c r="C271" s="88">
        <v>0</v>
      </c>
      <c r="D271" s="88">
        <v>0.9</v>
      </c>
      <c r="E271" s="89" t="e">
        <f>IFERROR(
_xlfn.XLOOKUP(
B271,#REF!,#REF!
),
_xlfn.XLOOKUP(
A271,#REF!,#REF!
)
)</f>
        <v>#REF!</v>
      </c>
      <c r="F271" s="88" t="str">
        <f>IFERROR(
VLOOKUP(
B271,#REF!,
6,
FALSE
),
""
)</f>
        <v/>
      </c>
      <c r="G271" s="88">
        <v>0</v>
      </c>
      <c r="H271" s="88">
        <v>24</v>
      </c>
      <c r="I271" s="90" t="e">
        <f t="shared" si="25"/>
        <v>#REF!</v>
      </c>
      <c r="J271" s="91" t="e">
        <f t="shared" si="26"/>
        <v>#REF!</v>
      </c>
      <c r="K271" s="91"/>
      <c r="L271" s="88" t="e">
        <f t="shared" si="27"/>
        <v>#REF!</v>
      </c>
      <c r="M271" s="88" t="e">
        <f t="shared" si="28"/>
        <v>#REF!</v>
      </c>
      <c r="N271" s="88" t="e">
        <f t="shared" si="29"/>
        <v>#REF!</v>
      </c>
      <c r="O271" s="88"/>
    </row>
    <row r="272" spans="3:15" ht="15" x14ac:dyDescent="0.25">
      <c r="C272" s="88">
        <v>0</v>
      </c>
      <c r="D272" s="88">
        <v>0.9</v>
      </c>
      <c r="E272" s="89" t="e">
        <f>IFERROR(
_xlfn.XLOOKUP(
B272,#REF!,#REF!
),
_xlfn.XLOOKUP(
A272,#REF!,#REF!
)
)</f>
        <v>#REF!</v>
      </c>
      <c r="F272" s="88" t="str">
        <f>IFERROR(
VLOOKUP(
B272,#REF!,
6,
FALSE
),
""
)</f>
        <v/>
      </c>
      <c r="G272" s="88">
        <v>0</v>
      </c>
      <c r="H272" s="88">
        <v>24</v>
      </c>
      <c r="I272" s="90" t="e">
        <f t="shared" si="25"/>
        <v>#REF!</v>
      </c>
      <c r="J272" s="91" t="e">
        <f t="shared" si="26"/>
        <v>#REF!</v>
      </c>
      <c r="K272" s="91"/>
      <c r="L272" s="88" t="e">
        <f t="shared" si="27"/>
        <v>#REF!</v>
      </c>
      <c r="M272" s="88" t="e">
        <f t="shared" si="28"/>
        <v>#REF!</v>
      </c>
      <c r="N272" s="88" t="e">
        <f t="shared" si="29"/>
        <v>#REF!</v>
      </c>
      <c r="O272" s="88"/>
    </row>
    <row r="273" spans="3:15" ht="15" x14ac:dyDescent="0.25">
      <c r="C273" s="88">
        <v>0</v>
      </c>
      <c r="D273" s="88">
        <v>0.9</v>
      </c>
      <c r="E273" s="89" t="e">
        <f>IFERROR(
_xlfn.XLOOKUP(
B273,#REF!,#REF!
),
_xlfn.XLOOKUP(
A273,#REF!,#REF!
)
)</f>
        <v>#REF!</v>
      </c>
      <c r="F273" s="88" t="str">
        <f>IFERROR(
VLOOKUP(
B273,#REF!,
6,
FALSE
),
""
)</f>
        <v/>
      </c>
      <c r="G273" s="88">
        <v>0</v>
      </c>
      <c r="H273" s="88">
        <v>24</v>
      </c>
      <c r="I273" s="90" t="e">
        <f t="shared" si="25"/>
        <v>#REF!</v>
      </c>
      <c r="J273" s="91" t="e">
        <f t="shared" si="26"/>
        <v>#REF!</v>
      </c>
      <c r="K273" s="91"/>
      <c r="L273" s="88" t="e">
        <f t="shared" si="27"/>
        <v>#REF!</v>
      </c>
      <c r="M273" s="88" t="e">
        <f t="shared" si="28"/>
        <v>#REF!</v>
      </c>
      <c r="N273" s="88" t="e">
        <f t="shared" si="29"/>
        <v>#REF!</v>
      </c>
      <c r="O273" s="88"/>
    </row>
    <row r="274" spans="3:15" ht="15" x14ac:dyDescent="0.25">
      <c r="C274" s="88">
        <v>0</v>
      </c>
      <c r="D274" s="88">
        <v>0.9</v>
      </c>
      <c r="E274" s="89" t="e">
        <f>IFERROR(
_xlfn.XLOOKUP(
B274,#REF!,#REF!
),
_xlfn.XLOOKUP(
A274,#REF!,#REF!
)
)</f>
        <v>#REF!</v>
      </c>
      <c r="F274" s="88" t="str">
        <f>IFERROR(
VLOOKUP(
B274,#REF!,
6,
FALSE
),
""
)</f>
        <v/>
      </c>
      <c r="G274" s="88">
        <v>0</v>
      </c>
      <c r="H274" s="88">
        <v>24</v>
      </c>
      <c r="I274" s="90" t="e">
        <f t="shared" si="25"/>
        <v>#REF!</v>
      </c>
      <c r="J274" s="91" t="e">
        <f t="shared" si="26"/>
        <v>#REF!</v>
      </c>
      <c r="K274" s="91"/>
      <c r="L274" s="88" t="e">
        <f t="shared" si="27"/>
        <v>#REF!</v>
      </c>
      <c r="M274" s="88" t="e">
        <f t="shared" si="28"/>
        <v>#REF!</v>
      </c>
      <c r="N274" s="88" t="e">
        <f t="shared" si="29"/>
        <v>#REF!</v>
      </c>
      <c r="O274" s="88"/>
    </row>
    <row r="275" spans="3:15" ht="15" x14ac:dyDescent="0.25">
      <c r="C275" s="88">
        <v>0</v>
      </c>
      <c r="D275" s="88">
        <v>0.9</v>
      </c>
      <c r="E275" s="89" t="e">
        <f>IFERROR(
_xlfn.XLOOKUP(
B275,#REF!,#REF!
),
_xlfn.XLOOKUP(
A275,#REF!,#REF!
)
)</f>
        <v>#REF!</v>
      </c>
      <c r="F275" s="88" t="str">
        <f>IFERROR(
VLOOKUP(
B275,#REF!,
6,
FALSE
),
""
)</f>
        <v/>
      </c>
      <c r="G275" s="88">
        <v>0</v>
      </c>
      <c r="H275" s="88">
        <v>24</v>
      </c>
      <c r="I275" s="90" t="e">
        <f t="shared" si="25"/>
        <v>#REF!</v>
      </c>
      <c r="J275" s="91" t="e">
        <f t="shared" si="26"/>
        <v>#REF!</v>
      </c>
      <c r="K275" s="91"/>
      <c r="L275" s="88" t="e">
        <f t="shared" si="27"/>
        <v>#REF!</v>
      </c>
      <c r="M275" s="88" t="e">
        <f t="shared" si="28"/>
        <v>#REF!</v>
      </c>
      <c r="N275" s="88" t="e">
        <f t="shared" si="29"/>
        <v>#REF!</v>
      </c>
      <c r="O275" s="88"/>
    </row>
    <row r="276" spans="3:15" ht="15" x14ac:dyDescent="0.25">
      <c r="C276" s="88">
        <v>0</v>
      </c>
      <c r="D276" s="88">
        <v>0.9</v>
      </c>
      <c r="E276" s="89" t="e">
        <f>IFERROR(
_xlfn.XLOOKUP(
B276,#REF!,#REF!
),
_xlfn.XLOOKUP(
A276,#REF!,#REF!
)
)</f>
        <v>#REF!</v>
      </c>
      <c r="F276" s="88" t="str">
        <f>IFERROR(
VLOOKUP(
B276,#REF!,
6,
FALSE
),
""
)</f>
        <v/>
      </c>
      <c r="G276" s="88">
        <v>0</v>
      </c>
      <c r="H276" s="88">
        <v>24</v>
      </c>
      <c r="I276" s="90" t="e">
        <f t="shared" si="25"/>
        <v>#REF!</v>
      </c>
      <c r="J276" s="91" t="e">
        <f t="shared" si="26"/>
        <v>#REF!</v>
      </c>
      <c r="K276" s="91"/>
      <c r="L276" s="88" t="e">
        <f t="shared" si="27"/>
        <v>#REF!</v>
      </c>
      <c r="M276" s="88" t="e">
        <f t="shared" si="28"/>
        <v>#REF!</v>
      </c>
      <c r="N276" s="88" t="e">
        <f t="shared" si="29"/>
        <v>#REF!</v>
      </c>
      <c r="O276" s="88"/>
    </row>
    <row r="277" spans="3:15" ht="15" x14ac:dyDescent="0.25">
      <c r="C277" s="88">
        <v>0</v>
      </c>
      <c r="D277" s="88">
        <v>0.9</v>
      </c>
      <c r="E277" s="89" t="e">
        <f>IFERROR(
_xlfn.XLOOKUP(
B277,#REF!,#REF!
),
_xlfn.XLOOKUP(
A277,#REF!,#REF!
)
)</f>
        <v>#REF!</v>
      </c>
      <c r="F277" s="88" t="str">
        <f>IFERROR(
VLOOKUP(
B277,#REF!,
6,
FALSE
),
""
)</f>
        <v/>
      </c>
      <c r="G277" s="88">
        <v>0</v>
      </c>
      <c r="H277" s="88">
        <v>24</v>
      </c>
      <c r="I277" s="90" t="e">
        <f t="shared" si="25"/>
        <v>#REF!</v>
      </c>
      <c r="J277" s="91" t="e">
        <f t="shared" si="26"/>
        <v>#REF!</v>
      </c>
      <c r="K277" s="91"/>
      <c r="L277" s="88" t="e">
        <f t="shared" si="27"/>
        <v>#REF!</v>
      </c>
      <c r="M277" s="88" t="e">
        <f t="shared" si="28"/>
        <v>#REF!</v>
      </c>
      <c r="N277" s="88" t="e">
        <f t="shared" si="29"/>
        <v>#REF!</v>
      </c>
      <c r="O277" s="88"/>
    </row>
    <row r="278" spans="3:15" ht="15" x14ac:dyDescent="0.25">
      <c r="C278" s="88">
        <v>0</v>
      </c>
      <c r="D278" s="88">
        <v>0.9</v>
      </c>
      <c r="E278" s="89" t="e">
        <f>IFERROR(
_xlfn.XLOOKUP(
B278,#REF!,#REF!
),
_xlfn.XLOOKUP(
A278,#REF!,#REF!
)
)</f>
        <v>#REF!</v>
      </c>
      <c r="F278" s="88" t="str">
        <f>IFERROR(
VLOOKUP(
B278,#REF!,
6,
FALSE
),
""
)</f>
        <v/>
      </c>
      <c r="G278" s="88">
        <v>0</v>
      </c>
      <c r="H278" s="88">
        <v>24</v>
      </c>
      <c r="I278" s="90" t="e">
        <f t="shared" si="25"/>
        <v>#REF!</v>
      </c>
      <c r="J278" s="91" t="e">
        <f t="shared" si="26"/>
        <v>#REF!</v>
      </c>
      <c r="K278" s="91"/>
      <c r="L278" s="88" t="e">
        <f t="shared" si="27"/>
        <v>#REF!</v>
      </c>
      <c r="M278" s="88" t="e">
        <f t="shared" si="28"/>
        <v>#REF!</v>
      </c>
      <c r="N278" s="88" t="e">
        <f t="shared" si="29"/>
        <v>#REF!</v>
      </c>
      <c r="O278" s="88"/>
    </row>
    <row r="279" spans="3:15" ht="15" x14ac:dyDescent="0.25">
      <c r="C279" s="88">
        <v>0</v>
      </c>
      <c r="D279" s="88">
        <v>0.9</v>
      </c>
      <c r="E279" s="89" t="e">
        <f>IFERROR(
_xlfn.XLOOKUP(
B279,#REF!,#REF!
),
_xlfn.XLOOKUP(
A279,#REF!,#REF!
)
)</f>
        <v>#REF!</v>
      </c>
      <c r="F279" s="88" t="str">
        <f>IFERROR(
VLOOKUP(
B279,#REF!,
6,
FALSE
),
""
)</f>
        <v/>
      </c>
      <c r="G279" s="88">
        <v>0</v>
      </c>
      <c r="H279" s="88">
        <v>24</v>
      </c>
      <c r="I279" s="90" t="e">
        <f t="shared" si="25"/>
        <v>#REF!</v>
      </c>
      <c r="J279" s="91" t="e">
        <f t="shared" si="26"/>
        <v>#REF!</v>
      </c>
      <c r="K279" s="91"/>
      <c r="L279" s="88" t="e">
        <f t="shared" si="27"/>
        <v>#REF!</v>
      </c>
      <c r="M279" s="88" t="e">
        <f t="shared" si="28"/>
        <v>#REF!</v>
      </c>
      <c r="N279" s="88" t="e">
        <f t="shared" si="29"/>
        <v>#REF!</v>
      </c>
      <c r="O279" s="88"/>
    </row>
    <row r="280" spans="3:15" ht="15" x14ac:dyDescent="0.25">
      <c r="C280" s="88">
        <v>0</v>
      </c>
      <c r="D280" s="88">
        <v>0.9</v>
      </c>
      <c r="E280" s="89" t="e">
        <f>IFERROR(
_xlfn.XLOOKUP(
B280,#REF!,#REF!
),
_xlfn.XLOOKUP(
A280,#REF!,#REF!
)
)</f>
        <v>#REF!</v>
      </c>
      <c r="F280" s="88" t="str">
        <f>IFERROR(
VLOOKUP(
B280,#REF!,
6,
FALSE
),
""
)</f>
        <v/>
      </c>
      <c r="G280" s="88">
        <v>0</v>
      </c>
      <c r="H280" s="88">
        <v>24</v>
      </c>
      <c r="I280" s="90" t="e">
        <f t="shared" si="25"/>
        <v>#REF!</v>
      </c>
      <c r="J280" s="91" t="e">
        <f t="shared" si="26"/>
        <v>#REF!</v>
      </c>
      <c r="K280" s="91"/>
      <c r="L280" s="88" t="e">
        <f t="shared" si="27"/>
        <v>#REF!</v>
      </c>
      <c r="M280" s="88" t="e">
        <f t="shared" si="28"/>
        <v>#REF!</v>
      </c>
      <c r="N280" s="88" t="e">
        <f t="shared" si="29"/>
        <v>#REF!</v>
      </c>
      <c r="O280" s="88"/>
    </row>
    <row r="281" spans="3:15" ht="15" x14ac:dyDescent="0.25">
      <c r="C281" s="88">
        <v>0</v>
      </c>
      <c r="D281" s="88">
        <v>0.9</v>
      </c>
      <c r="E281" s="89" t="e">
        <f>IFERROR(
_xlfn.XLOOKUP(
B281,#REF!,#REF!
),
_xlfn.XLOOKUP(
A281,#REF!,#REF!
)
)</f>
        <v>#REF!</v>
      </c>
      <c r="F281" s="88" t="str">
        <f>IFERROR(
VLOOKUP(
B281,#REF!,
6,
FALSE
),
""
)</f>
        <v/>
      </c>
      <c r="G281" s="88">
        <v>0</v>
      </c>
      <c r="H281" s="88">
        <v>24</v>
      </c>
      <c r="I281" s="90" t="e">
        <f t="shared" si="25"/>
        <v>#REF!</v>
      </c>
      <c r="J281" s="91" t="e">
        <f t="shared" si="26"/>
        <v>#REF!</v>
      </c>
      <c r="K281" s="91"/>
      <c r="L281" s="88" t="e">
        <f t="shared" si="27"/>
        <v>#REF!</v>
      </c>
      <c r="M281" s="88" t="e">
        <f t="shared" si="28"/>
        <v>#REF!</v>
      </c>
      <c r="N281" s="88" t="e">
        <f t="shared" si="29"/>
        <v>#REF!</v>
      </c>
      <c r="O281" s="88"/>
    </row>
    <row r="282" spans="3:15" ht="15" x14ac:dyDescent="0.25">
      <c r="C282" s="88">
        <v>0</v>
      </c>
      <c r="D282" s="88">
        <v>0.9</v>
      </c>
      <c r="E282" s="89" t="e">
        <f>IFERROR(
_xlfn.XLOOKUP(
B282,#REF!,#REF!
),
_xlfn.XLOOKUP(
A282,#REF!,#REF!
)
)</f>
        <v>#REF!</v>
      </c>
      <c r="F282" s="88" t="str">
        <f>IFERROR(
VLOOKUP(
B282,#REF!,
6,
FALSE
),
""
)</f>
        <v/>
      </c>
      <c r="G282" s="88">
        <v>0</v>
      </c>
      <c r="H282" s="88">
        <v>24</v>
      </c>
      <c r="I282" s="90" t="e">
        <f t="shared" si="25"/>
        <v>#REF!</v>
      </c>
      <c r="J282" s="91" t="e">
        <f t="shared" si="26"/>
        <v>#REF!</v>
      </c>
      <c r="K282" s="91"/>
      <c r="L282" s="88" t="e">
        <f t="shared" si="27"/>
        <v>#REF!</v>
      </c>
      <c r="M282" s="88" t="e">
        <f t="shared" si="28"/>
        <v>#REF!</v>
      </c>
      <c r="N282" s="88" t="e">
        <f t="shared" si="29"/>
        <v>#REF!</v>
      </c>
      <c r="O282" s="88"/>
    </row>
    <row r="283" spans="3:15" ht="15" x14ac:dyDescent="0.25">
      <c r="C283" s="88">
        <v>0</v>
      </c>
      <c r="D283" s="88">
        <v>0.9</v>
      </c>
      <c r="E283" s="89" t="e">
        <f>IFERROR(
_xlfn.XLOOKUP(
B283,#REF!,#REF!
),
_xlfn.XLOOKUP(
A283,#REF!,#REF!
)
)</f>
        <v>#REF!</v>
      </c>
      <c r="F283" s="88" t="str">
        <f>IFERROR(
VLOOKUP(
B283,#REF!,
6,
FALSE
),
""
)</f>
        <v/>
      </c>
      <c r="G283" s="88">
        <v>0</v>
      </c>
      <c r="H283" s="88">
        <v>24</v>
      </c>
      <c r="I283" s="90" t="e">
        <f t="shared" si="25"/>
        <v>#REF!</v>
      </c>
      <c r="J283" s="91" t="e">
        <f t="shared" si="26"/>
        <v>#REF!</v>
      </c>
      <c r="K283" s="91"/>
      <c r="L283" s="88" t="e">
        <f t="shared" si="27"/>
        <v>#REF!</v>
      </c>
      <c r="M283" s="88" t="e">
        <f t="shared" si="28"/>
        <v>#REF!</v>
      </c>
      <c r="N283" s="88" t="e">
        <f t="shared" si="29"/>
        <v>#REF!</v>
      </c>
      <c r="O283" s="88"/>
    </row>
    <row r="284" spans="3:15" ht="15" x14ac:dyDescent="0.25">
      <c r="C284" s="88">
        <v>0</v>
      </c>
      <c r="D284" s="88">
        <v>0.9</v>
      </c>
      <c r="E284" s="89" t="e">
        <f>IFERROR(
_xlfn.XLOOKUP(
B284,#REF!,#REF!
),
_xlfn.XLOOKUP(
A284,#REF!,#REF!
)
)</f>
        <v>#REF!</v>
      </c>
      <c r="F284" s="88" t="str">
        <f>IFERROR(
VLOOKUP(
B284,#REF!,
6,
FALSE
),
""
)</f>
        <v/>
      </c>
      <c r="G284" s="88">
        <v>0</v>
      </c>
      <c r="H284" s="88">
        <v>24</v>
      </c>
      <c r="I284" s="90" t="e">
        <f t="shared" si="25"/>
        <v>#REF!</v>
      </c>
      <c r="J284" s="91" t="e">
        <f t="shared" si="26"/>
        <v>#REF!</v>
      </c>
      <c r="K284" s="91"/>
      <c r="L284" s="88" t="e">
        <f t="shared" si="27"/>
        <v>#REF!</v>
      </c>
      <c r="M284" s="88" t="e">
        <f t="shared" si="28"/>
        <v>#REF!</v>
      </c>
      <c r="N284" s="88" t="e">
        <f t="shared" si="29"/>
        <v>#REF!</v>
      </c>
      <c r="O284" s="88"/>
    </row>
    <row r="285" spans="3:15" ht="15" x14ac:dyDescent="0.25">
      <c r="C285" s="88">
        <v>0</v>
      </c>
      <c r="D285" s="88">
        <v>0.9</v>
      </c>
      <c r="E285" s="89" t="e">
        <f>IFERROR(
_xlfn.XLOOKUP(
B285,#REF!,#REF!
),
_xlfn.XLOOKUP(
A285,#REF!,#REF!
)
)</f>
        <v>#REF!</v>
      </c>
      <c r="F285" s="88" t="str">
        <f>IFERROR(
VLOOKUP(
B285,#REF!,
6,
FALSE
),
""
)</f>
        <v/>
      </c>
      <c r="G285" s="88">
        <v>0</v>
      </c>
      <c r="H285" s="88">
        <v>24</v>
      </c>
      <c r="I285" s="90" t="e">
        <f t="shared" si="25"/>
        <v>#REF!</v>
      </c>
      <c r="J285" s="91" t="e">
        <f t="shared" si="26"/>
        <v>#REF!</v>
      </c>
      <c r="K285" s="91"/>
      <c r="L285" s="88" t="e">
        <f t="shared" si="27"/>
        <v>#REF!</v>
      </c>
      <c r="M285" s="88" t="e">
        <f t="shared" si="28"/>
        <v>#REF!</v>
      </c>
      <c r="N285" s="88" t="e">
        <f t="shared" si="29"/>
        <v>#REF!</v>
      </c>
      <c r="O285" s="88"/>
    </row>
    <row r="286" spans="3:15" ht="15" x14ac:dyDescent="0.25">
      <c r="C286" s="88">
        <v>0</v>
      </c>
      <c r="D286" s="88">
        <v>0.9</v>
      </c>
      <c r="E286" s="89" t="e">
        <f>IFERROR(
_xlfn.XLOOKUP(
B286,#REF!,#REF!
),
_xlfn.XLOOKUP(
A286,#REF!,#REF!
)
)</f>
        <v>#REF!</v>
      </c>
      <c r="F286" s="88" t="str">
        <f>IFERROR(
VLOOKUP(
B286,#REF!,
6,
FALSE
),
""
)</f>
        <v/>
      </c>
      <c r="G286" s="88">
        <v>0</v>
      </c>
      <c r="H286" s="88">
        <v>24</v>
      </c>
      <c r="I286" s="90" t="e">
        <f t="shared" si="25"/>
        <v>#REF!</v>
      </c>
      <c r="J286" s="91" t="e">
        <f t="shared" si="26"/>
        <v>#REF!</v>
      </c>
      <c r="K286" s="91"/>
      <c r="L286" s="88" t="e">
        <f t="shared" si="27"/>
        <v>#REF!</v>
      </c>
      <c r="M286" s="88" t="e">
        <f t="shared" si="28"/>
        <v>#REF!</v>
      </c>
      <c r="N286" s="88" t="e">
        <f t="shared" si="29"/>
        <v>#REF!</v>
      </c>
      <c r="O286" s="88"/>
    </row>
    <row r="287" spans="3:15" ht="15" x14ac:dyDescent="0.25">
      <c r="C287" s="88">
        <v>0</v>
      </c>
      <c r="D287" s="88">
        <v>0.9</v>
      </c>
      <c r="E287" s="89" t="e">
        <f>IFERROR(
_xlfn.XLOOKUP(
B287,#REF!,#REF!
),
_xlfn.XLOOKUP(
A287,#REF!,#REF!
)
)</f>
        <v>#REF!</v>
      </c>
      <c r="F287" s="88" t="str">
        <f>IFERROR(
VLOOKUP(
B287,#REF!,
6,
FALSE
),
""
)</f>
        <v/>
      </c>
      <c r="G287" s="88">
        <v>0</v>
      </c>
      <c r="H287" s="88">
        <v>24</v>
      </c>
      <c r="I287" s="90" t="e">
        <f t="shared" si="25"/>
        <v>#REF!</v>
      </c>
      <c r="J287" s="91" t="e">
        <f t="shared" si="26"/>
        <v>#REF!</v>
      </c>
      <c r="K287" s="91"/>
      <c r="L287" s="88" t="e">
        <f t="shared" si="27"/>
        <v>#REF!</v>
      </c>
      <c r="M287" s="88" t="e">
        <f t="shared" si="28"/>
        <v>#REF!</v>
      </c>
      <c r="N287" s="88" t="e">
        <f t="shared" si="29"/>
        <v>#REF!</v>
      </c>
      <c r="O287" s="88"/>
    </row>
    <row r="288" spans="3:15" ht="15" x14ac:dyDescent="0.25">
      <c r="C288" s="88">
        <v>0</v>
      </c>
      <c r="D288" s="88">
        <v>0.9</v>
      </c>
      <c r="E288" s="89" t="e">
        <f>IFERROR(
_xlfn.XLOOKUP(
B288,#REF!,#REF!
),
_xlfn.XLOOKUP(
A288,#REF!,#REF!
)
)</f>
        <v>#REF!</v>
      </c>
      <c r="F288" s="88" t="str">
        <f>IFERROR(
VLOOKUP(
B288,#REF!,
6,
FALSE
),
""
)</f>
        <v/>
      </c>
      <c r="G288" s="88">
        <v>0</v>
      </c>
      <c r="H288" s="88">
        <v>24</v>
      </c>
      <c r="I288" s="90" t="e">
        <f t="shared" si="25"/>
        <v>#REF!</v>
      </c>
      <c r="J288" s="91" t="e">
        <f t="shared" si="26"/>
        <v>#REF!</v>
      </c>
      <c r="K288" s="91"/>
      <c r="L288" s="88" t="e">
        <f t="shared" si="27"/>
        <v>#REF!</v>
      </c>
      <c r="M288" s="88" t="e">
        <f t="shared" si="28"/>
        <v>#REF!</v>
      </c>
      <c r="N288" s="88" t="e">
        <f t="shared" si="29"/>
        <v>#REF!</v>
      </c>
      <c r="O288" s="88"/>
    </row>
    <row r="289" spans="3:15" ht="15" x14ac:dyDescent="0.25">
      <c r="C289" s="88">
        <v>0</v>
      </c>
      <c r="D289" s="88">
        <v>0.9</v>
      </c>
      <c r="E289" s="89" t="e">
        <f>IFERROR(
_xlfn.XLOOKUP(
B289,#REF!,#REF!
),
_xlfn.XLOOKUP(
A289,#REF!,#REF!
)
)</f>
        <v>#REF!</v>
      </c>
      <c r="F289" s="88" t="str">
        <f>IFERROR(
VLOOKUP(
B289,#REF!,
6,
FALSE
),
""
)</f>
        <v/>
      </c>
      <c r="G289" s="88">
        <v>0</v>
      </c>
      <c r="H289" s="88">
        <v>24</v>
      </c>
      <c r="I289" s="90" t="e">
        <f t="shared" si="25"/>
        <v>#REF!</v>
      </c>
      <c r="J289" s="91" t="e">
        <f t="shared" si="26"/>
        <v>#REF!</v>
      </c>
      <c r="K289" s="91"/>
      <c r="L289" s="88" t="e">
        <f t="shared" si="27"/>
        <v>#REF!</v>
      </c>
      <c r="M289" s="88" t="e">
        <f t="shared" si="28"/>
        <v>#REF!</v>
      </c>
      <c r="N289" s="88" t="e">
        <f t="shared" si="29"/>
        <v>#REF!</v>
      </c>
      <c r="O289" s="88"/>
    </row>
    <row r="290" spans="3:15" ht="15" x14ac:dyDescent="0.25">
      <c r="C290" s="88">
        <v>0</v>
      </c>
      <c r="D290" s="88">
        <v>0.9</v>
      </c>
      <c r="E290" s="89" t="e">
        <f>IFERROR(
_xlfn.XLOOKUP(
B290,#REF!,#REF!
),
_xlfn.XLOOKUP(
A290,#REF!,#REF!
)
)</f>
        <v>#REF!</v>
      </c>
      <c r="F290" s="88" t="str">
        <f>IFERROR(
VLOOKUP(
B290,#REF!,
6,
FALSE
),
""
)</f>
        <v/>
      </c>
      <c r="G290" s="88">
        <v>0</v>
      </c>
      <c r="H290" s="88">
        <v>24</v>
      </c>
      <c r="I290" s="90" t="e">
        <f t="shared" si="25"/>
        <v>#REF!</v>
      </c>
      <c r="J290" s="91" t="e">
        <f t="shared" si="26"/>
        <v>#REF!</v>
      </c>
      <c r="K290" s="91"/>
      <c r="L290" s="88" t="e">
        <f t="shared" si="27"/>
        <v>#REF!</v>
      </c>
      <c r="M290" s="88" t="e">
        <f t="shared" si="28"/>
        <v>#REF!</v>
      </c>
      <c r="N290" s="88" t="e">
        <f t="shared" si="29"/>
        <v>#REF!</v>
      </c>
      <c r="O290" s="88"/>
    </row>
    <row r="291" spans="3:15" ht="15" x14ac:dyDescent="0.25">
      <c r="C291" s="88">
        <v>0</v>
      </c>
      <c r="D291" s="88">
        <v>0.9</v>
      </c>
      <c r="E291" s="89" t="e">
        <f>IFERROR(
_xlfn.XLOOKUP(
B291,#REF!,#REF!
),
_xlfn.XLOOKUP(
A291,#REF!,#REF!
)
)</f>
        <v>#REF!</v>
      </c>
      <c r="F291" s="88" t="str">
        <f>IFERROR(
VLOOKUP(
B291,#REF!,
6,
FALSE
),
""
)</f>
        <v/>
      </c>
      <c r="G291" s="88">
        <v>0</v>
      </c>
      <c r="H291" s="88">
        <v>24</v>
      </c>
      <c r="I291" s="90" t="e">
        <f t="shared" si="25"/>
        <v>#REF!</v>
      </c>
      <c r="J291" s="91" t="e">
        <f t="shared" si="26"/>
        <v>#REF!</v>
      </c>
      <c r="K291" s="91"/>
      <c r="L291" s="88" t="e">
        <f t="shared" si="27"/>
        <v>#REF!</v>
      </c>
      <c r="M291" s="88" t="e">
        <f t="shared" si="28"/>
        <v>#REF!</v>
      </c>
      <c r="N291" s="88" t="e">
        <f t="shared" si="29"/>
        <v>#REF!</v>
      </c>
      <c r="O291" s="88"/>
    </row>
    <row r="292" spans="3:15" ht="15" x14ac:dyDescent="0.25">
      <c r="C292" s="88">
        <v>0</v>
      </c>
      <c r="D292" s="88">
        <v>0.9</v>
      </c>
      <c r="E292" s="89" t="e">
        <f>IFERROR(
_xlfn.XLOOKUP(
B292,#REF!,#REF!
),
_xlfn.XLOOKUP(
A292,#REF!,#REF!
)
)</f>
        <v>#REF!</v>
      </c>
      <c r="F292" s="88" t="str">
        <f>IFERROR(
VLOOKUP(
B292,#REF!,
6,
FALSE
),
""
)</f>
        <v/>
      </c>
      <c r="G292" s="88">
        <v>0</v>
      </c>
      <c r="H292" s="88">
        <v>24</v>
      </c>
      <c r="I292" s="90" t="e">
        <f t="shared" si="25"/>
        <v>#REF!</v>
      </c>
      <c r="J292" s="91" t="e">
        <f t="shared" si="26"/>
        <v>#REF!</v>
      </c>
      <c r="K292" s="91"/>
      <c r="L292" s="88" t="e">
        <f t="shared" si="27"/>
        <v>#REF!</v>
      </c>
      <c r="M292" s="88" t="e">
        <f t="shared" si="28"/>
        <v>#REF!</v>
      </c>
      <c r="N292" s="88" t="e">
        <f t="shared" si="29"/>
        <v>#REF!</v>
      </c>
      <c r="O292" s="88"/>
    </row>
    <row r="293" spans="3:15" ht="15" x14ac:dyDescent="0.25">
      <c r="C293" s="88">
        <v>0</v>
      </c>
      <c r="D293" s="88">
        <v>0.9</v>
      </c>
      <c r="E293" s="89" t="e">
        <f>IFERROR(
_xlfn.XLOOKUP(
B293,#REF!,#REF!
),
_xlfn.XLOOKUP(
A293,#REF!,#REF!
)
)</f>
        <v>#REF!</v>
      </c>
      <c r="F293" s="88" t="str">
        <f>IFERROR(
VLOOKUP(
B293,#REF!,
6,
FALSE
),
""
)</f>
        <v/>
      </c>
      <c r="G293" s="88">
        <v>0</v>
      </c>
      <c r="H293" s="88">
        <v>24</v>
      </c>
      <c r="I293" s="90" t="e">
        <f t="shared" si="25"/>
        <v>#REF!</v>
      </c>
      <c r="J293" s="91" t="e">
        <f t="shared" si="26"/>
        <v>#REF!</v>
      </c>
      <c r="K293" s="91"/>
      <c r="L293" s="88" t="e">
        <f t="shared" si="27"/>
        <v>#REF!</v>
      </c>
      <c r="M293" s="88" t="e">
        <f t="shared" si="28"/>
        <v>#REF!</v>
      </c>
      <c r="N293" s="88" t="e">
        <f t="shared" si="29"/>
        <v>#REF!</v>
      </c>
      <c r="O293" s="88"/>
    </row>
    <row r="294" spans="3:15" ht="15" x14ac:dyDescent="0.25">
      <c r="C294" s="88">
        <v>0</v>
      </c>
      <c r="D294" s="88">
        <v>0.9</v>
      </c>
      <c r="E294" s="89" t="e">
        <f>IFERROR(
_xlfn.XLOOKUP(
B294,#REF!,#REF!
),
_xlfn.XLOOKUP(
A294,#REF!,#REF!
)
)</f>
        <v>#REF!</v>
      </c>
      <c r="F294" s="88" t="str">
        <f>IFERROR(
VLOOKUP(
B294,#REF!,
6,
FALSE
),
""
)</f>
        <v/>
      </c>
      <c r="G294" s="88">
        <v>0</v>
      </c>
      <c r="H294" s="88">
        <v>24</v>
      </c>
      <c r="I294" s="90" t="e">
        <f t="shared" si="25"/>
        <v>#REF!</v>
      </c>
      <c r="J294" s="91" t="e">
        <f t="shared" si="26"/>
        <v>#REF!</v>
      </c>
      <c r="K294" s="91"/>
      <c r="L294" s="88" t="e">
        <f t="shared" si="27"/>
        <v>#REF!</v>
      </c>
      <c r="M294" s="88" t="e">
        <f t="shared" si="28"/>
        <v>#REF!</v>
      </c>
      <c r="N294" s="88" t="e">
        <f t="shared" si="29"/>
        <v>#REF!</v>
      </c>
      <c r="O294" s="88"/>
    </row>
    <row r="295" spans="3:15" ht="15" x14ac:dyDescent="0.25">
      <c r="C295" s="88">
        <v>0</v>
      </c>
      <c r="D295" s="88">
        <v>0.9</v>
      </c>
      <c r="E295" s="89" t="e">
        <f>IFERROR(
_xlfn.XLOOKUP(
B295,#REF!,#REF!
),
_xlfn.XLOOKUP(
A295,#REF!,#REF!
)
)</f>
        <v>#REF!</v>
      </c>
      <c r="F295" s="88" t="str">
        <f>IFERROR(
VLOOKUP(
B295,#REF!,
6,
FALSE
),
""
)</f>
        <v/>
      </c>
      <c r="G295" s="88">
        <v>0</v>
      </c>
      <c r="H295" s="88">
        <v>24</v>
      </c>
      <c r="I295" s="90" t="e">
        <f t="shared" si="25"/>
        <v>#REF!</v>
      </c>
      <c r="J295" s="91" t="e">
        <f t="shared" si="26"/>
        <v>#REF!</v>
      </c>
      <c r="K295" s="91"/>
      <c r="L295" s="88" t="e">
        <f t="shared" si="27"/>
        <v>#REF!</v>
      </c>
      <c r="M295" s="88" t="e">
        <f t="shared" si="28"/>
        <v>#REF!</v>
      </c>
      <c r="N295" s="88" t="e">
        <f t="shared" si="29"/>
        <v>#REF!</v>
      </c>
      <c r="O295" s="88"/>
    </row>
    <row r="296" spans="3:15" ht="15" x14ac:dyDescent="0.25">
      <c r="C296" s="88">
        <v>0</v>
      </c>
      <c r="D296" s="88">
        <v>0.9</v>
      </c>
      <c r="E296" s="89" t="e">
        <f>IFERROR(
_xlfn.XLOOKUP(
B296,#REF!,#REF!
),
_xlfn.XLOOKUP(
A296,#REF!,#REF!
)
)</f>
        <v>#REF!</v>
      </c>
      <c r="F296" s="88" t="str">
        <f>IFERROR(
VLOOKUP(
B296,#REF!,
6,
FALSE
),
""
)</f>
        <v/>
      </c>
      <c r="G296" s="88">
        <v>0</v>
      </c>
      <c r="H296" s="88">
        <v>24</v>
      </c>
      <c r="I296" s="90" t="e">
        <f t="shared" si="25"/>
        <v>#REF!</v>
      </c>
      <c r="J296" s="91" t="e">
        <f t="shared" si="26"/>
        <v>#REF!</v>
      </c>
      <c r="K296" s="91"/>
      <c r="L296" s="88" t="e">
        <f t="shared" si="27"/>
        <v>#REF!</v>
      </c>
      <c r="M296" s="88" t="e">
        <f t="shared" si="28"/>
        <v>#REF!</v>
      </c>
      <c r="N296" s="88" t="e">
        <f t="shared" si="29"/>
        <v>#REF!</v>
      </c>
      <c r="O296" s="88"/>
    </row>
    <row r="297" spans="3:15" ht="15" x14ac:dyDescent="0.25">
      <c r="C297" s="88">
        <v>0</v>
      </c>
      <c r="D297" s="88">
        <v>0.9</v>
      </c>
      <c r="E297" s="89" t="e">
        <f>IFERROR(
_xlfn.XLOOKUP(
B297,#REF!,#REF!
),
_xlfn.XLOOKUP(
A297,#REF!,#REF!
)
)</f>
        <v>#REF!</v>
      </c>
      <c r="F297" s="88" t="str">
        <f>IFERROR(
VLOOKUP(
B297,#REF!,
6,
FALSE
),
""
)</f>
        <v/>
      </c>
      <c r="G297" s="88">
        <v>0</v>
      </c>
      <c r="H297" s="88">
        <v>24</v>
      </c>
      <c r="I297" s="90" t="e">
        <f t="shared" si="25"/>
        <v>#REF!</v>
      </c>
      <c r="J297" s="91" t="e">
        <f t="shared" si="26"/>
        <v>#REF!</v>
      </c>
      <c r="K297" s="91"/>
      <c r="L297" s="88" t="e">
        <f t="shared" si="27"/>
        <v>#REF!</v>
      </c>
      <c r="M297" s="88" t="e">
        <f t="shared" si="28"/>
        <v>#REF!</v>
      </c>
      <c r="N297" s="88" t="e">
        <f t="shared" si="29"/>
        <v>#REF!</v>
      </c>
      <c r="O297" s="88"/>
    </row>
    <row r="298" spans="3:15" ht="15" x14ac:dyDescent="0.25">
      <c r="C298" s="88">
        <v>0</v>
      </c>
      <c r="D298" s="88">
        <v>0.9</v>
      </c>
      <c r="E298" s="89" t="e">
        <f>IFERROR(
_xlfn.XLOOKUP(
B298,#REF!,#REF!
),
_xlfn.XLOOKUP(
A298,#REF!,#REF!
)
)</f>
        <v>#REF!</v>
      </c>
      <c r="F298" s="88" t="str">
        <f>IFERROR(
VLOOKUP(
B298,#REF!,
6,
FALSE
),
""
)</f>
        <v/>
      </c>
      <c r="G298" s="88">
        <v>0</v>
      </c>
      <c r="H298" s="88">
        <v>24</v>
      </c>
      <c r="I298" s="90" t="e">
        <f t="shared" si="25"/>
        <v>#REF!</v>
      </c>
      <c r="J298" s="91" t="e">
        <f t="shared" si="26"/>
        <v>#REF!</v>
      </c>
      <c r="K298" s="91"/>
      <c r="L298" s="88" t="e">
        <f t="shared" si="27"/>
        <v>#REF!</v>
      </c>
      <c r="M298" s="88" t="e">
        <f t="shared" si="28"/>
        <v>#REF!</v>
      </c>
      <c r="N298" s="88" t="e">
        <f t="shared" si="29"/>
        <v>#REF!</v>
      </c>
      <c r="O298" s="88"/>
    </row>
    <row r="299" spans="3:15" ht="15" x14ac:dyDescent="0.25">
      <c r="C299" s="88">
        <v>0</v>
      </c>
      <c r="D299" s="88">
        <v>0.9</v>
      </c>
      <c r="E299" s="89" t="e">
        <f>IFERROR(
_xlfn.XLOOKUP(
B299,#REF!,#REF!
),
_xlfn.XLOOKUP(
A299,#REF!,#REF!
)
)</f>
        <v>#REF!</v>
      </c>
      <c r="F299" s="88" t="str">
        <f>IFERROR(
VLOOKUP(
B299,#REF!,
6,
FALSE
),
""
)</f>
        <v/>
      </c>
      <c r="G299" s="88">
        <v>0</v>
      </c>
      <c r="H299" s="88">
        <v>24</v>
      </c>
      <c r="I299" s="90" t="e">
        <f t="shared" si="25"/>
        <v>#REF!</v>
      </c>
      <c r="J299" s="91" t="e">
        <f t="shared" si="26"/>
        <v>#REF!</v>
      </c>
      <c r="K299" s="91"/>
      <c r="L299" s="88" t="e">
        <f t="shared" si="27"/>
        <v>#REF!</v>
      </c>
      <c r="M299" s="88" t="e">
        <f t="shared" si="28"/>
        <v>#REF!</v>
      </c>
      <c r="N299" s="88" t="e">
        <f t="shared" si="29"/>
        <v>#REF!</v>
      </c>
      <c r="O299" s="88"/>
    </row>
    <row r="300" spans="3:15" ht="15" x14ac:dyDescent="0.25">
      <c r="C300" s="88">
        <v>0</v>
      </c>
      <c r="D300" s="88">
        <v>0.9</v>
      </c>
      <c r="E300" s="89" t="e">
        <f>IFERROR(
_xlfn.XLOOKUP(
B300,#REF!,#REF!
),
_xlfn.XLOOKUP(
A300,#REF!,#REF!
)
)</f>
        <v>#REF!</v>
      </c>
      <c r="F300" s="88" t="str">
        <f>IFERROR(
VLOOKUP(
B300,#REF!,
6,
FALSE
),
""
)</f>
        <v/>
      </c>
      <c r="G300" s="88">
        <v>0</v>
      </c>
      <c r="H300" s="88">
        <v>24</v>
      </c>
      <c r="I300" s="90" t="e">
        <f t="shared" si="25"/>
        <v>#REF!</v>
      </c>
      <c r="J300" s="91" t="e">
        <f t="shared" si="26"/>
        <v>#REF!</v>
      </c>
      <c r="K300" s="91"/>
      <c r="L300" s="88" t="e">
        <f t="shared" si="27"/>
        <v>#REF!</v>
      </c>
      <c r="M300" s="88" t="e">
        <f t="shared" si="28"/>
        <v>#REF!</v>
      </c>
      <c r="N300" s="88" t="e">
        <f t="shared" si="29"/>
        <v>#REF!</v>
      </c>
      <c r="O300" s="88"/>
    </row>
    <row r="301" spans="3:15" ht="15" x14ac:dyDescent="0.25">
      <c r="C301" s="88">
        <v>0</v>
      </c>
      <c r="D301" s="88">
        <v>0.9</v>
      </c>
      <c r="E301" s="89" t="e">
        <f>IFERROR(
_xlfn.XLOOKUP(
B301,#REF!,#REF!
),
_xlfn.XLOOKUP(
A301,#REF!,#REF!
)
)</f>
        <v>#REF!</v>
      </c>
      <c r="F301" s="88" t="str">
        <f>IFERROR(
VLOOKUP(
B301,#REF!,
6,
FALSE
),
""
)</f>
        <v/>
      </c>
      <c r="G301" s="88">
        <v>0</v>
      </c>
      <c r="H301" s="88">
        <v>24</v>
      </c>
      <c r="I301" s="90" t="e">
        <f t="shared" si="25"/>
        <v>#REF!</v>
      </c>
      <c r="J301" s="91" t="e">
        <f t="shared" si="26"/>
        <v>#REF!</v>
      </c>
      <c r="K301" s="91"/>
      <c r="L301" s="88" t="e">
        <f t="shared" si="27"/>
        <v>#REF!</v>
      </c>
      <c r="M301" s="88" t="e">
        <f t="shared" si="28"/>
        <v>#REF!</v>
      </c>
      <c r="N301" s="88" t="e">
        <f t="shared" si="29"/>
        <v>#REF!</v>
      </c>
      <c r="O301" s="88"/>
    </row>
    <row r="302" spans="3:15" ht="15" x14ac:dyDescent="0.25">
      <c r="C302" s="88">
        <v>0</v>
      </c>
      <c r="D302" s="88">
        <v>0.9</v>
      </c>
      <c r="E302" s="89" t="e">
        <f>IFERROR(
_xlfn.XLOOKUP(
B302,#REF!,#REF!
),
_xlfn.XLOOKUP(
A302,#REF!,#REF!
)
)</f>
        <v>#REF!</v>
      </c>
      <c r="F302" s="88" t="str">
        <f>IFERROR(
VLOOKUP(
B302,#REF!,
6,
FALSE
),
""
)</f>
        <v/>
      </c>
      <c r="G302" s="88">
        <v>0</v>
      </c>
      <c r="H302" s="88">
        <v>24</v>
      </c>
      <c r="I302" s="90" t="e">
        <f t="shared" si="25"/>
        <v>#REF!</v>
      </c>
      <c r="J302" s="91" t="e">
        <f t="shared" si="26"/>
        <v>#REF!</v>
      </c>
      <c r="K302" s="91"/>
      <c r="L302" s="88" t="e">
        <f t="shared" si="27"/>
        <v>#REF!</v>
      </c>
      <c r="M302" s="88" t="e">
        <f t="shared" si="28"/>
        <v>#REF!</v>
      </c>
      <c r="N302" s="88" t="e">
        <f t="shared" si="29"/>
        <v>#REF!</v>
      </c>
      <c r="O302" s="88"/>
    </row>
    <row r="303" spans="3:15" ht="15" x14ac:dyDescent="0.25">
      <c r="C303" s="88">
        <v>0</v>
      </c>
      <c r="D303" s="88">
        <v>0.9</v>
      </c>
      <c r="E303" s="89" t="e">
        <f>IFERROR(
_xlfn.XLOOKUP(
B303,#REF!,#REF!
),
_xlfn.XLOOKUP(
A303,#REF!,#REF!
)
)</f>
        <v>#REF!</v>
      </c>
      <c r="F303" s="88" t="str">
        <f>IFERROR(
VLOOKUP(
B303,#REF!,
6,
FALSE
),
""
)</f>
        <v/>
      </c>
      <c r="G303" s="88">
        <v>0</v>
      </c>
      <c r="H303" s="88">
        <v>24</v>
      </c>
      <c r="I303" s="90" t="e">
        <f t="shared" si="25"/>
        <v>#REF!</v>
      </c>
      <c r="J303" s="91" t="e">
        <f t="shared" si="26"/>
        <v>#REF!</v>
      </c>
      <c r="K303" s="91"/>
      <c r="L303" s="88" t="e">
        <f t="shared" si="27"/>
        <v>#REF!</v>
      </c>
      <c r="M303" s="88" t="e">
        <f t="shared" si="28"/>
        <v>#REF!</v>
      </c>
      <c r="N303" s="88" t="e">
        <f t="shared" si="29"/>
        <v>#REF!</v>
      </c>
      <c r="O303" s="88"/>
    </row>
    <row r="304" spans="3:15" ht="15" x14ac:dyDescent="0.25">
      <c r="C304" s="88">
        <v>0</v>
      </c>
      <c r="D304" s="88">
        <v>0.9</v>
      </c>
      <c r="E304" s="89" t="e">
        <f>IFERROR(
_xlfn.XLOOKUP(
B304,#REF!,#REF!
),
_xlfn.XLOOKUP(
A304,#REF!,#REF!
)
)</f>
        <v>#REF!</v>
      </c>
      <c r="F304" s="88" t="str">
        <f>IFERROR(
VLOOKUP(
B304,#REF!,
6,
FALSE
),
""
)</f>
        <v/>
      </c>
      <c r="G304" s="88">
        <v>0</v>
      </c>
      <c r="H304" s="88">
        <v>24</v>
      </c>
      <c r="I304" s="90" t="e">
        <f t="shared" si="25"/>
        <v>#REF!</v>
      </c>
      <c r="J304" s="91" t="e">
        <f t="shared" si="26"/>
        <v>#REF!</v>
      </c>
      <c r="K304" s="91"/>
      <c r="L304" s="88" t="e">
        <f t="shared" si="27"/>
        <v>#REF!</v>
      </c>
      <c r="M304" s="88" t="e">
        <f t="shared" si="28"/>
        <v>#REF!</v>
      </c>
      <c r="N304" s="88" t="e">
        <f t="shared" si="29"/>
        <v>#REF!</v>
      </c>
      <c r="O304" s="88"/>
    </row>
    <row r="305" spans="3:15" ht="15" x14ac:dyDescent="0.25">
      <c r="C305" s="88">
        <v>0</v>
      </c>
      <c r="D305" s="88">
        <v>0.9</v>
      </c>
      <c r="E305" s="89" t="e">
        <f>IFERROR(
_xlfn.XLOOKUP(
B305,#REF!,#REF!
),
_xlfn.XLOOKUP(
A305,#REF!,#REF!
)
)</f>
        <v>#REF!</v>
      </c>
      <c r="F305" s="88" t="str">
        <f>IFERROR(
VLOOKUP(
B305,#REF!,
6,
FALSE
),
""
)</f>
        <v/>
      </c>
      <c r="G305" s="88">
        <v>0</v>
      </c>
      <c r="H305" s="88">
        <v>24</v>
      </c>
      <c r="I305" s="90" t="e">
        <f t="shared" si="25"/>
        <v>#REF!</v>
      </c>
      <c r="J305" s="91" t="e">
        <f t="shared" si="26"/>
        <v>#REF!</v>
      </c>
      <c r="K305" s="91"/>
      <c r="L305" s="88" t="e">
        <f t="shared" si="27"/>
        <v>#REF!</v>
      </c>
      <c r="M305" s="88" t="e">
        <f t="shared" si="28"/>
        <v>#REF!</v>
      </c>
      <c r="N305" s="88" t="e">
        <f t="shared" si="29"/>
        <v>#REF!</v>
      </c>
      <c r="O305" s="88"/>
    </row>
    <row r="306" spans="3:15" ht="15" x14ac:dyDescent="0.25">
      <c r="C306" s="88">
        <v>0</v>
      </c>
      <c r="D306" s="88">
        <v>0.9</v>
      </c>
      <c r="E306" s="89" t="e">
        <f>IFERROR(
_xlfn.XLOOKUP(
B306,#REF!,#REF!
),
_xlfn.XLOOKUP(
A306,#REF!,#REF!
)
)</f>
        <v>#REF!</v>
      </c>
      <c r="F306" s="88" t="str">
        <f>IFERROR(
VLOOKUP(
B306,#REF!,
6,
FALSE
),
""
)</f>
        <v/>
      </c>
      <c r="G306" s="88">
        <v>0</v>
      </c>
      <c r="H306" s="88">
        <v>24</v>
      </c>
      <c r="I306" s="90" t="e">
        <f t="shared" si="25"/>
        <v>#REF!</v>
      </c>
      <c r="J306" s="91" t="e">
        <f t="shared" si="26"/>
        <v>#REF!</v>
      </c>
      <c r="K306" s="91"/>
      <c r="L306" s="88" t="e">
        <f t="shared" si="27"/>
        <v>#REF!</v>
      </c>
      <c r="M306" s="88" t="e">
        <f t="shared" si="28"/>
        <v>#REF!</v>
      </c>
      <c r="N306" s="88" t="e">
        <f t="shared" si="29"/>
        <v>#REF!</v>
      </c>
      <c r="O306" s="88"/>
    </row>
    <row r="307" spans="3:15" ht="15" x14ac:dyDescent="0.25">
      <c r="C307" s="88">
        <v>0</v>
      </c>
      <c r="D307" s="88">
        <v>0.9</v>
      </c>
      <c r="E307" s="89" t="e">
        <f>IFERROR(
_xlfn.XLOOKUP(
B307,#REF!,#REF!
),
_xlfn.XLOOKUP(
A307,#REF!,#REF!
)
)</f>
        <v>#REF!</v>
      </c>
      <c r="F307" s="88" t="str">
        <f>IFERROR(
VLOOKUP(
B307,#REF!,
6,
FALSE
),
""
)</f>
        <v/>
      </c>
      <c r="G307" s="88">
        <v>0</v>
      </c>
      <c r="H307" s="88">
        <v>24</v>
      </c>
      <c r="I307" s="90" t="e">
        <f t="shared" si="25"/>
        <v>#REF!</v>
      </c>
      <c r="J307" s="91" t="e">
        <f t="shared" si="26"/>
        <v>#REF!</v>
      </c>
      <c r="K307" s="91"/>
      <c r="L307" s="88" t="e">
        <f t="shared" si="27"/>
        <v>#REF!</v>
      </c>
      <c r="M307" s="88" t="e">
        <f t="shared" si="28"/>
        <v>#REF!</v>
      </c>
      <c r="N307" s="88" t="e">
        <f t="shared" si="29"/>
        <v>#REF!</v>
      </c>
      <c r="O307" s="88"/>
    </row>
    <row r="308" spans="3:15" ht="15" x14ac:dyDescent="0.25">
      <c r="C308" s="88">
        <v>0</v>
      </c>
      <c r="D308" s="88">
        <v>0.9</v>
      </c>
      <c r="E308" s="89" t="e">
        <f>IFERROR(
_xlfn.XLOOKUP(
B308,#REF!,#REF!
),
_xlfn.XLOOKUP(
A308,#REF!,#REF!
)
)</f>
        <v>#REF!</v>
      </c>
      <c r="F308" s="88" t="str">
        <f>IFERROR(
VLOOKUP(
B308,#REF!,
6,
FALSE
),
""
)</f>
        <v/>
      </c>
      <c r="G308" s="88">
        <v>0</v>
      </c>
      <c r="H308" s="88">
        <v>24</v>
      </c>
      <c r="I308" s="90" t="e">
        <f t="shared" si="25"/>
        <v>#REF!</v>
      </c>
      <c r="J308" s="91" t="e">
        <f t="shared" si="26"/>
        <v>#REF!</v>
      </c>
      <c r="K308" s="91"/>
      <c r="L308" s="88" t="e">
        <f t="shared" si="27"/>
        <v>#REF!</v>
      </c>
      <c r="M308" s="88" t="e">
        <f t="shared" si="28"/>
        <v>#REF!</v>
      </c>
      <c r="N308" s="88" t="e">
        <f t="shared" si="29"/>
        <v>#REF!</v>
      </c>
      <c r="O308" s="88"/>
    </row>
    <row r="309" spans="3:15" ht="15" x14ac:dyDescent="0.25">
      <c r="C309" s="88">
        <v>0</v>
      </c>
      <c r="D309" s="88">
        <v>0.9</v>
      </c>
      <c r="E309" s="89" t="e">
        <f>IFERROR(
_xlfn.XLOOKUP(
B309,#REF!,#REF!
),
_xlfn.XLOOKUP(
A309,#REF!,#REF!
)
)</f>
        <v>#REF!</v>
      </c>
      <c r="F309" s="88" t="str">
        <f>IFERROR(
VLOOKUP(
B309,#REF!,
6,
FALSE
),
""
)</f>
        <v/>
      </c>
      <c r="G309" s="88">
        <v>0</v>
      </c>
      <c r="H309" s="88">
        <v>24</v>
      </c>
      <c r="I309" s="90" t="e">
        <f t="shared" si="25"/>
        <v>#REF!</v>
      </c>
      <c r="J309" s="91" t="e">
        <f t="shared" si="26"/>
        <v>#REF!</v>
      </c>
      <c r="K309" s="91"/>
      <c r="L309" s="88" t="e">
        <f t="shared" si="27"/>
        <v>#REF!</v>
      </c>
      <c r="M309" s="88" t="e">
        <f t="shared" si="28"/>
        <v>#REF!</v>
      </c>
      <c r="N309" s="88" t="e">
        <f t="shared" si="29"/>
        <v>#REF!</v>
      </c>
      <c r="O309" s="88"/>
    </row>
    <row r="310" spans="3:15" ht="15" x14ac:dyDescent="0.25">
      <c r="C310" s="88">
        <v>0</v>
      </c>
      <c r="D310" s="88">
        <v>0.9</v>
      </c>
      <c r="E310" s="89" t="e">
        <f>IFERROR(
_xlfn.XLOOKUP(
B310,#REF!,#REF!
),
_xlfn.XLOOKUP(
A310,#REF!,#REF!
)
)</f>
        <v>#REF!</v>
      </c>
      <c r="F310" s="88" t="str">
        <f>IFERROR(
VLOOKUP(
B310,#REF!,
6,
FALSE
),
""
)</f>
        <v/>
      </c>
      <c r="G310" s="88">
        <v>0</v>
      </c>
      <c r="H310" s="88">
        <v>24</v>
      </c>
      <c r="I310" s="90" t="e">
        <f t="shared" si="25"/>
        <v>#REF!</v>
      </c>
      <c r="J310" s="91" t="e">
        <f t="shared" si="26"/>
        <v>#REF!</v>
      </c>
      <c r="K310" s="91"/>
      <c r="L310" s="88" t="e">
        <f t="shared" si="27"/>
        <v>#REF!</v>
      </c>
      <c r="M310" s="88" t="e">
        <f t="shared" si="28"/>
        <v>#REF!</v>
      </c>
      <c r="N310" s="88" t="e">
        <f t="shared" si="29"/>
        <v>#REF!</v>
      </c>
      <c r="O310" s="88"/>
    </row>
    <row r="311" spans="3:15" ht="15" x14ac:dyDescent="0.25">
      <c r="C311" s="88">
        <v>0</v>
      </c>
      <c r="D311" s="88">
        <v>0.9</v>
      </c>
      <c r="E311" s="89" t="e">
        <f>IFERROR(
_xlfn.XLOOKUP(
B311,#REF!,#REF!
),
_xlfn.XLOOKUP(
A311,#REF!,#REF!
)
)</f>
        <v>#REF!</v>
      </c>
      <c r="F311" s="88" t="str">
        <f>IFERROR(
VLOOKUP(
B311,#REF!,
6,
FALSE
),
""
)</f>
        <v/>
      </c>
      <c r="G311" s="88">
        <v>0</v>
      </c>
      <c r="H311" s="88">
        <v>24</v>
      </c>
      <c r="I311" s="90" t="e">
        <f t="shared" si="25"/>
        <v>#REF!</v>
      </c>
      <c r="J311" s="91" t="e">
        <f t="shared" si="26"/>
        <v>#REF!</v>
      </c>
      <c r="K311" s="91"/>
      <c r="L311" s="88" t="e">
        <f t="shared" si="27"/>
        <v>#REF!</v>
      </c>
      <c r="M311" s="88" t="e">
        <f t="shared" si="28"/>
        <v>#REF!</v>
      </c>
      <c r="N311" s="88" t="e">
        <f t="shared" si="29"/>
        <v>#REF!</v>
      </c>
      <c r="O311" s="88"/>
    </row>
    <row r="312" spans="3:15" ht="15" x14ac:dyDescent="0.25">
      <c r="C312" s="88">
        <v>0</v>
      </c>
      <c r="D312" s="88">
        <v>0.9</v>
      </c>
      <c r="E312" s="89" t="e">
        <f>IFERROR(
_xlfn.XLOOKUP(
B312,#REF!,#REF!
),
_xlfn.XLOOKUP(
A312,#REF!,#REF!
)
)</f>
        <v>#REF!</v>
      </c>
      <c r="F312" s="88" t="str">
        <f>IFERROR(
VLOOKUP(
B312,#REF!,
6,
FALSE
),
""
)</f>
        <v/>
      </c>
      <c r="G312" s="88">
        <v>0</v>
      </c>
      <c r="H312" s="88">
        <v>24</v>
      </c>
      <c r="I312" s="90" t="e">
        <f t="shared" si="25"/>
        <v>#REF!</v>
      </c>
      <c r="J312" s="91" t="e">
        <f t="shared" si="26"/>
        <v>#REF!</v>
      </c>
      <c r="K312" s="91"/>
      <c r="L312" s="88" t="e">
        <f t="shared" si="27"/>
        <v>#REF!</v>
      </c>
      <c r="M312" s="88" t="e">
        <f t="shared" si="28"/>
        <v>#REF!</v>
      </c>
      <c r="N312" s="88" t="e">
        <f t="shared" si="29"/>
        <v>#REF!</v>
      </c>
      <c r="O312" s="88"/>
    </row>
    <row r="313" spans="3:15" ht="15" x14ac:dyDescent="0.25">
      <c r="C313" s="88">
        <v>0</v>
      </c>
      <c r="D313" s="88">
        <v>0.9</v>
      </c>
      <c r="E313" s="89" t="e">
        <f>IFERROR(
_xlfn.XLOOKUP(
B313,#REF!,#REF!
),
_xlfn.XLOOKUP(
A313,#REF!,#REF!
)
)</f>
        <v>#REF!</v>
      </c>
      <c r="F313" s="88" t="str">
        <f>IFERROR(
VLOOKUP(
B313,#REF!,
6,
FALSE
),
""
)</f>
        <v/>
      </c>
      <c r="G313" s="88">
        <v>0</v>
      </c>
      <c r="H313" s="88">
        <v>24</v>
      </c>
      <c r="I313" s="90" t="e">
        <f t="shared" si="25"/>
        <v>#REF!</v>
      </c>
      <c r="J313" s="91" t="e">
        <f t="shared" si="26"/>
        <v>#REF!</v>
      </c>
      <c r="K313" s="91"/>
      <c r="L313" s="88" t="e">
        <f t="shared" si="27"/>
        <v>#REF!</v>
      </c>
      <c r="M313" s="88" t="e">
        <f t="shared" si="28"/>
        <v>#REF!</v>
      </c>
      <c r="N313" s="88" t="e">
        <f t="shared" si="29"/>
        <v>#REF!</v>
      </c>
      <c r="O313" s="88"/>
    </row>
    <row r="314" spans="3:15" ht="15" x14ac:dyDescent="0.25">
      <c r="C314" s="88">
        <v>0</v>
      </c>
      <c r="D314" s="88">
        <v>0.9</v>
      </c>
      <c r="E314" s="89" t="e">
        <f>IFERROR(
_xlfn.XLOOKUP(
B314,#REF!,#REF!
),
_xlfn.XLOOKUP(
A314,#REF!,#REF!
)
)</f>
        <v>#REF!</v>
      </c>
      <c r="F314" s="88" t="str">
        <f>IFERROR(
VLOOKUP(
B314,#REF!,
6,
FALSE
),
""
)</f>
        <v/>
      </c>
      <c r="G314" s="88">
        <v>0</v>
      </c>
      <c r="H314" s="88">
        <v>24</v>
      </c>
      <c r="I314" s="90" t="e">
        <f t="shared" si="25"/>
        <v>#REF!</v>
      </c>
      <c r="J314" s="91" t="e">
        <f t="shared" si="26"/>
        <v>#REF!</v>
      </c>
      <c r="K314" s="91"/>
      <c r="L314" s="88" t="e">
        <f t="shared" si="27"/>
        <v>#REF!</v>
      </c>
      <c r="M314" s="88" t="e">
        <f t="shared" si="28"/>
        <v>#REF!</v>
      </c>
      <c r="N314" s="88" t="e">
        <f t="shared" si="29"/>
        <v>#REF!</v>
      </c>
      <c r="O314" s="88"/>
    </row>
    <row r="315" spans="3:15" ht="15" x14ac:dyDescent="0.25">
      <c r="C315" s="88">
        <v>0</v>
      </c>
      <c r="D315" s="88">
        <v>0.9</v>
      </c>
      <c r="E315" s="89" t="e">
        <f>IFERROR(
_xlfn.XLOOKUP(
B315,#REF!,#REF!
),
_xlfn.XLOOKUP(
A315,#REF!,#REF!
)
)</f>
        <v>#REF!</v>
      </c>
      <c r="F315" s="88" t="str">
        <f>IFERROR(
VLOOKUP(
B315,#REF!,
6,
FALSE
),
""
)</f>
        <v/>
      </c>
      <c r="G315" s="88">
        <v>0</v>
      </c>
      <c r="H315" s="88">
        <v>24</v>
      </c>
      <c r="I315" s="90" t="e">
        <f t="shared" si="25"/>
        <v>#REF!</v>
      </c>
      <c r="J315" s="91" t="e">
        <f t="shared" si="26"/>
        <v>#REF!</v>
      </c>
      <c r="K315" s="91"/>
      <c r="L315" s="88" t="e">
        <f t="shared" si="27"/>
        <v>#REF!</v>
      </c>
      <c r="M315" s="88" t="e">
        <f t="shared" si="28"/>
        <v>#REF!</v>
      </c>
      <c r="N315" s="88" t="e">
        <f t="shared" si="29"/>
        <v>#REF!</v>
      </c>
      <c r="O315" s="88"/>
    </row>
    <row r="316" spans="3:15" ht="15" x14ac:dyDescent="0.25">
      <c r="C316" s="88">
        <v>0</v>
      </c>
      <c r="D316" s="88">
        <v>0.9</v>
      </c>
      <c r="E316" s="89" t="e">
        <f>IFERROR(
_xlfn.XLOOKUP(
B316,#REF!,#REF!
),
_xlfn.XLOOKUP(
A316,#REF!,#REF!
)
)</f>
        <v>#REF!</v>
      </c>
      <c r="F316" s="88" t="str">
        <f>IFERROR(
VLOOKUP(
B316,#REF!,
6,
FALSE
),
""
)</f>
        <v/>
      </c>
      <c r="G316" s="88">
        <v>0</v>
      </c>
      <c r="H316" s="88">
        <v>24</v>
      </c>
      <c r="I316" s="90" t="e">
        <f t="shared" si="25"/>
        <v>#REF!</v>
      </c>
      <c r="J316" s="91" t="e">
        <f t="shared" si="26"/>
        <v>#REF!</v>
      </c>
      <c r="K316" s="91"/>
      <c r="L316" s="88" t="e">
        <f t="shared" si="27"/>
        <v>#REF!</v>
      </c>
      <c r="M316" s="88" t="e">
        <f t="shared" si="28"/>
        <v>#REF!</v>
      </c>
      <c r="N316" s="88" t="e">
        <f t="shared" si="29"/>
        <v>#REF!</v>
      </c>
      <c r="O316" s="88"/>
    </row>
    <row r="317" spans="3:15" ht="15" x14ac:dyDescent="0.25">
      <c r="C317" s="88">
        <v>0</v>
      </c>
      <c r="D317" s="88">
        <v>0.9</v>
      </c>
      <c r="E317" s="89" t="e">
        <f>IFERROR(
_xlfn.XLOOKUP(
B317,#REF!,#REF!
),
_xlfn.XLOOKUP(
A317,#REF!,#REF!
)
)</f>
        <v>#REF!</v>
      </c>
      <c r="F317" s="88" t="str">
        <f>IFERROR(
VLOOKUP(
B317,#REF!,
6,
FALSE
),
""
)</f>
        <v/>
      </c>
      <c r="G317" s="88">
        <v>0</v>
      </c>
      <c r="H317" s="88">
        <v>24</v>
      </c>
      <c r="I317" s="90" t="e">
        <f t="shared" si="25"/>
        <v>#REF!</v>
      </c>
      <c r="J317" s="91" t="e">
        <f t="shared" si="26"/>
        <v>#REF!</v>
      </c>
      <c r="K317" s="91"/>
      <c r="L317" s="88" t="e">
        <f t="shared" si="27"/>
        <v>#REF!</v>
      </c>
      <c r="M317" s="88" t="e">
        <f t="shared" si="28"/>
        <v>#REF!</v>
      </c>
      <c r="N317" s="88" t="e">
        <f t="shared" si="29"/>
        <v>#REF!</v>
      </c>
      <c r="O317" s="88"/>
    </row>
    <row r="318" spans="3:15" ht="15" x14ac:dyDescent="0.25">
      <c r="C318" s="88">
        <v>0</v>
      </c>
      <c r="D318" s="88">
        <v>0.9</v>
      </c>
      <c r="E318" s="89" t="e">
        <f>IFERROR(
_xlfn.XLOOKUP(
B318,#REF!,#REF!
),
_xlfn.XLOOKUP(
A318,#REF!,#REF!
)
)</f>
        <v>#REF!</v>
      </c>
      <c r="F318" s="88" t="str">
        <f>IFERROR(
VLOOKUP(
B318,#REF!,
6,
FALSE
),
""
)</f>
        <v/>
      </c>
      <c r="G318" s="88">
        <v>0</v>
      </c>
      <c r="H318" s="88">
        <v>24</v>
      </c>
      <c r="I318" s="90" t="e">
        <f t="shared" si="25"/>
        <v>#REF!</v>
      </c>
      <c r="J318" s="91" t="e">
        <f t="shared" si="26"/>
        <v>#REF!</v>
      </c>
      <c r="K318" s="91"/>
      <c r="L318" s="88" t="e">
        <f t="shared" si="27"/>
        <v>#REF!</v>
      </c>
      <c r="M318" s="88" t="e">
        <f t="shared" si="28"/>
        <v>#REF!</v>
      </c>
      <c r="N318" s="88" t="e">
        <f t="shared" si="29"/>
        <v>#REF!</v>
      </c>
      <c r="O318" s="88"/>
    </row>
    <row r="319" spans="3:15" ht="15" x14ac:dyDescent="0.25">
      <c r="C319" s="88">
        <v>0</v>
      </c>
      <c r="D319" s="88">
        <v>0.9</v>
      </c>
      <c r="E319" s="89" t="e">
        <f>IFERROR(
_xlfn.XLOOKUP(
B319,#REF!,#REF!
),
_xlfn.XLOOKUP(
A319,#REF!,#REF!
)
)</f>
        <v>#REF!</v>
      </c>
      <c r="F319" s="88" t="str">
        <f>IFERROR(
VLOOKUP(
B319,#REF!,
6,
FALSE
),
""
)</f>
        <v/>
      </c>
      <c r="G319" s="88">
        <v>0</v>
      </c>
      <c r="H319" s="88">
        <v>24</v>
      </c>
      <c r="I319" s="90" t="e">
        <f t="shared" si="25"/>
        <v>#REF!</v>
      </c>
      <c r="J319" s="91" t="e">
        <f t="shared" si="26"/>
        <v>#REF!</v>
      </c>
      <c r="K319" s="91"/>
      <c r="L319" s="88" t="e">
        <f t="shared" si="27"/>
        <v>#REF!</v>
      </c>
      <c r="M319" s="88" t="e">
        <f t="shared" si="28"/>
        <v>#REF!</v>
      </c>
      <c r="N319" s="88" t="e">
        <f t="shared" si="29"/>
        <v>#REF!</v>
      </c>
      <c r="O319" s="88"/>
    </row>
    <row r="320" spans="3:15" ht="15" x14ac:dyDescent="0.25">
      <c r="C320" s="88">
        <v>0</v>
      </c>
      <c r="D320" s="88">
        <v>0.9</v>
      </c>
      <c r="E320" s="89" t="e">
        <f>IFERROR(
_xlfn.XLOOKUP(
B320,#REF!,#REF!
),
_xlfn.XLOOKUP(
A320,#REF!,#REF!
)
)</f>
        <v>#REF!</v>
      </c>
      <c r="F320" s="88" t="str">
        <f>IFERROR(
VLOOKUP(
B320,#REF!,
6,
FALSE
),
""
)</f>
        <v/>
      </c>
      <c r="G320" s="88">
        <v>0</v>
      </c>
      <c r="H320" s="88">
        <v>24</v>
      </c>
      <c r="I320" s="90" t="e">
        <f t="shared" si="25"/>
        <v>#REF!</v>
      </c>
      <c r="J320" s="91" t="e">
        <f t="shared" si="26"/>
        <v>#REF!</v>
      </c>
      <c r="K320" s="91"/>
      <c r="L320" s="88" t="e">
        <f t="shared" si="27"/>
        <v>#REF!</v>
      </c>
      <c r="M320" s="88" t="e">
        <f t="shared" si="28"/>
        <v>#REF!</v>
      </c>
      <c r="N320" s="88" t="e">
        <f t="shared" si="29"/>
        <v>#REF!</v>
      </c>
      <c r="O320" s="88"/>
    </row>
    <row r="321" spans="3:15" ht="15" x14ac:dyDescent="0.25">
      <c r="C321" s="88">
        <v>0</v>
      </c>
      <c r="D321" s="88">
        <v>0.9</v>
      </c>
      <c r="E321" s="89" t="e">
        <f>IFERROR(
_xlfn.XLOOKUP(
B321,#REF!,#REF!
),
_xlfn.XLOOKUP(
A321,#REF!,#REF!
)
)</f>
        <v>#REF!</v>
      </c>
      <c r="F321" s="88" t="str">
        <f>IFERROR(
VLOOKUP(
B321,#REF!,
6,
FALSE
),
""
)</f>
        <v/>
      </c>
      <c r="G321" s="88">
        <v>0</v>
      </c>
      <c r="H321" s="88">
        <v>24</v>
      </c>
      <c r="I321" s="90" t="e">
        <f t="shared" si="25"/>
        <v>#REF!</v>
      </c>
      <c r="J321" s="91" t="e">
        <f t="shared" si="26"/>
        <v>#REF!</v>
      </c>
      <c r="K321" s="91"/>
      <c r="L321" s="88" t="e">
        <f t="shared" si="27"/>
        <v>#REF!</v>
      </c>
      <c r="M321" s="88" t="e">
        <f t="shared" si="28"/>
        <v>#REF!</v>
      </c>
      <c r="N321" s="88" t="e">
        <f t="shared" si="29"/>
        <v>#REF!</v>
      </c>
      <c r="O321" s="88"/>
    </row>
    <row r="322" spans="3:15" ht="15" x14ac:dyDescent="0.25">
      <c r="C322" s="88">
        <v>0</v>
      </c>
      <c r="D322" s="88">
        <v>0.9</v>
      </c>
      <c r="E322" s="89" t="e">
        <f>IFERROR(
_xlfn.XLOOKUP(
B322,#REF!,#REF!
),
_xlfn.XLOOKUP(
A322,#REF!,#REF!
)
)</f>
        <v>#REF!</v>
      </c>
      <c r="F322" s="88" t="str">
        <f>IFERROR(
VLOOKUP(
B322,#REF!,
6,
FALSE
),
""
)</f>
        <v/>
      </c>
      <c r="G322" s="88">
        <v>0</v>
      </c>
      <c r="H322" s="88">
        <v>24</v>
      </c>
      <c r="I322" s="90" t="e">
        <f t="shared" si="25"/>
        <v>#REF!</v>
      </c>
      <c r="J322" s="91" t="e">
        <f t="shared" si="26"/>
        <v>#REF!</v>
      </c>
      <c r="K322" s="91"/>
      <c r="L322" s="88" t="e">
        <f t="shared" si="27"/>
        <v>#REF!</v>
      </c>
      <c r="M322" s="88" t="e">
        <f t="shared" si="28"/>
        <v>#REF!</v>
      </c>
      <c r="N322" s="88" t="e">
        <f t="shared" si="29"/>
        <v>#REF!</v>
      </c>
      <c r="O322" s="88"/>
    </row>
    <row r="323" spans="3:15" ht="15" x14ac:dyDescent="0.25">
      <c r="C323" s="88">
        <v>0</v>
      </c>
      <c r="D323" s="88">
        <v>0.9</v>
      </c>
      <c r="E323" s="89" t="e">
        <f>IFERROR(
_xlfn.XLOOKUP(
B323,#REF!,#REF!
),
_xlfn.XLOOKUP(
A323,#REF!,#REF!
)
)</f>
        <v>#REF!</v>
      </c>
      <c r="F323" s="88" t="str">
        <f>IFERROR(
VLOOKUP(
B323,#REF!,
6,
FALSE
),
""
)</f>
        <v/>
      </c>
      <c r="G323" s="88">
        <v>0</v>
      </c>
      <c r="H323" s="88">
        <v>24</v>
      </c>
      <c r="I323" s="90" t="e">
        <f t="shared" ref="I323:I386" si="30">C323+D323+E323</f>
        <v>#REF!</v>
      </c>
      <c r="J323" s="91" t="e">
        <f t="shared" ref="J323:J386" si="31">(I323+G323) / (1 - F323/100 - (1 - 1/(1 + H323/100)))</f>
        <v>#REF!</v>
      </c>
      <c r="K323" s="91"/>
      <c r="L323" s="88" t="e">
        <f t="shared" ref="L323:L386" si="32">J323 * F323 / 100</f>
        <v>#REF!</v>
      </c>
      <c r="M323" s="88" t="e">
        <f t="shared" ref="M323:M386" si="33">J323 - (J323 / (1 + H323/100))</f>
        <v>#REF!</v>
      </c>
      <c r="N323" s="88" t="e">
        <f t="shared" ref="N323:N386" si="34">J323 - L323 - M323</f>
        <v>#REF!</v>
      </c>
      <c r="O323" s="88"/>
    </row>
    <row r="324" spans="3:15" ht="15" x14ac:dyDescent="0.25">
      <c r="C324" s="88">
        <v>0</v>
      </c>
      <c r="D324" s="88">
        <v>0.9</v>
      </c>
      <c r="E324" s="89" t="e">
        <f>IFERROR(
_xlfn.XLOOKUP(
B324,#REF!,#REF!
),
_xlfn.XLOOKUP(
A324,#REF!,#REF!
)
)</f>
        <v>#REF!</v>
      </c>
      <c r="F324" s="88" t="str">
        <f>IFERROR(
VLOOKUP(
B324,#REF!,
6,
FALSE
),
""
)</f>
        <v/>
      </c>
      <c r="G324" s="88">
        <v>0</v>
      </c>
      <c r="H324" s="88">
        <v>24</v>
      </c>
      <c r="I324" s="90" t="e">
        <f t="shared" si="30"/>
        <v>#REF!</v>
      </c>
      <c r="J324" s="91" t="e">
        <f t="shared" si="31"/>
        <v>#REF!</v>
      </c>
      <c r="K324" s="91"/>
      <c r="L324" s="88" t="e">
        <f t="shared" si="32"/>
        <v>#REF!</v>
      </c>
      <c r="M324" s="88" t="e">
        <f t="shared" si="33"/>
        <v>#REF!</v>
      </c>
      <c r="N324" s="88" t="e">
        <f t="shared" si="34"/>
        <v>#REF!</v>
      </c>
      <c r="O324" s="88"/>
    </row>
    <row r="325" spans="3:15" ht="15" x14ac:dyDescent="0.25">
      <c r="C325" s="88">
        <v>0</v>
      </c>
      <c r="D325" s="88">
        <v>0.9</v>
      </c>
      <c r="E325" s="89" t="e">
        <f>IFERROR(
_xlfn.XLOOKUP(
B325,#REF!,#REF!
),
_xlfn.XLOOKUP(
A325,#REF!,#REF!
)
)</f>
        <v>#REF!</v>
      </c>
      <c r="F325" s="88" t="str">
        <f>IFERROR(
VLOOKUP(
B325,#REF!,
6,
FALSE
),
""
)</f>
        <v/>
      </c>
      <c r="G325" s="88">
        <v>0</v>
      </c>
      <c r="H325" s="88">
        <v>24</v>
      </c>
      <c r="I325" s="90" t="e">
        <f t="shared" si="30"/>
        <v>#REF!</v>
      </c>
      <c r="J325" s="91" t="e">
        <f t="shared" si="31"/>
        <v>#REF!</v>
      </c>
      <c r="K325" s="91"/>
      <c r="L325" s="88" t="e">
        <f t="shared" si="32"/>
        <v>#REF!</v>
      </c>
      <c r="M325" s="88" t="e">
        <f t="shared" si="33"/>
        <v>#REF!</v>
      </c>
      <c r="N325" s="88" t="e">
        <f t="shared" si="34"/>
        <v>#REF!</v>
      </c>
      <c r="O325" s="88"/>
    </row>
    <row r="326" spans="3:15" ht="15" x14ac:dyDescent="0.25">
      <c r="C326" s="88">
        <v>0</v>
      </c>
      <c r="D326" s="88">
        <v>0.9</v>
      </c>
      <c r="E326" s="89" t="e">
        <f>IFERROR(
_xlfn.XLOOKUP(
B326,#REF!,#REF!
),
_xlfn.XLOOKUP(
A326,#REF!,#REF!
)
)</f>
        <v>#REF!</v>
      </c>
      <c r="F326" s="88" t="str">
        <f>IFERROR(
VLOOKUP(
B326,#REF!,
6,
FALSE
),
""
)</f>
        <v/>
      </c>
      <c r="G326" s="88">
        <v>0</v>
      </c>
      <c r="H326" s="88">
        <v>24</v>
      </c>
      <c r="I326" s="90" t="e">
        <f t="shared" si="30"/>
        <v>#REF!</v>
      </c>
      <c r="J326" s="91" t="e">
        <f t="shared" si="31"/>
        <v>#REF!</v>
      </c>
      <c r="K326" s="91"/>
      <c r="L326" s="88" t="e">
        <f t="shared" si="32"/>
        <v>#REF!</v>
      </c>
      <c r="M326" s="88" t="e">
        <f t="shared" si="33"/>
        <v>#REF!</v>
      </c>
      <c r="N326" s="88" t="e">
        <f t="shared" si="34"/>
        <v>#REF!</v>
      </c>
      <c r="O326" s="88"/>
    </row>
    <row r="327" spans="3:15" ht="15" x14ac:dyDescent="0.25">
      <c r="C327" s="88">
        <v>0</v>
      </c>
      <c r="D327" s="88">
        <v>0.9</v>
      </c>
      <c r="E327" s="89" t="e">
        <f>IFERROR(
_xlfn.XLOOKUP(
B327,#REF!,#REF!
),
_xlfn.XLOOKUP(
A327,#REF!,#REF!
)
)</f>
        <v>#REF!</v>
      </c>
      <c r="F327" s="88" t="str">
        <f>IFERROR(
VLOOKUP(
B327,#REF!,
6,
FALSE
),
""
)</f>
        <v/>
      </c>
      <c r="G327" s="88">
        <v>0</v>
      </c>
      <c r="H327" s="88">
        <v>24</v>
      </c>
      <c r="I327" s="90" t="e">
        <f t="shared" si="30"/>
        <v>#REF!</v>
      </c>
      <c r="J327" s="91" t="e">
        <f t="shared" si="31"/>
        <v>#REF!</v>
      </c>
      <c r="K327" s="91"/>
      <c r="L327" s="88" t="e">
        <f t="shared" si="32"/>
        <v>#REF!</v>
      </c>
      <c r="M327" s="88" t="e">
        <f t="shared" si="33"/>
        <v>#REF!</v>
      </c>
      <c r="N327" s="88" t="e">
        <f t="shared" si="34"/>
        <v>#REF!</v>
      </c>
      <c r="O327" s="88"/>
    </row>
    <row r="328" spans="3:15" ht="15" x14ac:dyDescent="0.25">
      <c r="C328" s="88">
        <v>0</v>
      </c>
      <c r="D328" s="88">
        <v>0.9</v>
      </c>
      <c r="E328" s="89" t="e">
        <f>IFERROR(
_xlfn.XLOOKUP(
B328,#REF!,#REF!
),
_xlfn.XLOOKUP(
A328,#REF!,#REF!
)
)</f>
        <v>#REF!</v>
      </c>
      <c r="F328" s="88" t="str">
        <f>IFERROR(
VLOOKUP(
B328,#REF!,
6,
FALSE
),
""
)</f>
        <v/>
      </c>
      <c r="G328" s="88">
        <v>0</v>
      </c>
      <c r="H328" s="88">
        <v>24</v>
      </c>
      <c r="I328" s="90" t="e">
        <f t="shared" si="30"/>
        <v>#REF!</v>
      </c>
      <c r="J328" s="91" t="e">
        <f t="shared" si="31"/>
        <v>#REF!</v>
      </c>
      <c r="K328" s="91"/>
      <c r="L328" s="88" t="e">
        <f t="shared" si="32"/>
        <v>#REF!</v>
      </c>
      <c r="M328" s="88" t="e">
        <f t="shared" si="33"/>
        <v>#REF!</v>
      </c>
      <c r="N328" s="88" t="e">
        <f t="shared" si="34"/>
        <v>#REF!</v>
      </c>
      <c r="O328" s="88"/>
    </row>
    <row r="329" spans="3:15" ht="15" x14ac:dyDescent="0.25">
      <c r="C329" s="88">
        <v>0</v>
      </c>
      <c r="D329" s="88">
        <v>0.9</v>
      </c>
      <c r="E329" s="89" t="e">
        <f>IFERROR(
_xlfn.XLOOKUP(
B329,#REF!,#REF!
),
_xlfn.XLOOKUP(
A329,#REF!,#REF!
)
)</f>
        <v>#REF!</v>
      </c>
      <c r="F329" s="88" t="str">
        <f>IFERROR(
VLOOKUP(
B329,#REF!,
6,
FALSE
),
""
)</f>
        <v/>
      </c>
      <c r="G329" s="88">
        <v>0</v>
      </c>
      <c r="H329" s="88">
        <v>24</v>
      </c>
      <c r="I329" s="90" t="e">
        <f t="shared" si="30"/>
        <v>#REF!</v>
      </c>
      <c r="J329" s="91" t="e">
        <f t="shared" si="31"/>
        <v>#REF!</v>
      </c>
      <c r="K329" s="91"/>
      <c r="L329" s="88" t="e">
        <f t="shared" si="32"/>
        <v>#REF!</v>
      </c>
      <c r="M329" s="88" t="e">
        <f t="shared" si="33"/>
        <v>#REF!</v>
      </c>
      <c r="N329" s="88" t="e">
        <f t="shared" si="34"/>
        <v>#REF!</v>
      </c>
      <c r="O329" s="88"/>
    </row>
    <row r="330" spans="3:15" ht="15" x14ac:dyDescent="0.25">
      <c r="C330" s="88">
        <v>0</v>
      </c>
      <c r="D330" s="88">
        <v>0.9</v>
      </c>
      <c r="E330" s="89" t="e">
        <f>IFERROR(
_xlfn.XLOOKUP(
B330,#REF!,#REF!
),
_xlfn.XLOOKUP(
A330,#REF!,#REF!
)
)</f>
        <v>#REF!</v>
      </c>
      <c r="F330" s="88" t="str">
        <f>IFERROR(
VLOOKUP(
B330,#REF!,
6,
FALSE
),
""
)</f>
        <v/>
      </c>
      <c r="G330" s="88">
        <v>0</v>
      </c>
      <c r="H330" s="88">
        <v>24</v>
      </c>
      <c r="I330" s="90" t="e">
        <f t="shared" si="30"/>
        <v>#REF!</v>
      </c>
      <c r="J330" s="91" t="e">
        <f t="shared" si="31"/>
        <v>#REF!</v>
      </c>
      <c r="K330" s="91"/>
      <c r="L330" s="88" t="e">
        <f t="shared" si="32"/>
        <v>#REF!</v>
      </c>
      <c r="M330" s="88" t="e">
        <f t="shared" si="33"/>
        <v>#REF!</v>
      </c>
      <c r="N330" s="88" t="e">
        <f t="shared" si="34"/>
        <v>#REF!</v>
      </c>
      <c r="O330" s="88"/>
    </row>
    <row r="331" spans="3:15" ht="15" x14ac:dyDescent="0.25">
      <c r="C331" s="88">
        <v>0</v>
      </c>
      <c r="D331" s="88">
        <v>0.9</v>
      </c>
      <c r="E331" s="89" t="e">
        <f>IFERROR(
_xlfn.XLOOKUP(
B331,#REF!,#REF!
),
_xlfn.XLOOKUP(
A331,#REF!,#REF!
)
)</f>
        <v>#REF!</v>
      </c>
      <c r="F331" s="88" t="str">
        <f>IFERROR(
VLOOKUP(
B331,#REF!,
6,
FALSE
),
""
)</f>
        <v/>
      </c>
      <c r="G331" s="88">
        <v>0</v>
      </c>
      <c r="H331" s="88">
        <v>24</v>
      </c>
      <c r="I331" s="90" t="e">
        <f t="shared" si="30"/>
        <v>#REF!</v>
      </c>
      <c r="J331" s="91" t="e">
        <f t="shared" si="31"/>
        <v>#REF!</v>
      </c>
      <c r="K331" s="91"/>
      <c r="L331" s="88" t="e">
        <f t="shared" si="32"/>
        <v>#REF!</v>
      </c>
      <c r="M331" s="88" t="e">
        <f t="shared" si="33"/>
        <v>#REF!</v>
      </c>
      <c r="N331" s="88" t="e">
        <f t="shared" si="34"/>
        <v>#REF!</v>
      </c>
      <c r="O331" s="88"/>
    </row>
    <row r="332" spans="3:15" ht="15" x14ac:dyDescent="0.25">
      <c r="C332" s="88">
        <v>0</v>
      </c>
      <c r="D332" s="88">
        <v>0.9</v>
      </c>
      <c r="E332" s="89" t="e">
        <f>IFERROR(
_xlfn.XLOOKUP(
B332,#REF!,#REF!
),
_xlfn.XLOOKUP(
A332,#REF!,#REF!
)
)</f>
        <v>#REF!</v>
      </c>
      <c r="F332" s="88" t="str">
        <f>IFERROR(
VLOOKUP(
B332,#REF!,
6,
FALSE
),
""
)</f>
        <v/>
      </c>
      <c r="G332" s="88">
        <v>0</v>
      </c>
      <c r="H332" s="88">
        <v>24</v>
      </c>
      <c r="I332" s="90" t="e">
        <f t="shared" si="30"/>
        <v>#REF!</v>
      </c>
      <c r="J332" s="91" t="e">
        <f t="shared" si="31"/>
        <v>#REF!</v>
      </c>
      <c r="K332" s="91"/>
      <c r="L332" s="88" t="e">
        <f t="shared" si="32"/>
        <v>#REF!</v>
      </c>
      <c r="M332" s="88" t="e">
        <f t="shared" si="33"/>
        <v>#REF!</v>
      </c>
      <c r="N332" s="88" t="e">
        <f t="shared" si="34"/>
        <v>#REF!</v>
      </c>
      <c r="O332" s="88"/>
    </row>
    <row r="333" spans="3:15" ht="15" x14ac:dyDescent="0.25">
      <c r="C333" s="88">
        <v>0</v>
      </c>
      <c r="D333" s="88">
        <v>0.9</v>
      </c>
      <c r="E333" s="89" t="e">
        <f>IFERROR(
_xlfn.XLOOKUP(
B333,#REF!,#REF!
),
_xlfn.XLOOKUP(
A333,#REF!,#REF!
)
)</f>
        <v>#REF!</v>
      </c>
      <c r="F333" s="88" t="str">
        <f>IFERROR(
VLOOKUP(
B333,#REF!,
6,
FALSE
),
""
)</f>
        <v/>
      </c>
      <c r="G333" s="88">
        <v>0</v>
      </c>
      <c r="H333" s="88">
        <v>24</v>
      </c>
      <c r="I333" s="90" t="e">
        <f t="shared" si="30"/>
        <v>#REF!</v>
      </c>
      <c r="J333" s="91" t="e">
        <f t="shared" si="31"/>
        <v>#REF!</v>
      </c>
      <c r="K333" s="91"/>
      <c r="L333" s="88" t="e">
        <f t="shared" si="32"/>
        <v>#REF!</v>
      </c>
      <c r="M333" s="88" t="e">
        <f t="shared" si="33"/>
        <v>#REF!</v>
      </c>
      <c r="N333" s="88" t="e">
        <f t="shared" si="34"/>
        <v>#REF!</v>
      </c>
      <c r="O333" s="88"/>
    </row>
    <row r="334" spans="3:15" ht="15" x14ac:dyDescent="0.25">
      <c r="C334" s="88">
        <v>0</v>
      </c>
      <c r="D334" s="88">
        <v>0.9</v>
      </c>
      <c r="E334" s="89" t="e">
        <f>IFERROR(
_xlfn.XLOOKUP(
B334,#REF!,#REF!
),
_xlfn.XLOOKUP(
A334,#REF!,#REF!
)
)</f>
        <v>#REF!</v>
      </c>
      <c r="F334" s="88" t="str">
        <f>IFERROR(
VLOOKUP(
B334,#REF!,
6,
FALSE
),
""
)</f>
        <v/>
      </c>
      <c r="G334" s="88">
        <v>0</v>
      </c>
      <c r="H334" s="88">
        <v>24</v>
      </c>
      <c r="I334" s="90" t="e">
        <f t="shared" si="30"/>
        <v>#REF!</v>
      </c>
      <c r="J334" s="91" t="e">
        <f t="shared" si="31"/>
        <v>#REF!</v>
      </c>
      <c r="K334" s="91"/>
      <c r="L334" s="88" t="e">
        <f t="shared" si="32"/>
        <v>#REF!</v>
      </c>
      <c r="M334" s="88" t="e">
        <f t="shared" si="33"/>
        <v>#REF!</v>
      </c>
      <c r="N334" s="88" t="e">
        <f t="shared" si="34"/>
        <v>#REF!</v>
      </c>
      <c r="O334" s="88"/>
    </row>
    <row r="335" spans="3:15" ht="15" x14ac:dyDescent="0.25">
      <c r="C335" s="88">
        <v>0</v>
      </c>
      <c r="D335" s="88">
        <v>0.9</v>
      </c>
      <c r="E335" s="89" t="e">
        <f>IFERROR(
_xlfn.XLOOKUP(
B335,#REF!,#REF!
),
_xlfn.XLOOKUP(
A335,#REF!,#REF!
)
)</f>
        <v>#REF!</v>
      </c>
      <c r="F335" s="88" t="str">
        <f>IFERROR(
VLOOKUP(
B335,#REF!,
6,
FALSE
),
""
)</f>
        <v/>
      </c>
      <c r="G335" s="88">
        <v>0</v>
      </c>
      <c r="H335" s="88">
        <v>24</v>
      </c>
      <c r="I335" s="90" t="e">
        <f t="shared" si="30"/>
        <v>#REF!</v>
      </c>
      <c r="J335" s="91" t="e">
        <f t="shared" si="31"/>
        <v>#REF!</v>
      </c>
      <c r="K335" s="91"/>
      <c r="L335" s="88" t="e">
        <f t="shared" si="32"/>
        <v>#REF!</v>
      </c>
      <c r="M335" s="88" t="e">
        <f t="shared" si="33"/>
        <v>#REF!</v>
      </c>
      <c r="N335" s="88" t="e">
        <f t="shared" si="34"/>
        <v>#REF!</v>
      </c>
      <c r="O335" s="88"/>
    </row>
    <row r="336" spans="3:15" ht="15" x14ac:dyDescent="0.25">
      <c r="C336" s="88">
        <v>0</v>
      </c>
      <c r="D336" s="88">
        <v>0.9</v>
      </c>
      <c r="E336" s="89" t="e">
        <f>IFERROR(
_xlfn.XLOOKUP(
B336,#REF!,#REF!
),
_xlfn.XLOOKUP(
A336,#REF!,#REF!
)
)</f>
        <v>#REF!</v>
      </c>
      <c r="F336" s="88" t="str">
        <f>IFERROR(
VLOOKUP(
B336,#REF!,
6,
FALSE
),
""
)</f>
        <v/>
      </c>
      <c r="G336" s="88">
        <v>0</v>
      </c>
      <c r="H336" s="88">
        <v>24</v>
      </c>
      <c r="I336" s="90" t="e">
        <f t="shared" si="30"/>
        <v>#REF!</v>
      </c>
      <c r="J336" s="91" t="e">
        <f t="shared" si="31"/>
        <v>#REF!</v>
      </c>
      <c r="K336" s="91"/>
      <c r="L336" s="88" t="e">
        <f t="shared" si="32"/>
        <v>#REF!</v>
      </c>
      <c r="M336" s="88" t="e">
        <f t="shared" si="33"/>
        <v>#REF!</v>
      </c>
      <c r="N336" s="88" t="e">
        <f t="shared" si="34"/>
        <v>#REF!</v>
      </c>
      <c r="O336" s="88"/>
    </row>
    <row r="337" spans="3:15" ht="15" x14ac:dyDescent="0.25">
      <c r="C337" s="88">
        <v>0</v>
      </c>
      <c r="D337" s="88">
        <v>0.9</v>
      </c>
      <c r="E337" s="89" t="e">
        <f>IFERROR(
_xlfn.XLOOKUP(
B337,#REF!,#REF!
),
_xlfn.XLOOKUP(
A337,#REF!,#REF!
)
)</f>
        <v>#REF!</v>
      </c>
      <c r="F337" s="88" t="str">
        <f>IFERROR(
VLOOKUP(
B337,#REF!,
6,
FALSE
),
""
)</f>
        <v/>
      </c>
      <c r="G337" s="88">
        <v>0</v>
      </c>
      <c r="H337" s="88">
        <v>24</v>
      </c>
      <c r="I337" s="90" t="e">
        <f t="shared" si="30"/>
        <v>#REF!</v>
      </c>
      <c r="J337" s="91" t="e">
        <f t="shared" si="31"/>
        <v>#REF!</v>
      </c>
      <c r="K337" s="91"/>
      <c r="L337" s="88" t="e">
        <f t="shared" si="32"/>
        <v>#REF!</v>
      </c>
      <c r="M337" s="88" t="e">
        <f t="shared" si="33"/>
        <v>#REF!</v>
      </c>
      <c r="N337" s="88" t="e">
        <f t="shared" si="34"/>
        <v>#REF!</v>
      </c>
      <c r="O337" s="88"/>
    </row>
    <row r="338" spans="3:15" ht="15" x14ac:dyDescent="0.25">
      <c r="C338" s="88">
        <v>0</v>
      </c>
      <c r="D338" s="88">
        <v>0.9</v>
      </c>
      <c r="E338" s="89" t="e">
        <f>IFERROR(
_xlfn.XLOOKUP(
B338,#REF!,#REF!
),
_xlfn.XLOOKUP(
A338,#REF!,#REF!
)
)</f>
        <v>#REF!</v>
      </c>
      <c r="F338" s="88" t="str">
        <f>IFERROR(
VLOOKUP(
B338,#REF!,
6,
FALSE
),
""
)</f>
        <v/>
      </c>
      <c r="G338" s="88">
        <v>0</v>
      </c>
      <c r="H338" s="88">
        <v>24</v>
      </c>
      <c r="I338" s="90" t="e">
        <f t="shared" si="30"/>
        <v>#REF!</v>
      </c>
      <c r="J338" s="91" t="e">
        <f t="shared" si="31"/>
        <v>#REF!</v>
      </c>
      <c r="K338" s="91"/>
      <c r="L338" s="88" t="e">
        <f t="shared" si="32"/>
        <v>#REF!</v>
      </c>
      <c r="M338" s="88" t="e">
        <f t="shared" si="33"/>
        <v>#REF!</v>
      </c>
      <c r="N338" s="88" t="e">
        <f t="shared" si="34"/>
        <v>#REF!</v>
      </c>
      <c r="O338" s="88"/>
    </row>
    <row r="339" spans="3:15" ht="15" x14ac:dyDescent="0.25">
      <c r="C339" s="88">
        <v>0</v>
      </c>
      <c r="D339" s="88">
        <v>0.9</v>
      </c>
      <c r="E339" s="89" t="e">
        <f>IFERROR(
_xlfn.XLOOKUP(
B339,#REF!,#REF!
),
_xlfn.XLOOKUP(
A339,#REF!,#REF!
)
)</f>
        <v>#REF!</v>
      </c>
      <c r="F339" s="88" t="str">
        <f>IFERROR(
VLOOKUP(
B339,#REF!,
6,
FALSE
),
""
)</f>
        <v/>
      </c>
      <c r="G339" s="88">
        <v>0</v>
      </c>
      <c r="H339" s="88">
        <v>24</v>
      </c>
      <c r="I339" s="90" t="e">
        <f t="shared" si="30"/>
        <v>#REF!</v>
      </c>
      <c r="J339" s="91" t="e">
        <f t="shared" si="31"/>
        <v>#REF!</v>
      </c>
      <c r="K339" s="91"/>
      <c r="L339" s="88" t="e">
        <f t="shared" si="32"/>
        <v>#REF!</v>
      </c>
      <c r="M339" s="88" t="e">
        <f t="shared" si="33"/>
        <v>#REF!</v>
      </c>
      <c r="N339" s="88" t="e">
        <f t="shared" si="34"/>
        <v>#REF!</v>
      </c>
      <c r="O339" s="88"/>
    </row>
    <row r="340" spans="3:15" ht="15" x14ac:dyDescent="0.25">
      <c r="C340" s="88">
        <v>0</v>
      </c>
      <c r="D340" s="88">
        <v>0.9</v>
      </c>
      <c r="E340" s="89" t="e">
        <f>IFERROR(
_xlfn.XLOOKUP(
B340,#REF!,#REF!
),
_xlfn.XLOOKUP(
A340,#REF!,#REF!
)
)</f>
        <v>#REF!</v>
      </c>
      <c r="F340" s="88" t="str">
        <f>IFERROR(
VLOOKUP(
B340,#REF!,
6,
FALSE
),
""
)</f>
        <v/>
      </c>
      <c r="G340" s="88">
        <v>0</v>
      </c>
      <c r="H340" s="88">
        <v>24</v>
      </c>
      <c r="I340" s="90" t="e">
        <f t="shared" si="30"/>
        <v>#REF!</v>
      </c>
      <c r="J340" s="91" t="e">
        <f t="shared" si="31"/>
        <v>#REF!</v>
      </c>
      <c r="K340" s="91"/>
      <c r="L340" s="88" t="e">
        <f t="shared" si="32"/>
        <v>#REF!</v>
      </c>
      <c r="M340" s="88" t="e">
        <f t="shared" si="33"/>
        <v>#REF!</v>
      </c>
      <c r="N340" s="88" t="e">
        <f t="shared" si="34"/>
        <v>#REF!</v>
      </c>
      <c r="O340" s="88"/>
    </row>
    <row r="341" spans="3:15" ht="15" x14ac:dyDescent="0.25">
      <c r="C341" s="88">
        <v>0</v>
      </c>
      <c r="D341" s="88">
        <v>0.9</v>
      </c>
      <c r="E341" s="89" t="e">
        <f>IFERROR(
_xlfn.XLOOKUP(
B341,#REF!,#REF!
),
_xlfn.XLOOKUP(
A341,#REF!,#REF!
)
)</f>
        <v>#REF!</v>
      </c>
      <c r="F341" s="88" t="str">
        <f>IFERROR(
VLOOKUP(
B341,#REF!,
6,
FALSE
),
""
)</f>
        <v/>
      </c>
      <c r="G341" s="88">
        <v>0</v>
      </c>
      <c r="H341" s="88">
        <v>24</v>
      </c>
      <c r="I341" s="90" t="e">
        <f t="shared" si="30"/>
        <v>#REF!</v>
      </c>
      <c r="J341" s="91" t="e">
        <f t="shared" si="31"/>
        <v>#REF!</v>
      </c>
      <c r="K341" s="91"/>
      <c r="L341" s="88" t="e">
        <f t="shared" si="32"/>
        <v>#REF!</v>
      </c>
      <c r="M341" s="88" t="e">
        <f t="shared" si="33"/>
        <v>#REF!</v>
      </c>
      <c r="N341" s="88" t="e">
        <f t="shared" si="34"/>
        <v>#REF!</v>
      </c>
      <c r="O341" s="88"/>
    </row>
    <row r="342" spans="3:15" ht="15" x14ac:dyDescent="0.25">
      <c r="C342" s="88">
        <v>0</v>
      </c>
      <c r="D342" s="88">
        <v>0.9</v>
      </c>
      <c r="E342" s="89" t="e">
        <f>IFERROR(
_xlfn.XLOOKUP(
B342,#REF!,#REF!
),
_xlfn.XLOOKUP(
A342,#REF!,#REF!
)
)</f>
        <v>#REF!</v>
      </c>
      <c r="F342" s="88" t="str">
        <f>IFERROR(
VLOOKUP(
B342,#REF!,
6,
FALSE
),
""
)</f>
        <v/>
      </c>
      <c r="G342" s="88">
        <v>0</v>
      </c>
      <c r="H342" s="88">
        <v>24</v>
      </c>
      <c r="I342" s="90" t="e">
        <f t="shared" si="30"/>
        <v>#REF!</v>
      </c>
      <c r="J342" s="91" t="e">
        <f t="shared" si="31"/>
        <v>#REF!</v>
      </c>
      <c r="K342" s="91"/>
      <c r="L342" s="88" t="e">
        <f t="shared" si="32"/>
        <v>#REF!</v>
      </c>
      <c r="M342" s="88" t="e">
        <f t="shared" si="33"/>
        <v>#REF!</v>
      </c>
      <c r="N342" s="88" t="e">
        <f t="shared" si="34"/>
        <v>#REF!</v>
      </c>
      <c r="O342" s="88"/>
    </row>
    <row r="343" spans="3:15" ht="15" x14ac:dyDescent="0.25">
      <c r="C343" s="88">
        <v>0</v>
      </c>
      <c r="D343" s="88">
        <v>0.9</v>
      </c>
      <c r="E343" s="89" t="e">
        <f>IFERROR(
_xlfn.XLOOKUP(
B343,#REF!,#REF!
),
_xlfn.XLOOKUP(
A343,#REF!,#REF!
)
)</f>
        <v>#REF!</v>
      </c>
      <c r="F343" s="88" t="str">
        <f>IFERROR(
VLOOKUP(
B343,#REF!,
6,
FALSE
),
""
)</f>
        <v/>
      </c>
      <c r="G343" s="88">
        <v>0</v>
      </c>
      <c r="H343" s="88">
        <v>24</v>
      </c>
      <c r="I343" s="90" t="e">
        <f t="shared" si="30"/>
        <v>#REF!</v>
      </c>
      <c r="J343" s="91" t="e">
        <f t="shared" si="31"/>
        <v>#REF!</v>
      </c>
      <c r="K343" s="91"/>
      <c r="L343" s="88" t="e">
        <f t="shared" si="32"/>
        <v>#REF!</v>
      </c>
      <c r="M343" s="88" t="e">
        <f t="shared" si="33"/>
        <v>#REF!</v>
      </c>
      <c r="N343" s="88" t="e">
        <f t="shared" si="34"/>
        <v>#REF!</v>
      </c>
      <c r="O343" s="88"/>
    </row>
    <row r="344" spans="3:15" ht="15" x14ac:dyDescent="0.25">
      <c r="C344" s="88">
        <v>0</v>
      </c>
      <c r="D344" s="88">
        <v>0.9</v>
      </c>
      <c r="E344" s="89" t="e">
        <f>IFERROR(
_xlfn.XLOOKUP(
B344,#REF!,#REF!
),
_xlfn.XLOOKUP(
A344,#REF!,#REF!
)
)</f>
        <v>#REF!</v>
      </c>
      <c r="F344" s="88" t="str">
        <f>IFERROR(
VLOOKUP(
B344,#REF!,
6,
FALSE
),
""
)</f>
        <v/>
      </c>
      <c r="G344" s="88">
        <v>0</v>
      </c>
      <c r="H344" s="88">
        <v>24</v>
      </c>
      <c r="I344" s="90" t="e">
        <f t="shared" si="30"/>
        <v>#REF!</v>
      </c>
      <c r="J344" s="91" t="e">
        <f t="shared" si="31"/>
        <v>#REF!</v>
      </c>
      <c r="K344" s="91"/>
      <c r="L344" s="88" t="e">
        <f t="shared" si="32"/>
        <v>#REF!</v>
      </c>
      <c r="M344" s="88" t="e">
        <f t="shared" si="33"/>
        <v>#REF!</v>
      </c>
      <c r="N344" s="88" t="e">
        <f t="shared" si="34"/>
        <v>#REF!</v>
      </c>
      <c r="O344" s="88"/>
    </row>
    <row r="345" spans="3:15" ht="15" x14ac:dyDescent="0.25">
      <c r="C345" s="88">
        <v>0</v>
      </c>
      <c r="D345" s="88">
        <v>0.9</v>
      </c>
      <c r="E345" s="89" t="e">
        <f>IFERROR(
_xlfn.XLOOKUP(
B345,#REF!,#REF!
),
_xlfn.XLOOKUP(
A345,#REF!,#REF!
)
)</f>
        <v>#REF!</v>
      </c>
      <c r="F345" s="88" t="str">
        <f>IFERROR(
VLOOKUP(
B345,#REF!,
6,
FALSE
),
""
)</f>
        <v/>
      </c>
      <c r="G345" s="88">
        <v>0</v>
      </c>
      <c r="H345" s="88">
        <v>24</v>
      </c>
      <c r="I345" s="90" t="e">
        <f t="shared" si="30"/>
        <v>#REF!</v>
      </c>
      <c r="J345" s="91" t="e">
        <f t="shared" si="31"/>
        <v>#REF!</v>
      </c>
      <c r="K345" s="91"/>
      <c r="L345" s="88" t="e">
        <f t="shared" si="32"/>
        <v>#REF!</v>
      </c>
      <c r="M345" s="88" t="e">
        <f t="shared" si="33"/>
        <v>#REF!</v>
      </c>
      <c r="N345" s="88" t="e">
        <f t="shared" si="34"/>
        <v>#REF!</v>
      </c>
      <c r="O345" s="88"/>
    </row>
    <row r="346" spans="3:15" ht="15" x14ac:dyDescent="0.25">
      <c r="C346" s="88">
        <v>0</v>
      </c>
      <c r="D346" s="88">
        <v>0.9</v>
      </c>
      <c r="E346" s="89" t="e">
        <f>IFERROR(
_xlfn.XLOOKUP(
B346,#REF!,#REF!
),
_xlfn.XLOOKUP(
A346,#REF!,#REF!
)
)</f>
        <v>#REF!</v>
      </c>
      <c r="F346" s="88" t="str">
        <f>IFERROR(
VLOOKUP(
B346,#REF!,
6,
FALSE
),
""
)</f>
        <v/>
      </c>
      <c r="G346" s="88">
        <v>0</v>
      </c>
      <c r="H346" s="88">
        <v>24</v>
      </c>
      <c r="I346" s="90" t="e">
        <f t="shared" si="30"/>
        <v>#REF!</v>
      </c>
      <c r="J346" s="91" t="e">
        <f t="shared" si="31"/>
        <v>#REF!</v>
      </c>
      <c r="K346" s="91"/>
      <c r="L346" s="88" t="e">
        <f t="shared" si="32"/>
        <v>#REF!</v>
      </c>
      <c r="M346" s="88" t="e">
        <f t="shared" si="33"/>
        <v>#REF!</v>
      </c>
      <c r="N346" s="88" t="e">
        <f t="shared" si="34"/>
        <v>#REF!</v>
      </c>
      <c r="O346" s="88"/>
    </row>
    <row r="347" spans="3:15" ht="15" x14ac:dyDescent="0.25">
      <c r="C347" s="88">
        <v>0</v>
      </c>
      <c r="D347" s="88">
        <v>0.9</v>
      </c>
      <c r="E347" s="89" t="e">
        <f>IFERROR(
_xlfn.XLOOKUP(
B347,#REF!,#REF!
),
_xlfn.XLOOKUP(
A347,#REF!,#REF!
)
)</f>
        <v>#REF!</v>
      </c>
      <c r="F347" s="88" t="str">
        <f>IFERROR(
VLOOKUP(
B347,#REF!,
6,
FALSE
),
""
)</f>
        <v/>
      </c>
      <c r="G347" s="88">
        <v>0</v>
      </c>
      <c r="H347" s="88">
        <v>24</v>
      </c>
      <c r="I347" s="90" t="e">
        <f t="shared" si="30"/>
        <v>#REF!</v>
      </c>
      <c r="J347" s="91" t="e">
        <f t="shared" si="31"/>
        <v>#REF!</v>
      </c>
      <c r="K347" s="91"/>
      <c r="L347" s="88" t="e">
        <f t="shared" si="32"/>
        <v>#REF!</v>
      </c>
      <c r="M347" s="88" t="e">
        <f t="shared" si="33"/>
        <v>#REF!</v>
      </c>
      <c r="N347" s="88" t="e">
        <f t="shared" si="34"/>
        <v>#REF!</v>
      </c>
      <c r="O347" s="88"/>
    </row>
    <row r="348" spans="3:15" ht="15" x14ac:dyDescent="0.25">
      <c r="C348" s="88">
        <v>0</v>
      </c>
      <c r="D348" s="88">
        <v>0.9</v>
      </c>
      <c r="E348" s="89" t="e">
        <f>IFERROR(
_xlfn.XLOOKUP(
B348,#REF!,#REF!
),
_xlfn.XLOOKUP(
A348,#REF!,#REF!
)
)</f>
        <v>#REF!</v>
      </c>
      <c r="F348" s="88" t="str">
        <f>IFERROR(
VLOOKUP(
B348,#REF!,
6,
FALSE
),
""
)</f>
        <v/>
      </c>
      <c r="G348" s="88">
        <v>0</v>
      </c>
      <c r="H348" s="88">
        <v>24</v>
      </c>
      <c r="I348" s="90" t="e">
        <f t="shared" si="30"/>
        <v>#REF!</v>
      </c>
      <c r="J348" s="91" t="e">
        <f t="shared" si="31"/>
        <v>#REF!</v>
      </c>
      <c r="K348" s="91"/>
      <c r="L348" s="88" t="e">
        <f t="shared" si="32"/>
        <v>#REF!</v>
      </c>
      <c r="M348" s="88" t="e">
        <f t="shared" si="33"/>
        <v>#REF!</v>
      </c>
      <c r="N348" s="88" t="e">
        <f t="shared" si="34"/>
        <v>#REF!</v>
      </c>
      <c r="O348" s="88"/>
    </row>
    <row r="349" spans="3:15" ht="15" x14ac:dyDescent="0.25">
      <c r="C349" s="88">
        <v>0</v>
      </c>
      <c r="D349" s="88">
        <v>0.9</v>
      </c>
      <c r="E349" s="89" t="e">
        <f>IFERROR(
_xlfn.XLOOKUP(
B349,#REF!,#REF!
),
_xlfn.XLOOKUP(
A349,#REF!,#REF!
)
)</f>
        <v>#REF!</v>
      </c>
      <c r="F349" s="88" t="str">
        <f>IFERROR(
VLOOKUP(
B349,#REF!,
6,
FALSE
),
""
)</f>
        <v/>
      </c>
      <c r="G349" s="88">
        <v>0</v>
      </c>
      <c r="H349" s="88">
        <v>24</v>
      </c>
      <c r="I349" s="90" t="e">
        <f t="shared" si="30"/>
        <v>#REF!</v>
      </c>
      <c r="J349" s="91" t="e">
        <f t="shared" si="31"/>
        <v>#REF!</v>
      </c>
      <c r="K349" s="91"/>
      <c r="L349" s="88" t="e">
        <f t="shared" si="32"/>
        <v>#REF!</v>
      </c>
      <c r="M349" s="88" t="e">
        <f t="shared" si="33"/>
        <v>#REF!</v>
      </c>
      <c r="N349" s="88" t="e">
        <f t="shared" si="34"/>
        <v>#REF!</v>
      </c>
      <c r="O349" s="88"/>
    </row>
    <row r="350" spans="3:15" ht="15" x14ac:dyDescent="0.25">
      <c r="C350" s="88">
        <v>0</v>
      </c>
      <c r="D350" s="88">
        <v>0.9</v>
      </c>
      <c r="E350" s="89" t="e">
        <f>IFERROR(
_xlfn.XLOOKUP(
B350,#REF!,#REF!
),
_xlfn.XLOOKUP(
A350,#REF!,#REF!
)
)</f>
        <v>#REF!</v>
      </c>
      <c r="F350" s="88" t="str">
        <f>IFERROR(
VLOOKUP(
B350,#REF!,
6,
FALSE
),
""
)</f>
        <v/>
      </c>
      <c r="G350" s="88">
        <v>0</v>
      </c>
      <c r="H350" s="88">
        <v>24</v>
      </c>
      <c r="I350" s="90" t="e">
        <f t="shared" si="30"/>
        <v>#REF!</v>
      </c>
      <c r="J350" s="91" t="e">
        <f t="shared" si="31"/>
        <v>#REF!</v>
      </c>
      <c r="K350" s="91"/>
      <c r="L350" s="88" t="e">
        <f t="shared" si="32"/>
        <v>#REF!</v>
      </c>
      <c r="M350" s="88" t="e">
        <f t="shared" si="33"/>
        <v>#REF!</v>
      </c>
      <c r="N350" s="88" t="e">
        <f t="shared" si="34"/>
        <v>#REF!</v>
      </c>
      <c r="O350" s="88"/>
    </row>
    <row r="351" spans="3:15" ht="15" x14ac:dyDescent="0.25">
      <c r="C351" s="88">
        <v>0</v>
      </c>
      <c r="D351" s="88">
        <v>0.9</v>
      </c>
      <c r="E351" s="89" t="e">
        <f>IFERROR(
_xlfn.XLOOKUP(
B351,#REF!,#REF!
),
_xlfn.XLOOKUP(
A351,#REF!,#REF!
)
)</f>
        <v>#REF!</v>
      </c>
      <c r="F351" s="88" t="str">
        <f>IFERROR(
VLOOKUP(
B351,#REF!,
6,
FALSE
),
""
)</f>
        <v/>
      </c>
      <c r="G351" s="88">
        <v>0</v>
      </c>
      <c r="H351" s="88">
        <v>24</v>
      </c>
      <c r="I351" s="90" t="e">
        <f t="shared" si="30"/>
        <v>#REF!</v>
      </c>
      <c r="J351" s="91" t="e">
        <f t="shared" si="31"/>
        <v>#REF!</v>
      </c>
      <c r="K351" s="91"/>
      <c r="L351" s="88" t="e">
        <f t="shared" si="32"/>
        <v>#REF!</v>
      </c>
      <c r="M351" s="88" t="e">
        <f t="shared" si="33"/>
        <v>#REF!</v>
      </c>
      <c r="N351" s="88" t="e">
        <f t="shared" si="34"/>
        <v>#REF!</v>
      </c>
      <c r="O351" s="88"/>
    </row>
    <row r="352" spans="3:15" ht="15" x14ac:dyDescent="0.25">
      <c r="C352" s="88">
        <v>0</v>
      </c>
      <c r="D352" s="88">
        <v>0.9</v>
      </c>
      <c r="E352" s="89" t="e">
        <f>IFERROR(
_xlfn.XLOOKUP(
B352,#REF!,#REF!
),
_xlfn.XLOOKUP(
A352,#REF!,#REF!
)
)</f>
        <v>#REF!</v>
      </c>
      <c r="F352" s="88" t="str">
        <f>IFERROR(
VLOOKUP(
B352,#REF!,
6,
FALSE
),
""
)</f>
        <v/>
      </c>
      <c r="G352" s="88">
        <v>0</v>
      </c>
      <c r="H352" s="88">
        <v>24</v>
      </c>
      <c r="I352" s="90" t="e">
        <f t="shared" si="30"/>
        <v>#REF!</v>
      </c>
      <c r="J352" s="91" t="e">
        <f t="shared" si="31"/>
        <v>#REF!</v>
      </c>
      <c r="K352" s="91"/>
      <c r="L352" s="88" t="e">
        <f t="shared" si="32"/>
        <v>#REF!</v>
      </c>
      <c r="M352" s="88" t="e">
        <f t="shared" si="33"/>
        <v>#REF!</v>
      </c>
      <c r="N352" s="88" t="e">
        <f t="shared" si="34"/>
        <v>#REF!</v>
      </c>
      <c r="O352" s="88"/>
    </row>
    <row r="353" spans="3:15" ht="15" x14ac:dyDescent="0.25">
      <c r="C353" s="88">
        <v>0</v>
      </c>
      <c r="D353" s="88">
        <v>0.9</v>
      </c>
      <c r="E353" s="89" t="e">
        <f>IFERROR(
_xlfn.XLOOKUP(
B353,#REF!,#REF!
),
_xlfn.XLOOKUP(
A353,#REF!,#REF!
)
)</f>
        <v>#REF!</v>
      </c>
      <c r="F353" s="88" t="str">
        <f>IFERROR(
VLOOKUP(
B353,#REF!,
6,
FALSE
),
""
)</f>
        <v/>
      </c>
      <c r="G353" s="88">
        <v>0</v>
      </c>
      <c r="H353" s="88">
        <v>24</v>
      </c>
      <c r="I353" s="90" t="e">
        <f t="shared" si="30"/>
        <v>#REF!</v>
      </c>
      <c r="J353" s="91" t="e">
        <f t="shared" si="31"/>
        <v>#REF!</v>
      </c>
      <c r="K353" s="91"/>
      <c r="L353" s="88" t="e">
        <f t="shared" si="32"/>
        <v>#REF!</v>
      </c>
      <c r="M353" s="88" t="e">
        <f t="shared" si="33"/>
        <v>#REF!</v>
      </c>
      <c r="N353" s="88" t="e">
        <f t="shared" si="34"/>
        <v>#REF!</v>
      </c>
      <c r="O353" s="88"/>
    </row>
    <row r="354" spans="3:15" ht="15" x14ac:dyDescent="0.25">
      <c r="C354" s="88">
        <v>0</v>
      </c>
      <c r="D354" s="88">
        <v>0.9</v>
      </c>
      <c r="E354" s="89" t="e">
        <f>IFERROR(
_xlfn.XLOOKUP(
B354,#REF!,#REF!
),
_xlfn.XLOOKUP(
A354,#REF!,#REF!
)
)</f>
        <v>#REF!</v>
      </c>
      <c r="F354" s="88" t="str">
        <f>IFERROR(
VLOOKUP(
B354,#REF!,
6,
FALSE
),
""
)</f>
        <v/>
      </c>
      <c r="G354" s="88">
        <v>0</v>
      </c>
      <c r="H354" s="88">
        <v>24</v>
      </c>
      <c r="I354" s="90" t="e">
        <f t="shared" si="30"/>
        <v>#REF!</v>
      </c>
      <c r="J354" s="91" t="e">
        <f t="shared" si="31"/>
        <v>#REF!</v>
      </c>
      <c r="K354" s="91"/>
      <c r="L354" s="88" t="e">
        <f t="shared" si="32"/>
        <v>#REF!</v>
      </c>
      <c r="M354" s="88" t="e">
        <f t="shared" si="33"/>
        <v>#REF!</v>
      </c>
      <c r="N354" s="88" t="e">
        <f t="shared" si="34"/>
        <v>#REF!</v>
      </c>
      <c r="O354" s="88"/>
    </row>
    <row r="355" spans="3:15" ht="15" x14ac:dyDescent="0.25">
      <c r="C355" s="88">
        <v>0</v>
      </c>
      <c r="D355" s="88">
        <v>0.9</v>
      </c>
      <c r="E355" s="89" t="e">
        <f>IFERROR(
_xlfn.XLOOKUP(
B355,#REF!,#REF!
),
_xlfn.XLOOKUP(
A355,#REF!,#REF!
)
)</f>
        <v>#REF!</v>
      </c>
      <c r="F355" s="88" t="str">
        <f>IFERROR(
VLOOKUP(
B355,#REF!,
6,
FALSE
),
""
)</f>
        <v/>
      </c>
      <c r="G355" s="88">
        <v>0</v>
      </c>
      <c r="H355" s="88">
        <v>24</v>
      </c>
      <c r="I355" s="90" t="e">
        <f t="shared" si="30"/>
        <v>#REF!</v>
      </c>
      <c r="J355" s="91" t="e">
        <f t="shared" si="31"/>
        <v>#REF!</v>
      </c>
      <c r="K355" s="91"/>
      <c r="L355" s="88" t="e">
        <f t="shared" si="32"/>
        <v>#REF!</v>
      </c>
      <c r="M355" s="88" t="e">
        <f t="shared" si="33"/>
        <v>#REF!</v>
      </c>
      <c r="N355" s="88" t="e">
        <f t="shared" si="34"/>
        <v>#REF!</v>
      </c>
      <c r="O355" s="88"/>
    </row>
    <row r="356" spans="3:15" ht="15" x14ac:dyDescent="0.25">
      <c r="C356" s="88">
        <v>0</v>
      </c>
      <c r="D356" s="88">
        <v>0.9</v>
      </c>
      <c r="E356" s="89" t="e">
        <f>IFERROR(
_xlfn.XLOOKUP(
B356,#REF!,#REF!
),
_xlfn.XLOOKUP(
A356,#REF!,#REF!
)
)</f>
        <v>#REF!</v>
      </c>
      <c r="F356" s="88" t="str">
        <f>IFERROR(
VLOOKUP(
B356,#REF!,
6,
FALSE
),
""
)</f>
        <v/>
      </c>
      <c r="G356" s="88">
        <v>0</v>
      </c>
      <c r="H356" s="88">
        <v>24</v>
      </c>
      <c r="I356" s="90" t="e">
        <f t="shared" si="30"/>
        <v>#REF!</v>
      </c>
      <c r="J356" s="91" t="e">
        <f t="shared" si="31"/>
        <v>#REF!</v>
      </c>
      <c r="K356" s="91"/>
      <c r="L356" s="88" t="e">
        <f t="shared" si="32"/>
        <v>#REF!</v>
      </c>
      <c r="M356" s="88" t="e">
        <f t="shared" si="33"/>
        <v>#REF!</v>
      </c>
      <c r="N356" s="88" t="e">
        <f t="shared" si="34"/>
        <v>#REF!</v>
      </c>
      <c r="O356" s="88"/>
    </row>
    <row r="357" spans="3:15" ht="15" x14ac:dyDescent="0.25">
      <c r="C357" s="88">
        <v>0</v>
      </c>
      <c r="D357" s="88">
        <v>0.9</v>
      </c>
      <c r="E357" s="89" t="e">
        <f>IFERROR(
_xlfn.XLOOKUP(
B357,#REF!,#REF!
),
_xlfn.XLOOKUP(
A357,#REF!,#REF!
)
)</f>
        <v>#REF!</v>
      </c>
      <c r="F357" s="88" t="str">
        <f>IFERROR(
VLOOKUP(
B357,#REF!,
6,
FALSE
),
""
)</f>
        <v/>
      </c>
      <c r="G357" s="88">
        <v>0</v>
      </c>
      <c r="H357" s="88">
        <v>24</v>
      </c>
      <c r="I357" s="90" t="e">
        <f t="shared" si="30"/>
        <v>#REF!</v>
      </c>
      <c r="J357" s="91" t="e">
        <f t="shared" si="31"/>
        <v>#REF!</v>
      </c>
      <c r="K357" s="91"/>
      <c r="L357" s="88" t="e">
        <f t="shared" si="32"/>
        <v>#REF!</v>
      </c>
      <c r="M357" s="88" t="e">
        <f t="shared" si="33"/>
        <v>#REF!</v>
      </c>
      <c r="N357" s="88" t="e">
        <f t="shared" si="34"/>
        <v>#REF!</v>
      </c>
      <c r="O357" s="88"/>
    </row>
    <row r="358" spans="3:15" ht="15" x14ac:dyDescent="0.25">
      <c r="C358" s="88">
        <v>0</v>
      </c>
      <c r="D358" s="88">
        <v>0.9</v>
      </c>
      <c r="E358" s="89" t="e">
        <f>IFERROR(
_xlfn.XLOOKUP(
B358,#REF!,#REF!
),
_xlfn.XLOOKUP(
A358,#REF!,#REF!
)
)</f>
        <v>#REF!</v>
      </c>
      <c r="F358" s="88" t="str">
        <f>IFERROR(
VLOOKUP(
B358,#REF!,
6,
FALSE
),
""
)</f>
        <v/>
      </c>
      <c r="G358" s="88">
        <v>0</v>
      </c>
      <c r="H358" s="88">
        <v>24</v>
      </c>
      <c r="I358" s="90" t="e">
        <f t="shared" si="30"/>
        <v>#REF!</v>
      </c>
      <c r="J358" s="91" t="e">
        <f t="shared" si="31"/>
        <v>#REF!</v>
      </c>
      <c r="K358" s="91"/>
      <c r="L358" s="88" t="e">
        <f t="shared" si="32"/>
        <v>#REF!</v>
      </c>
      <c r="M358" s="88" t="e">
        <f t="shared" si="33"/>
        <v>#REF!</v>
      </c>
      <c r="N358" s="88" t="e">
        <f t="shared" si="34"/>
        <v>#REF!</v>
      </c>
      <c r="O358" s="88"/>
    </row>
    <row r="359" spans="3:15" ht="15" x14ac:dyDescent="0.25">
      <c r="C359" s="88">
        <v>0</v>
      </c>
      <c r="D359" s="88">
        <v>0.9</v>
      </c>
      <c r="E359" s="89" t="e">
        <f>IFERROR(
_xlfn.XLOOKUP(
B359,#REF!,#REF!
),
_xlfn.XLOOKUP(
A359,#REF!,#REF!
)
)</f>
        <v>#REF!</v>
      </c>
      <c r="F359" s="88" t="str">
        <f>IFERROR(
VLOOKUP(
B359,#REF!,
6,
FALSE
),
""
)</f>
        <v/>
      </c>
      <c r="G359" s="88">
        <v>0</v>
      </c>
      <c r="H359" s="88">
        <v>24</v>
      </c>
      <c r="I359" s="90" t="e">
        <f t="shared" si="30"/>
        <v>#REF!</v>
      </c>
      <c r="J359" s="91" t="e">
        <f t="shared" si="31"/>
        <v>#REF!</v>
      </c>
      <c r="K359" s="91"/>
      <c r="L359" s="88" t="e">
        <f t="shared" si="32"/>
        <v>#REF!</v>
      </c>
      <c r="M359" s="88" t="e">
        <f t="shared" si="33"/>
        <v>#REF!</v>
      </c>
      <c r="N359" s="88" t="e">
        <f t="shared" si="34"/>
        <v>#REF!</v>
      </c>
      <c r="O359" s="88"/>
    </row>
    <row r="360" spans="3:15" ht="15" x14ac:dyDescent="0.25">
      <c r="C360" s="88">
        <v>0</v>
      </c>
      <c r="D360" s="88">
        <v>0.9</v>
      </c>
      <c r="E360" s="89" t="e">
        <f>IFERROR(
_xlfn.XLOOKUP(
B360,#REF!,#REF!
),
_xlfn.XLOOKUP(
A360,#REF!,#REF!
)
)</f>
        <v>#REF!</v>
      </c>
      <c r="F360" s="88" t="str">
        <f>IFERROR(
VLOOKUP(
B360,#REF!,
6,
FALSE
),
""
)</f>
        <v/>
      </c>
      <c r="G360" s="88">
        <v>0</v>
      </c>
      <c r="H360" s="88">
        <v>24</v>
      </c>
      <c r="I360" s="90" t="e">
        <f t="shared" si="30"/>
        <v>#REF!</v>
      </c>
      <c r="J360" s="91" t="e">
        <f t="shared" si="31"/>
        <v>#REF!</v>
      </c>
      <c r="K360" s="91"/>
      <c r="L360" s="88" t="e">
        <f t="shared" si="32"/>
        <v>#REF!</v>
      </c>
      <c r="M360" s="88" t="e">
        <f t="shared" si="33"/>
        <v>#REF!</v>
      </c>
      <c r="N360" s="88" t="e">
        <f t="shared" si="34"/>
        <v>#REF!</v>
      </c>
      <c r="O360" s="88"/>
    </row>
    <row r="361" spans="3:15" ht="15" x14ac:dyDescent="0.25">
      <c r="C361" s="88">
        <v>0</v>
      </c>
      <c r="D361" s="88">
        <v>0.9</v>
      </c>
      <c r="E361" s="89" t="e">
        <f>IFERROR(
_xlfn.XLOOKUP(
B361,#REF!,#REF!
),
_xlfn.XLOOKUP(
A361,#REF!,#REF!
)
)</f>
        <v>#REF!</v>
      </c>
      <c r="F361" s="88" t="str">
        <f>IFERROR(
VLOOKUP(
B361,#REF!,
6,
FALSE
),
""
)</f>
        <v/>
      </c>
      <c r="G361" s="88">
        <v>0</v>
      </c>
      <c r="H361" s="88">
        <v>24</v>
      </c>
      <c r="I361" s="90" t="e">
        <f t="shared" si="30"/>
        <v>#REF!</v>
      </c>
      <c r="J361" s="91" t="e">
        <f t="shared" si="31"/>
        <v>#REF!</v>
      </c>
      <c r="K361" s="91"/>
      <c r="L361" s="88" t="e">
        <f t="shared" si="32"/>
        <v>#REF!</v>
      </c>
      <c r="M361" s="88" t="e">
        <f t="shared" si="33"/>
        <v>#REF!</v>
      </c>
      <c r="N361" s="88" t="e">
        <f t="shared" si="34"/>
        <v>#REF!</v>
      </c>
      <c r="O361" s="88"/>
    </row>
    <row r="362" spans="3:15" ht="15" x14ac:dyDescent="0.25">
      <c r="C362" s="88">
        <v>0</v>
      </c>
      <c r="D362" s="88">
        <v>0.9</v>
      </c>
      <c r="E362" s="89" t="e">
        <f>IFERROR(
_xlfn.XLOOKUP(
B362,#REF!,#REF!
),
_xlfn.XLOOKUP(
A362,#REF!,#REF!
)
)</f>
        <v>#REF!</v>
      </c>
      <c r="F362" s="88" t="str">
        <f>IFERROR(
VLOOKUP(
B362,#REF!,
6,
FALSE
),
""
)</f>
        <v/>
      </c>
      <c r="G362" s="88">
        <v>0</v>
      </c>
      <c r="H362" s="88">
        <v>24</v>
      </c>
      <c r="I362" s="90" t="e">
        <f t="shared" si="30"/>
        <v>#REF!</v>
      </c>
      <c r="J362" s="91" t="e">
        <f t="shared" si="31"/>
        <v>#REF!</v>
      </c>
      <c r="K362" s="91"/>
      <c r="L362" s="88" t="e">
        <f t="shared" si="32"/>
        <v>#REF!</v>
      </c>
      <c r="M362" s="88" t="e">
        <f t="shared" si="33"/>
        <v>#REF!</v>
      </c>
      <c r="N362" s="88" t="e">
        <f t="shared" si="34"/>
        <v>#REF!</v>
      </c>
      <c r="O362" s="88"/>
    </row>
    <row r="363" spans="3:15" ht="15" x14ac:dyDescent="0.25">
      <c r="C363" s="88">
        <v>0</v>
      </c>
      <c r="D363" s="88">
        <v>0.9</v>
      </c>
      <c r="E363" s="89" t="e">
        <f>IFERROR(
_xlfn.XLOOKUP(
B363,#REF!,#REF!
),
_xlfn.XLOOKUP(
A363,#REF!,#REF!
)
)</f>
        <v>#REF!</v>
      </c>
      <c r="F363" s="88" t="str">
        <f>IFERROR(
VLOOKUP(
B363,#REF!,
6,
FALSE
),
""
)</f>
        <v/>
      </c>
      <c r="G363" s="88">
        <v>0</v>
      </c>
      <c r="H363" s="88">
        <v>24</v>
      </c>
      <c r="I363" s="90" t="e">
        <f t="shared" si="30"/>
        <v>#REF!</v>
      </c>
      <c r="J363" s="91" t="e">
        <f t="shared" si="31"/>
        <v>#REF!</v>
      </c>
      <c r="K363" s="91"/>
      <c r="L363" s="88" t="e">
        <f t="shared" si="32"/>
        <v>#REF!</v>
      </c>
      <c r="M363" s="88" t="e">
        <f t="shared" si="33"/>
        <v>#REF!</v>
      </c>
      <c r="N363" s="88" t="e">
        <f t="shared" si="34"/>
        <v>#REF!</v>
      </c>
      <c r="O363" s="88"/>
    </row>
    <row r="364" spans="3:15" ht="15" x14ac:dyDescent="0.25">
      <c r="C364" s="88">
        <v>0</v>
      </c>
      <c r="D364" s="88">
        <v>0.9</v>
      </c>
      <c r="E364" s="89" t="e">
        <f>IFERROR(
_xlfn.XLOOKUP(
B364,#REF!,#REF!
),
_xlfn.XLOOKUP(
A364,#REF!,#REF!
)
)</f>
        <v>#REF!</v>
      </c>
      <c r="F364" s="88" t="str">
        <f>IFERROR(
VLOOKUP(
B364,#REF!,
6,
FALSE
),
""
)</f>
        <v/>
      </c>
      <c r="G364" s="88">
        <v>0</v>
      </c>
      <c r="H364" s="88">
        <v>24</v>
      </c>
      <c r="I364" s="90" t="e">
        <f t="shared" si="30"/>
        <v>#REF!</v>
      </c>
      <c r="J364" s="91" t="e">
        <f t="shared" si="31"/>
        <v>#REF!</v>
      </c>
      <c r="K364" s="91"/>
      <c r="L364" s="88" t="e">
        <f t="shared" si="32"/>
        <v>#REF!</v>
      </c>
      <c r="M364" s="88" t="e">
        <f t="shared" si="33"/>
        <v>#REF!</v>
      </c>
      <c r="N364" s="88" t="e">
        <f t="shared" si="34"/>
        <v>#REF!</v>
      </c>
      <c r="O364" s="88"/>
    </row>
    <row r="365" spans="3:15" ht="15" x14ac:dyDescent="0.25">
      <c r="C365" s="88">
        <v>0</v>
      </c>
      <c r="D365" s="88">
        <v>0.9</v>
      </c>
      <c r="E365" s="89" t="e">
        <f>IFERROR(
_xlfn.XLOOKUP(
B365,#REF!,#REF!
),
_xlfn.XLOOKUP(
A365,#REF!,#REF!
)
)</f>
        <v>#REF!</v>
      </c>
      <c r="F365" s="88" t="str">
        <f>IFERROR(
VLOOKUP(
B365,#REF!,
6,
FALSE
),
""
)</f>
        <v/>
      </c>
      <c r="G365" s="88">
        <v>0</v>
      </c>
      <c r="H365" s="88">
        <v>24</v>
      </c>
      <c r="I365" s="90" t="e">
        <f t="shared" si="30"/>
        <v>#REF!</v>
      </c>
      <c r="J365" s="91" t="e">
        <f t="shared" si="31"/>
        <v>#REF!</v>
      </c>
      <c r="K365" s="91"/>
      <c r="L365" s="88" t="e">
        <f t="shared" si="32"/>
        <v>#REF!</v>
      </c>
      <c r="M365" s="88" t="e">
        <f t="shared" si="33"/>
        <v>#REF!</v>
      </c>
      <c r="N365" s="88" t="e">
        <f t="shared" si="34"/>
        <v>#REF!</v>
      </c>
      <c r="O365" s="88"/>
    </row>
    <row r="366" spans="3:15" ht="15" x14ac:dyDescent="0.25">
      <c r="C366" s="88">
        <v>0</v>
      </c>
      <c r="D366" s="88">
        <v>0.9</v>
      </c>
      <c r="E366" s="89" t="e">
        <f>IFERROR(
_xlfn.XLOOKUP(
B366,#REF!,#REF!
),
_xlfn.XLOOKUP(
A366,#REF!,#REF!
)
)</f>
        <v>#REF!</v>
      </c>
      <c r="F366" s="88" t="str">
        <f>IFERROR(
VLOOKUP(
B366,#REF!,
6,
FALSE
),
""
)</f>
        <v/>
      </c>
      <c r="G366" s="88">
        <v>0</v>
      </c>
      <c r="H366" s="88">
        <v>24</v>
      </c>
      <c r="I366" s="90" t="e">
        <f t="shared" si="30"/>
        <v>#REF!</v>
      </c>
      <c r="J366" s="91" t="e">
        <f t="shared" si="31"/>
        <v>#REF!</v>
      </c>
      <c r="K366" s="91"/>
      <c r="L366" s="88" t="e">
        <f t="shared" si="32"/>
        <v>#REF!</v>
      </c>
      <c r="M366" s="88" t="e">
        <f t="shared" si="33"/>
        <v>#REF!</v>
      </c>
      <c r="N366" s="88" t="e">
        <f t="shared" si="34"/>
        <v>#REF!</v>
      </c>
      <c r="O366" s="88"/>
    </row>
    <row r="367" spans="3:15" ht="15" x14ac:dyDescent="0.25">
      <c r="C367" s="88">
        <v>0</v>
      </c>
      <c r="D367" s="88">
        <v>0.9</v>
      </c>
      <c r="E367" s="89" t="e">
        <f>IFERROR(
_xlfn.XLOOKUP(
B367,#REF!,#REF!
),
_xlfn.XLOOKUP(
A367,#REF!,#REF!
)
)</f>
        <v>#REF!</v>
      </c>
      <c r="F367" s="88" t="str">
        <f>IFERROR(
VLOOKUP(
B367,#REF!,
6,
FALSE
),
""
)</f>
        <v/>
      </c>
      <c r="G367" s="88">
        <v>0</v>
      </c>
      <c r="H367" s="88">
        <v>24</v>
      </c>
      <c r="I367" s="90" t="e">
        <f t="shared" si="30"/>
        <v>#REF!</v>
      </c>
      <c r="J367" s="91" t="e">
        <f t="shared" si="31"/>
        <v>#REF!</v>
      </c>
      <c r="K367" s="91"/>
      <c r="L367" s="88" t="e">
        <f t="shared" si="32"/>
        <v>#REF!</v>
      </c>
      <c r="M367" s="88" t="e">
        <f t="shared" si="33"/>
        <v>#REF!</v>
      </c>
      <c r="N367" s="88" t="e">
        <f t="shared" si="34"/>
        <v>#REF!</v>
      </c>
      <c r="O367" s="88"/>
    </row>
    <row r="368" spans="3:15" ht="15" x14ac:dyDescent="0.25">
      <c r="C368" s="88">
        <v>0</v>
      </c>
      <c r="D368" s="88">
        <v>0.9</v>
      </c>
      <c r="E368" s="89" t="e">
        <f>IFERROR(
_xlfn.XLOOKUP(
B368,#REF!,#REF!
),
_xlfn.XLOOKUP(
A368,#REF!,#REF!
)
)</f>
        <v>#REF!</v>
      </c>
      <c r="F368" s="88" t="str">
        <f>IFERROR(
VLOOKUP(
B368,#REF!,
6,
FALSE
),
""
)</f>
        <v/>
      </c>
      <c r="G368" s="88">
        <v>0</v>
      </c>
      <c r="H368" s="88">
        <v>24</v>
      </c>
      <c r="I368" s="90" t="e">
        <f t="shared" si="30"/>
        <v>#REF!</v>
      </c>
      <c r="J368" s="91" t="e">
        <f t="shared" si="31"/>
        <v>#REF!</v>
      </c>
      <c r="K368" s="91"/>
      <c r="L368" s="88" t="e">
        <f t="shared" si="32"/>
        <v>#REF!</v>
      </c>
      <c r="M368" s="88" t="e">
        <f t="shared" si="33"/>
        <v>#REF!</v>
      </c>
      <c r="N368" s="88" t="e">
        <f t="shared" si="34"/>
        <v>#REF!</v>
      </c>
      <c r="O368" s="88"/>
    </row>
    <row r="369" spans="3:15" ht="15" x14ac:dyDescent="0.25">
      <c r="C369" s="88">
        <v>0</v>
      </c>
      <c r="D369" s="88">
        <v>0.9</v>
      </c>
      <c r="E369" s="89" t="e">
        <f>IFERROR(
_xlfn.XLOOKUP(
B369,#REF!,#REF!
),
_xlfn.XLOOKUP(
A369,#REF!,#REF!
)
)</f>
        <v>#REF!</v>
      </c>
      <c r="F369" s="88" t="str">
        <f>IFERROR(
VLOOKUP(
B369,#REF!,
6,
FALSE
),
""
)</f>
        <v/>
      </c>
      <c r="G369" s="88">
        <v>0</v>
      </c>
      <c r="H369" s="88">
        <v>24</v>
      </c>
      <c r="I369" s="90" t="e">
        <f t="shared" si="30"/>
        <v>#REF!</v>
      </c>
      <c r="J369" s="91" t="e">
        <f t="shared" si="31"/>
        <v>#REF!</v>
      </c>
      <c r="K369" s="91"/>
      <c r="L369" s="88" t="e">
        <f t="shared" si="32"/>
        <v>#REF!</v>
      </c>
      <c r="M369" s="88" t="e">
        <f t="shared" si="33"/>
        <v>#REF!</v>
      </c>
      <c r="N369" s="88" t="e">
        <f t="shared" si="34"/>
        <v>#REF!</v>
      </c>
      <c r="O369" s="88"/>
    </row>
    <row r="370" spans="3:15" ht="15" x14ac:dyDescent="0.25">
      <c r="C370" s="88">
        <v>0</v>
      </c>
      <c r="D370" s="88">
        <v>0.9</v>
      </c>
      <c r="E370" s="89" t="e">
        <f>IFERROR(
_xlfn.XLOOKUP(
B370,#REF!,#REF!
),
_xlfn.XLOOKUP(
A370,#REF!,#REF!
)
)</f>
        <v>#REF!</v>
      </c>
      <c r="F370" s="88" t="str">
        <f>IFERROR(
VLOOKUP(
B370,#REF!,
6,
FALSE
),
""
)</f>
        <v/>
      </c>
      <c r="G370" s="88">
        <v>0</v>
      </c>
      <c r="H370" s="88">
        <v>24</v>
      </c>
      <c r="I370" s="90" t="e">
        <f t="shared" si="30"/>
        <v>#REF!</v>
      </c>
      <c r="J370" s="91" t="e">
        <f t="shared" si="31"/>
        <v>#REF!</v>
      </c>
      <c r="K370" s="91"/>
      <c r="L370" s="88" t="e">
        <f t="shared" si="32"/>
        <v>#REF!</v>
      </c>
      <c r="M370" s="88" t="e">
        <f t="shared" si="33"/>
        <v>#REF!</v>
      </c>
      <c r="N370" s="88" t="e">
        <f t="shared" si="34"/>
        <v>#REF!</v>
      </c>
      <c r="O370" s="88"/>
    </row>
    <row r="371" spans="3:15" ht="15" x14ac:dyDescent="0.25">
      <c r="C371" s="88">
        <v>0</v>
      </c>
      <c r="D371" s="88">
        <v>0.9</v>
      </c>
      <c r="E371" s="89" t="e">
        <f>IFERROR(
_xlfn.XLOOKUP(
B371,#REF!,#REF!
),
_xlfn.XLOOKUP(
A371,#REF!,#REF!
)
)</f>
        <v>#REF!</v>
      </c>
      <c r="F371" s="88" t="str">
        <f>IFERROR(
VLOOKUP(
B371,#REF!,
6,
FALSE
),
""
)</f>
        <v/>
      </c>
      <c r="G371" s="88">
        <v>0</v>
      </c>
      <c r="H371" s="88">
        <v>24</v>
      </c>
      <c r="I371" s="90" t="e">
        <f t="shared" si="30"/>
        <v>#REF!</v>
      </c>
      <c r="J371" s="91" t="e">
        <f t="shared" si="31"/>
        <v>#REF!</v>
      </c>
      <c r="K371" s="91"/>
      <c r="L371" s="88" t="e">
        <f t="shared" si="32"/>
        <v>#REF!</v>
      </c>
      <c r="M371" s="88" t="e">
        <f t="shared" si="33"/>
        <v>#REF!</v>
      </c>
      <c r="N371" s="88" t="e">
        <f t="shared" si="34"/>
        <v>#REF!</v>
      </c>
      <c r="O371" s="88"/>
    </row>
    <row r="372" spans="3:15" ht="15" x14ac:dyDescent="0.25">
      <c r="C372" s="88">
        <v>0</v>
      </c>
      <c r="D372" s="88">
        <v>0.9</v>
      </c>
      <c r="E372" s="89" t="e">
        <f>IFERROR(
_xlfn.XLOOKUP(
B372,#REF!,#REF!
),
_xlfn.XLOOKUP(
A372,#REF!,#REF!
)
)</f>
        <v>#REF!</v>
      </c>
      <c r="F372" s="88" t="str">
        <f>IFERROR(
VLOOKUP(
B372,#REF!,
6,
FALSE
),
""
)</f>
        <v/>
      </c>
      <c r="G372" s="88">
        <v>0</v>
      </c>
      <c r="H372" s="88">
        <v>24</v>
      </c>
      <c r="I372" s="90" t="e">
        <f t="shared" si="30"/>
        <v>#REF!</v>
      </c>
      <c r="J372" s="91" t="e">
        <f t="shared" si="31"/>
        <v>#REF!</v>
      </c>
      <c r="K372" s="91"/>
      <c r="L372" s="88" t="e">
        <f t="shared" si="32"/>
        <v>#REF!</v>
      </c>
      <c r="M372" s="88" t="e">
        <f t="shared" si="33"/>
        <v>#REF!</v>
      </c>
      <c r="N372" s="88" t="e">
        <f t="shared" si="34"/>
        <v>#REF!</v>
      </c>
      <c r="O372" s="88"/>
    </row>
    <row r="373" spans="3:15" ht="15" x14ac:dyDescent="0.25">
      <c r="C373" s="88">
        <v>0</v>
      </c>
      <c r="D373" s="88">
        <v>0.9</v>
      </c>
      <c r="E373" s="89" t="e">
        <f>IFERROR(
_xlfn.XLOOKUP(
B373,#REF!,#REF!
),
_xlfn.XLOOKUP(
A373,#REF!,#REF!
)
)</f>
        <v>#REF!</v>
      </c>
      <c r="F373" s="88" t="str">
        <f>IFERROR(
VLOOKUP(
B373,#REF!,
6,
FALSE
),
""
)</f>
        <v/>
      </c>
      <c r="G373" s="88">
        <v>0</v>
      </c>
      <c r="H373" s="88">
        <v>24</v>
      </c>
      <c r="I373" s="90" t="e">
        <f t="shared" si="30"/>
        <v>#REF!</v>
      </c>
      <c r="J373" s="91" t="e">
        <f t="shared" si="31"/>
        <v>#REF!</v>
      </c>
      <c r="K373" s="91"/>
      <c r="L373" s="88" t="e">
        <f t="shared" si="32"/>
        <v>#REF!</v>
      </c>
      <c r="M373" s="88" t="e">
        <f t="shared" si="33"/>
        <v>#REF!</v>
      </c>
      <c r="N373" s="88" t="e">
        <f t="shared" si="34"/>
        <v>#REF!</v>
      </c>
      <c r="O373" s="88"/>
    </row>
    <row r="374" spans="3:15" ht="15" x14ac:dyDescent="0.25">
      <c r="C374" s="88">
        <v>0</v>
      </c>
      <c r="D374" s="88">
        <v>0.9</v>
      </c>
      <c r="E374" s="89" t="e">
        <f>IFERROR(
_xlfn.XLOOKUP(
B374,#REF!,#REF!
),
_xlfn.XLOOKUP(
A374,#REF!,#REF!
)
)</f>
        <v>#REF!</v>
      </c>
      <c r="F374" s="88" t="str">
        <f>IFERROR(
VLOOKUP(
B374,#REF!,
6,
FALSE
),
""
)</f>
        <v/>
      </c>
      <c r="G374" s="88">
        <v>0</v>
      </c>
      <c r="H374" s="88">
        <v>24</v>
      </c>
      <c r="I374" s="90" t="e">
        <f t="shared" si="30"/>
        <v>#REF!</v>
      </c>
      <c r="J374" s="91" t="e">
        <f t="shared" si="31"/>
        <v>#REF!</v>
      </c>
      <c r="K374" s="91"/>
      <c r="L374" s="88" t="e">
        <f t="shared" si="32"/>
        <v>#REF!</v>
      </c>
      <c r="M374" s="88" t="e">
        <f t="shared" si="33"/>
        <v>#REF!</v>
      </c>
      <c r="N374" s="88" t="e">
        <f t="shared" si="34"/>
        <v>#REF!</v>
      </c>
      <c r="O374" s="88"/>
    </row>
    <row r="375" spans="3:15" ht="15" x14ac:dyDescent="0.25">
      <c r="C375" s="88">
        <v>0</v>
      </c>
      <c r="D375" s="88">
        <v>0.9</v>
      </c>
      <c r="E375" s="89" t="e">
        <f>IFERROR(
_xlfn.XLOOKUP(
B375,#REF!,#REF!
),
_xlfn.XLOOKUP(
A375,#REF!,#REF!
)
)</f>
        <v>#REF!</v>
      </c>
      <c r="F375" s="88" t="str">
        <f>IFERROR(
VLOOKUP(
B375,#REF!,
6,
FALSE
),
""
)</f>
        <v/>
      </c>
      <c r="G375" s="88">
        <v>0</v>
      </c>
      <c r="H375" s="88">
        <v>24</v>
      </c>
      <c r="I375" s="90" t="e">
        <f t="shared" si="30"/>
        <v>#REF!</v>
      </c>
      <c r="J375" s="91" t="e">
        <f t="shared" si="31"/>
        <v>#REF!</v>
      </c>
      <c r="K375" s="91"/>
      <c r="L375" s="88" t="e">
        <f t="shared" si="32"/>
        <v>#REF!</v>
      </c>
      <c r="M375" s="88" t="e">
        <f t="shared" si="33"/>
        <v>#REF!</v>
      </c>
      <c r="N375" s="88" t="e">
        <f t="shared" si="34"/>
        <v>#REF!</v>
      </c>
      <c r="O375" s="88"/>
    </row>
    <row r="376" spans="3:15" ht="15" x14ac:dyDescent="0.25">
      <c r="C376" s="88">
        <v>0</v>
      </c>
      <c r="D376" s="88">
        <v>0.9</v>
      </c>
      <c r="E376" s="89" t="e">
        <f>IFERROR(
_xlfn.XLOOKUP(
B376,#REF!,#REF!
),
_xlfn.XLOOKUP(
A376,#REF!,#REF!
)
)</f>
        <v>#REF!</v>
      </c>
      <c r="F376" s="88" t="str">
        <f>IFERROR(
VLOOKUP(
B376,#REF!,
6,
FALSE
),
""
)</f>
        <v/>
      </c>
      <c r="G376" s="88">
        <v>0</v>
      </c>
      <c r="H376" s="88">
        <v>24</v>
      </c>
      <c r="I376" s="90" t="e">
        <f t="shared" si="30"/>
        <v>#REF!</v>
      </c>
      <c r="J376" s="91" t="e">
        <f t="shared" si="31"/>
        <v>#REF!</v>
      </c>
      <c r="K376" s="91"/>
      <c r="L376" s="88" t="e">
        <f t="shared" si="32"/>
        <v>#REF!</v>
      </c>
      <c r="M376" s="88" t="e">
        <f t="shared" si="33"/>
        <v>#REF!</v>
      </c>
      <c r="N376" s="88" t="e">
        <f t="shared" si="34"/>
        <v>#REF!</v>
      </c>
      <c r="O376" s="88"/>
    </row>
    <row r="377" spans="3:15" ht="15" x14ac:dyDescent="0.25">
      <c r="C377" s="88">
        <v>0</v>
      </c>
      <c r="D377" s="88">
        <v>0.9</v>
      </c>
      <c r="E377" s="89" t="e">
        <f>IFERROR(
_xlfn.XLOOKUP(
B377,#REF!,#REF!
),
_xlfn.XLOOKUP(
A377,#REF!,#REF!
)
)</f>
        <v>#REF!</v>
      </c>
      <c r="F377" s="88" t="str">
        <f>IFERROR(
VLOOKUP(
B377,#REF!,
6,
FALSE
),
""
)</f>
        <v/>
      </c>
      <c r="G377" s="88">
        <v>0</v>
      </c>
      <c r="H377" s="88">
        <v>24</v>
      </c>
      <c r="I377" s="90" t="e">
        <f t="shared" si="30"/>
        <v>#REF!</v>
      </c>
      <c r="J377" s="91" t="e">
        <f t="shared" si="31"/>
        <v>#REF!</v>
      </c>
      <c r="K377" s="91"/>
      <c r="L377" s="88" t="e">
        <f t="shared" si="32"/>
        <v>#REF!</v>
      </c>
      <c r="M377" s="88" t="e">
        <f t="shared" si="33"/>
        <v>#REF!</v>
      </c>
      <c r="N377" s="88" t="e">
        <f t="shared" si="34"/>
        <v>#REF!</v>
      </c>
      <c r="O377" s="88"/>
    </row>
    <row r="378" spans="3:15" ht="15" x14ac:dyDescent="0.25">
      <c r="C378" s="88">
        <v>0</v>
      </c>
      <c r="D378" s="88">
        <v>0.9</v>
      </c>
      <c r="E378" s="89" t="e">
        <f>IFERROR(
_xlfn.XLOOKUP(
B378,#REF!,#REF!
),
_xlfn.XLOOKUP(
A378,#REF!,#REF!
)
)</f>
        <v>#REF!</v>
      </c>
      <c r="F378" s="88" t="str">
        <f>IFERROR(
VLOOKUP(
B378,#REF!,
6,
FALSE
),
""
)</f>
        <v/>
      </c>
      <c r="G378" s="88">
        <v>0</v>
      </c>
      <c r="H378" s="88">
        <v>24</v>
      </c>
      <c r="I378" s="90" t="e">
        <f t="shared" si="30"/>
        <v>#REF!</v>
      </c>
      <c r="J378" s="91" t="e">
        <f t="shared" si="31"/>
        <v>#REF!</v>
      </c>
      <c r="K378" s="91"/>
      <c r="L378" s="88" t="e">
        <f t="shared" si="32"/>
        <v>#REF!</v>
      </c>
      <c r="M378" s="88" t="e">
        <f t="shared" si="33"/>
        <v>#REF!</v>
      </c>
      <c r="N378" s="88" t="e">
        <f t="shared" si="34"/>
        <v>#REF!</v>
      </c>
      <c r="O378" s="88"/>
    </row>
    <row r="379" spans="3:15" ht="15" x14ac:dyDescent="0.25">
      <c r="C379" s="88">
        <v>0</v>
      </c>
      <c r="D379" s="88">
        <v>0.9</v>
      </c>
      <c r="E379" s="89" t="e">
        <f>IFERROR(
_xlfn.XLOOKUP(
B379,#REF!,#REF!
),
_xlfn.XLOOKUP(
A379,#REF!,#REF!
)
)</f>
        <v>#REF!</v>
      </c>
      <c r="F379" s="88" t="str">
        <f>IFERROR(
VLOOKUP(
B379,#REF!,
6,
FALSE
),
""
)</f>
        <v/>
      </c>
      <c r="G379" s="88">
        <v>0</v>
      </c>
      <c r="H379" s="88">
        <v>24</v>
      </c>
      <c r="I379" s="90" t="e">
        <f t="shared" si="30"/>
        <v>#REF!</v>
      </c>
      <c r="J379" s="91" t="e">
        <f t="shared" si="31"/>
        <v>#REF!</v>
      </c>
      <c r="K379" s="91"/>
      <c r="L379" s="88" t="e">
        <f t="shared" si="32"/>
        <v>#REF!</v>
      </c>
      <c r="M379" s="88" t="e">
        <f t="shared" si="33"/>
        <v>#REF!</v>
      </c>
      <c r="N379" s="88" t="e">
        <f t="shared" si="34"/>
        <v>#REF!</v>
      </c>
      <c r="O379" s="88"/>
    </row>
    <row r="380" spans="3:15" ht="15" x14ac:dyDescent="0.25">
      <c r="C380" s="88">
        <v>0</v>
      </c>
      <c r="D380" s="88">
        <v>0.9</v>
      </c>
      <c r="E380" s="89" t="e">
        <f>IFERROR(
_xlfn.XLOOKUP(
B380,#REF!,#REF!
),
_xlfn.XLOOKUP(
A380,#REF!,#REF!
)
)</f>
        <v>#REF!</v>
      </c>
      <c r="F380" s="88" t="str">
        <f>IFERROR(
VLOOKUP(
B380,#REF!,
6,
FALSE
),
""
)</f>
        <v/>
      </c>
      <c r="G380" s="88">
        <v>0</v>
      </c>
      <c r="H380" s="88">
        <v>24</v>
      </c>
      <c r="I380" s="90" t="e">
        <f t="shared" si="30"/>
        <v>#REF!</v>
      </c>
      <c r="J380" s="91" t="e">
        <f t="shared" si="31"/>
        <v>#REF!</v>
      </c>
      <c r="K380" s="91"/>
      <c r="L380" s="88" t="e">
        <f t="shared" si="32"/>
        <v>#REF!</v>
      </c>
      <c r="M380" s="88" t="e">
        <f t="shared" si="33"/>
        <v>#REF!</v>
      </c>
      <c r="N380" s="88" t="e">
        <f t="shared" si="34"/>
        <v>#REF!</v>
      </c>
      <c r="O380" s="88"/>
    </row>
    <row r="381" spans="3:15" ht="15" x14ac:dyDescent="0.25">
      <c r="C381" s="88">
        <v>0</v>
      </c>
      <c r="D381" s="88">
        <v>0.9</v>
      </c>
      <c r="E381" s="89" t="e">
        <f>IFERROR(
_xlfn.XLOOKUP(
B381,#REF!,#REF!
),
_xlfn.XLOOKUP(
A381,#REF!,#REF!
)
)</f>
        <v>#REF!</v>
      </c>
      <c r="F381" s="88" t="str">
        <f>IFERROR(
VLOOKUP(
B381,#REF!,
6,
FALSE
),
""
)</f>
        <v/>
      </c>
      <c r="G381" s="88">
        <v>0</v>
      </c>
      <c r="H381" s="88">
        <v>24</v>
      </c>
      <c r="I381" s="90" t="e">
        <f t="shared" si="30"/>
        <v>#REF!</v>
      </c>
      <c r="J381" s="91" t="e">
        <f t="shared" si="31"/>
        <v>#REF!</v>
      </c>
      <c r="K381" s="91"/>
      <c r="L381" s="88" t="e">
        <f t="shared" si="32"/>
        <v>#REF!</v>
      </c>
      <c r="M381" s="88" t="e">
        <f t="shared" si="33"/>
        <v>#REF!</v>
      </c>
      <c r="N381" s="88" t="e">
        <f t="shared" si="34"/>
        <v>#REF!</v>
      </c>
      <c r="O381" s="88"/>
    </row>
    <row r="382" spans="3:15" ht="15" x14ac:dyDescent="0.25">
      <c r="C382" s="88">
        <v>0</v>
      </c>
      <c r="D382" s="88">
        <v>0.9</v>
      </c>
      <c r="E382" s="89" t="e">
        <f>IFERROR(
_xlfn.XLOOKUP(
B382,#REF!,#REF!
),
_xlfn.XLOOKUP(
A382,#REF!,#REF!
)
)</f>
        <v>#REF!</v>
      </c>
      <c r="F382" s="88" t="str">
        <f>IFERROR(
VLOOKUP(
B382,#REF!,
6,
FALSE
),
""
)</f>
        <v/>
      </c>
      <c r="G382" s="88">
        <v>0</v>
      </c>
      <c r="H382" s="88">
        <v>24</v>
      </c>
      <c r="I382" s="90" t="e">
        <f t="shared" si="30"/>
        <v>#REF!</v>
      </c>
      <c r="J382" s="91" t="e">
        <f t="shared" si="31"/>
        <v>#REF!</v>
      </c>
      <c r="K382" s="91"/>
      <c r="L382" s="88" t="e">
        <f t="shared" si="32"/>
        <v>#REF!</v>
      </c>
      <c r="M382" s="88" t="e">
        <f t="shared" si="33"/>
        <v>#REF!</v>
      </c>
      <c r="N382" s="88" t="e">
        <f t="shared" si="34"/>
        <v>#REF!</v>
      </c>
      <c r="O382" s="88"/>
    </row>
    <row r="383" spans="3:15" ht="15" x14ac:dyDescent="0.25">
      <c r="C383" s="88">
        <v>0</v>
      </c>
      <c r="D383" s="88">
        <v>0.9</v>
      </c>
      <c r="E383" s="89" t="e">
        <f>IFERROR(
_xlfn.XLOOKUP(
B383,#REF!,#REF!
),
_xlfn.XLOOKUP(
A383,#REF!,#REF!
)
)</f>
        <v>#REF!</v>
      </c>
      <c r="F383" s="88" t="str">
        <f>IFERROR(
VLOOKUP(
B383,#REF!,
6,
FALSE
),
""
)</f>
        <v/>
      </c>
      <c r="G383" s="88">
        <v>0</v>
      </c>
      <c r="H383" s="88">
        <v>24</v>
      </c>
      <c r="I383" s="90" t="e">
        <f t="shared" si="30"/>
        <v>#REF!</v>
      </c>
      <c r="J383" s="91" t="e">
        <f t="shared" si="31"/>
        <v>#REF!</v>
      </c>
      <c r="K383" s="91"/>
      <c r="L383" s="88" t="e">
        <f t="shared" si="32"/>
        <v>#REF!</v>
      </c>
      <c r="M383" s="88" t="e">
        <f t="shared" si="33"/>
        <v>#REF!</v>
      </c>
      <c r="N383" s="88" t="e">
        <f t="shared" si="34"/>
        <v>#REF!</v>
      </c>
      <c r="O383" s="88"/>
    </row>
    <row r="384" spans="3:15" ht="15" x14ac:dyDescent="0.25">
      <c r="C384" s="88">
        <v>0</v>
      </c>
      <c r="D384" s="88">
        <v>0.9</v>
      </c>
      <c r="E384" s="89" t="e">
        <f>IFERROR(
_xlfn.XLOOKUP(
B384,#REF!,#REF!
),
_xlfn.XLOOKUP(
A384,#REF!,#REF!
)
)</f>
        <v>#REF!</v>
      </c>
      <c r="F384" s="88" t="str">
        <f>IFERROR(
VLOOKUP(
B384,#REF!,
6,
FALSE
),
""
)</f>
        <v/>
      </c>
      <c r="G384" s="88">
        <v>0</v>
      </c>
      <c r="H384" s="88">
        <v>24</v>
      </c>
      <c r="I384" s="90" t="e">
        <f t="shared" si="30"/>
        <v>#REF!</v>
      </c>
      <c r="J384" s="91" t="e">
        <f t="shared" si="31"/>
        <v>#REF!</v>
      </c>
      <c r="K384" s="91"/>
      <c r="L384" s="88" t="e">
        <f t="shared" si="32"/>
        <v>#REF!</v>
      </c>
      <c r="M384" s="88" t="e">
        <f t="shared" si="33"/>
        <v>#REF!</v>
      </c>
      <c r="N384" s="88" t="e">
        <f t="shared" si="34"/>
        <v>#REF!</v>
      </c>
      <c r="O384" s="88"/>
    </row>
    <row r="385" spans="3:15" ht="15" x14ac:dyDescent="0.25">
      <c r="C385" s="88">
        <v>0</v>
      </c>
      <c r="D385" s="88">
        <v>0.9</v>
      </c>
      <c r="E385" s="89" t="e">
        <f>IFERROR(
_xlfn.XLOOKUP(
B385,#REF!,#REF!
),
_xlfn.XLOOKUP(
A385,#REF!,#REF!
)
)</f>
        <v>#REF!</v>
      </c>
      <c r="F385" s="88" t="str">
        <f>IFERROR(
VLOOKUP(
B385,#REF!,
6,
FALSE
),
""
)</f>
        <v/>
      </c>
      <c r="G385" s="88">
        <v>0</v>
      </c>
      <c r="H385" s="88">
        <v>24</v>
      </c>
      <c r="I385" s="90" t="e">
        <f t="shared" si="30"/>
        <v>#REF!</v>
      </c>
      <c r="J385" s="91" t="e">
        <f t="shared" si="31"/>
        <v>#REF!</v>
      </c>
      <c r="K385" s="91"/>
      <c r="L385" s="88" t="e">
        <f t="shared" si="32"/>
        <v>#REF!</v>
      </c>
      <c r="M385" s="88" t="e">
        <f t="shared" si="33"/>
        <v>#REF!</v>
      </c>
      <c r="N385" s="88" t="e">
        <f t="shared" si="34"/>
        <v>#REF!</v>
      </c>
      <c r="O385" s="88"/>
    </row>
    <row r="386" spans="3:15" ht="15" x14ac:dyDescent="0.25">
      <c r="C386" s="88">
        <v>0</v>
      </c>
      <c r="D386" s="88">
        <v>0.9</v>
      </c>
      <c r="E386" s="89" t="e">
        <f>IFERROR(
_xlfn.XLOOKUP(
B386,#REF!,#REF!
),
_xlfn.XLOOKUP(
A386,#REF!,#REF!
)
)</f>
        <v>#REF!</v>
      </c>
      <c r="F386" s="88" t="str">
        <f>IFERROR(
VLOOKUP(
B386,#REF!,
6,
FALSE
),
""
)</f>
        <v/>
      </c>
      <c r="G386" s="88">
        <v>0</v>
      </c>
      <c r="H386" s="88">
        <v>24</v>
      </c>
      <c r="I386" s="90" t="e">
        <f t="shared" si="30"/>
        <v>#REF!</v>
      </c>
      <c r="J386" s="91" t="e">
        <f t="shared" si="31"/>
        <v>#REF!</v>
      </c>
      <c r="K386" s="91"/>
      <c r="L386" s="88" t="e">
        <f t="shared" si="32"/>
        <v>#REF!</v>
      </c>
      <c r="M386" s="88" t="e">
        <f t="shared" si="33"/>
        <v>#REF!</v>
      </c>
      <c r="N386" s="88" t="e">
        <f t="shared" si="34"/>
        <v>#REF!</v>
      </c>
      <c r="O386" s="88"/>
    </row>
    <row r="387" spans="3:15" ht="15" x14ac:dyDescent="0.25">
      <c r="C387" s="88">
        <v>0</v>
      </c>
      <c r="D387" s="88">
        <v>0.9</v>
      </c>
      <c r="E387" s="89" t="e">
        <f>IFERROR(
_xlfn.XLOOKUP(
B387,#REF!,#REF!
),
_xlfn.XLOOKUP(
A387,#REF!,#REF!
)
)</f>
        <v>#REF!</v>
      </c>
      <c r="F387" s="88" t="str">
        <f>IFERROR(
VLOOKUP(
B387,#REF!,
6,
FALSE
),
""
)</f>
        <v/>
      </c>
      <c r="G387" s="88">
        <v>0</v>
      </c>
      <c r="H387" s="88">
        <v>24</v>
      </c>
      <c r="I387" s="90" t="e">
        <f t="shared" ref="I387:I403" si="35">C387+D387+E387</f>
        <v>#REF!</v>
      </c>
      <c r="J387" s="91" t="e">
        <f t="shared" ref="J387:J403" si="36">(I387+G387) / (1 - F387/100 - (1 - 1/(1 + H387/100)))</f>
        <v>#REF!</v>
      </c>
      <c r="K387" s="91"/>
      <c r="L387" s="88" t="e">
        <f t="shared" ref="L387:L403" si="37">J387 * F387 / 100</f>
        <v>#REF!</v>
      </c>
      <c r="M387" s="88" t="e">
        <f t="shared" ref="M387:M403" si="38">J387 - (J387 / (1 + H387/100))</f>
        <v>#REF!</v>
      </c>
      <c r="N387" s="88" t="e">
        <f t="shared" ref="N387:N403" si="39">J387 - L387 - M387</f>
        <v>#REF!</v>
      </c>
      <c r="O387" s="88"/>
    </row>
    <row r="388" spans="3:15" ht="15" x14ac:dyDescent="0.25">
      <c r="C388" s="88">
        <v>0</v>
      </c>
      <c r="D388" s="88">
        <v>0.9</v>
      </c>
      <c r="E388" s="89" t="e">
        <f>IFERROR(
_xlfn.XLOOKUP(
B388,#REF!,#REF!
),
_xlfn.XLOOKUP(
A388,#REF!,#REF!
)
)</f>
        <v>#REF!</v>
      </c>
      <c r="F388" s="88" t="str">
        <f>IFERROR(
VLOOKUP(
B388,#REF!,
6,
FALSE
),
""
)</f>
        <v/>
      </c>
      <c r="G388" s="88">
        <v>0</v>
      </c>
      <c r="H388" s="88">
        <v>24</v>
      </c>
      <c r="I388" s="90" t="e">
        <f t="shared" si="35"/>
        <v>#REF!</v>
      </c>
      <c r="J388" s="91" t="e">
        <f t="shared" si="36"/>
        <v>#REF!</v>
      </c>
      <c r="K388" s="91"/>
      <c r="L388" s="88" t="e">
        <f t="shared" si="37"/>
        <v>#REF!</v>
      </c>
      <c r="M388" s="88" t="e">
        <f t="shared" si="38"/>
        <v>#REF!</v>
      </c>
      <c r="N388" s="88" t="e">
        <f t="shared" si="39"/>
        <v>#REF!</v>
      </c>
      <c r="O388" s="88"/>
    </row>
    <row r="389" spans="3:15" ht="15" x14ac:dyDescent="0.25">
      <c r="C389" s="88">
        <v>0</v>
      </c>
      <c r="D389" s="88">
        <v>0.9</v>
      </c>
      <c r="E389" s="89" t="e">
        <f>IFERROR(
_xlfn.XLOOKUP(
B389,#REF!,#REF!
),
_xlfn.XLOOKUP(
A389,#REF!,#REF!
)
)</f>
        <v>#REF!</v>
      </c>
      <c r="F389" s="88" t="str">
        <f>IFERROR(
VLOOKUP(
B389,#REF!,
6,
FALSE
),
""
)</f>
        <v/>
      </c>
      <c r="G389" s="88">
        <v>0</v>
      </c>
      <c r="H389" s="88">
        <v>24</v>
      </c>
      <c r="I389" s="90" t="e">
        <f t="shared" si="35"/>
        <v>#REF!</v>
      </c>
      <c r="J389" s="91" t="e">
        <f t="shared" si="36"/>
        <v>#REF!</v>
      </c>
      <c r="K389" s="91"/>
      <c r="L389" s="88" t="e">
        <f t="shared" si="37"/>
        <v>#REF!</v>
      </c>
      <c r="M389" s="88" t="e">
        <f t="shared" si="38"/>
        <v>#REF!</v>
      </c>
      <c r="N389" s="88" t="e">
        <f t="shared" si="39"/>
        <v>#REF!</v>
      </c>
      <c r="O389" s="88"/>
    </row>
    <row r="390" spans="3:15" ht="15" x14ac:dyDescent="0.25">
      <c r="C390" s="88">
        <v>0</v>
      </c>
      <c r="D390" s="88">
        <v>0.9</v>
      </c>
      <c r="E390" s="89" t="e">
        <f>IFERROR(
_xlfn.XLOOKUP(
B390,#REF!,#REF!
),
_xlfn.XLOOKUP(
A390,#REF!,#REF!
)
)</f>
        <v>#REF!</v>
      </c>
      <c r="F390" s="88" t="str">
        <f>IFERROR(
VLOOKUP(
B390,#REF!,
6,
FALSE
),
""
)</f>
        <v/>
      </c>
      <c r="G390" s="88">
        <v>0</v>
      </c>
      <c r="H390" s="88">
        <v>24</v>
      </c>
      <c r="I390" s="90" t="e">
        <f t="shared" si="35"/>
        <v>#REF!</v>
      </c>
      <c r="J390" s="91" t="e">
        <f t="shared" si="36"/>
        <v>#REF!</v>
      </c>
      <c r="K390" s="91"/>
      <c r="L390" s="88" t="e">
        <f t="shared" si="37"/>
        <v>#REF!</v>
      </c>
      <c r="M390" s="88" t="e">
        <f t="shared" si="38"/>
        <v>#REF!</v>
      </c>
      <c r="N390" s="88" t="e">
        <f t="shared" si="39"/>
        <v>#REF!</v>
      </c>
      <c r="O390" s="88"/>
    </row>
    <row r="391" spans="3:15" ht="15" x14ac:dyDescent="0.25">
      <c r="C391" s="88">
        <v>0</v>
      </c>
      <c r="D391" s="88">
        <v>0.9</v>
      </c>
      <c r="E391" s="89" t="e">
        <f>IFERROR(
_xlfn.XLOOKUP(
B391,#REF!,#REF!
),
_xlfn.XLOOKUP(
A391,#REF!,#REF!
)
)</f>
        <v>#REF!</v>
      </c>
      <c r="F391" s="88" t="str">
        <f>IFERROR(
VLOOKUP(
B391,#REF!,
6,
FALSE
),
""
)</f>
        <v/>
      </c>
      <c r="G391" s="88">
        <v>0</v>
      </c>
      <c r="H391" s="88">
        <v>24</v>
      </c>
      <c r="I391" s="90" t="e">
        <f t="shared" si="35"/>
        <v>#REF!</v>
      </c>
      <c r="J391" s="91" t="e">
        <f t="shared" si="36"/>
        <v>#REF!</v>
      </c>
      <c r="K391" s="91"/>
      <c r="L391" s="88" t="e">
        <f t="shared" si="37"/>
        <v>#REF!</v>
      </c>
      <c r="M391" s="88" t="e">
        <f t="shared" si="38"/>
        <v>#REF!</v>
      </c>
      <c r="N391" s="88" t="e">
        <f t="shared" si="39"/>
        <v>#REF!</v>
      </c>
      <c r="O391" s="88"/>
    </row>
    <row r="392" spans="3:15" ht="15" x14ac:dyDescent="0.25">
      <c r="C392" s="88">
        <v>0</v>
      </c>
      <c r="D392" s="88">
        <v>0.9</v>
      </c>
      <c r="E392" s="89" t="e">
        <f>IFERROR(
_xlfn.XLOOKUP(
B392,#REF!,#REF!
),
_xlfn.XLOOKUP(
A392,#REF!,#REF!
)
)</f>
        <v>#REF!</v>
      </c>
      <c r="F392" s="88" t="str">
        <f>IFERROR(
VLOOKUP(
B392,#REF!,
6,
FALSE
),
""
)</f>
        <v/>
      </c>
      <c r="G392" s="88">
        <v>0</v>
      </c>
      <c r="H392" s="88">
        <v>24</v>
      </c>
      <c r="I392" s="90" t="e">
        <f t="shared" si="35"/>
        <v>#REF!</v>
      </c>
      <c r="J392" s="91" t="e">
        <f t="shared" si="36"/>
        <v>#REF!</v>
      </c>
      <c r="K392" s="91"/>
      <c r="L392" s="88" t="e">
        <f t="shared" si="37"/>
        <v>#REF!</v>
      </c>
      <c r="M392" s="88" t="e">
        <f t="shared" si="38"/>
        <v>#REF!</v>
      </c>
      <c r="N392" s="88" t="e">
        <f t="shared" si="39"/>
        <v>#REF!</v>
      </c>
      <c r="O392" s="88"/>
    </row>
    <row r="393" spans="3:15" ht="15" x14ac:dyDescent="0.25">
      <c r="C393" s="88">
        <v>0</v>
      </c>
      <c r="D393" s="88">
        <v>0.9</v>
      </c>
      <c r="E393" s="89" t="e">
        <f>IFERROR(
_xlfn.XLOOKUP(
B393,#REF!,#REF!
),
_xlfn.XLOOKUP(
A393,#REF!,#REF!
)
)</f>
        <v>#REF!</v>
      </c>
      <c r="F393" s="88" t="str">
        <f>IFERROR(
VLOOKUP(
B393,#REF!,
6,
FALSE
),
""
)</f>
        <v/>
      </c>
      <c r="G393" s="88">
        <v>0</v>
      </c>
      <c r="H393" s="88">
        <v>24</v>
      </c>
      <c r="I393" s="90" t="e">
        <f t="shared" si="35"/>
        <v>#REF!</v>
      </c>
      <c r="J393" s="91" t="e">
        <f t="shared" si="36"/>
        <v>#REF!</v>
      </c>
      <c r="K393" s="91"/>
      <c r="L393" s="88" t="e">
        <f t="shared" si="37"/>
        <v>#REF!</v>
      </c>
      <c r="M393" s="88" t="e">
        <f t="shared" si="38"/>
        <v>#REF!</v>
      </c>
      <c r="N393" s="88" t="e">
        <f t="shared" si="39"/>
        <v>#REF!</v>
      </c>
      <c r="O393" s="88"/>
    </row>
    <row r="394" spans="3:15" ht="15" x14ac:dyDescent="0.25">
      <c r="C394" s="88">
        <v>0</v>
      </c>
      <c r="D394" s="88">
        <v>0.9</v>
      </c>
      <c r="E394" s="89" t="e">
        <f>IFERROR(
_xlfn.XLOOKUP(
B394,#REF!,#REF!
),
_xlfn.XLOOKUP(
A394,#REF!,#REF!
)
)</f>
        <v>#REF!</v>
      </c>
      <c r="F394" s="88" t="str">
        <f>IFERROR(
VLOOKUP(
B394,#REF!,
6,
FALSE
),
""
)</f>
        <v/>
      </c>
      <c r="G394" s="88">
        <v>0</v>
      </c>
      <c r="H394" s="88">
        <v>24</v>
      </c>
      <c r="I394" s="90" t="e">
        <f t="shared" si="35"/>
        <v>#REF!</v>
      </c>
      <c r="J394" s="91" t="e">
        <f t="shared" si="36"/>
        <v>#REF!</v>
      </c>
      <c r="K394" s="91"/>
      <c r="L394" s="88" t="e">
        <f t="shared" si="37"/>
        <v>#REF!</v>
      </c>
      <c r="M394" s="88" t="e">
        <f t="shared" si="38"/>
        <v>#REF!</v>
      </c>
      <c r="N394" s="88" t="e">
        <f t="shared" si="39"/>
        <v>#REF!</v>
      </c>
      <c r="O394" s="88"/>
    </row>
    <row r="395" spans="3:15" ht="15" x14ac:dyDescent="0.25">
      <c r="C395" s="88">
        <v>0</v>
      </c>
      <c r="D395" s="88">
        <v>0.9</v>
      </c>
      <c r="E395" s="89" t="e">
        <f>IFERROR(
_xlfn.XLOOKUP(
B395,#REF!,#REF!
),
_xlfn.XLOOKUP(
A395,#REF!,#REF!
)
)</f>
        <v>#REF!</v>
      </c>
      <c r="F395" s="88" t="str">
        <f>IFERROR(
VLOOKUP(
B395,#REF!,
6,
FALSE
),
""
)</f>
        <v/>
      </c>
      <c r="G395" s="88">
        <v>0</v>
      </c>
      <c r="H395" s="88">
        <v>24</v>
      </c>
      <c r="I395" s="90" t="e">
        <f t="shared" si="35"/>
        <v>#REF!</v>
      </c>
      <c r="J395" s="91" t="e">
        <f t="shared" si="36"/>
        <v>#REF!</v>
      </c>
      <c r="K395" s="91"/>
      <c r="L395" s="88" t="e">
        <f t="shared" si="37"/>
        <v>#REF!</v>
      </c>
      <c r="M395" s="88" t="e">
        <f t="shared" si="38"/>
        <v>#REF!</v>
      </c>
      <c r="N395" s="88" t="e">
        <f t="shared" si="39"/>
        <v>#REF!</v>
      </c>
      <c r="O395" s="88"/>
    </row>
    <row r="396" spans="3:15" ht="15" x14ac:dyDescent="0.25">
      <c r="C396" s="88">
        <v>0</v>
      </c>
      <c r="D396" s="88">
        <v>0.9</v>
      </c>
      <c r="E396" s="89" t="e">
        <f>IFERROR(
_xlfn.XLOOKUP(
B396,#REF!,#REF!
),
_xlfn.XLOOKUP(
A396,#REF!,#REF!
)
)</f>
        <v>#REF!</v>
      </c>
      <c r="F396" s="88" t="str">
        <f>IFERROR(
VLOOKUP(
B396,#REF!,
6,
FALSE
),
""
)</f>
        <v/>
      </c>
      <c r="G396" s="88">
        <v>0</v>
      </c>
      <c r="H396" s="88">
        <v>24</v>
      </c>
      <c r="I396" s="90" t="e">
        <f t="shared" si="35"/>
        <v>#REF!</v>
      </c>
      <c r="J396" s="91" t="e">
        <f t="shared" si="36"/>
        <v>#REF!</v>
      </c>
      <c r="K396" s="91"/>
      <c r="L396" s="88" t="e">
        <f t="shared" si="37"/>
        <v>#REF!</v>
      </c>
      <c r="M396" s="88" t="e">
        <f t="shared" si="38"/>
        <v>#REF!</v>
      </c>
      <c r="N396" s="88" t="e">
        <f t="shared" si="39"/>
        <v>#REF!</v>
      </c>
      <c r="O396" s="88"/>
    </row>
    <row r="397" spans="3:15" ht="15" x14ac:dyDescent="0.25">
      <c r="C397" s="88">
        <v>0</v>
      </c>
      <c r="D397" s="88">
        <v>0.9</v>
      </c>
      <c r="E397" s="89" t="e">
        <f>IFERROR(
_xlfn.XLOOKUP(
B397,#REF!,#REF!
),
_xlfn.XLOOKUP(
A397,#REF!,#REF!
)
)</f>
        <v>#REF!</v>
      </c>
      <c r="F397" s="88" t="str">
        <f>IFERROR(
VLOOKUP(
B397,#REF!,
6,
FALSE
),
""
)</f>
        <v/>
      </c>
      <c r="G397" s="88">
        <v>0</v>
      </c>
      <c r="H397" s="88">
        <v>24</v>
      </c>
      <c r="I397" s="90" t="e">
        <f t="shared" si="35"/>
        <v>#REF!</v>
      </c>
      <c r="J397" s="91" t="e">
        <f t="shared" si="36"/>
        <v>#REF!</v>
      </c>
      <c r="K397" s="91"/>
      <c r="L397" s="88" t="e">
        <f t="shared" si="37"/>
        <v>#REF!</v>
      </c>
      <c r="M397" s="88" t="e">
        <f t="shared" si="38"/>
        <v>#REF!</v>
      </c>
      <c r="N397" s="88" t="e">
        <f t="shared" si="39"/>
        <v>#REF!</v>
      </c>
      <c r="O397" s="88"/>
    </row>
    <row r="398" spans="3:15" ht="15" x14ac:dyDescent="0.25">
      <c r="C398" s="88">
        <v>0</v>
      </c>
      <c r="D398" s="88">
        <v>0.9</v>
      </c>
      <c r="E398" s="89" t="e">
        <f>IFERROR(
_xlfn.XLOOKUP(
B398,#REF!,#REF!
),
_xlfn.XLOOKUP(
A398,#REF!,#REF!
)
)</f>
        <v>#REF!</v>
      </c>
      <c r="F398" s="88" t="str">
        <f>IFERROR(
VLOOKUP(
B398,#REF!,
6,
FALSE
),
""
)</f>
        <v/>
      </c>
      <c r="G398" s="88">
        <v>0</v>
      </c>
      <c r="H398" s="88">
        <v>24</v>
      </c>
      <c r="I398" s="90" t="e">
        <f t="shared" si="35"/>
        <v>#REF!</v>
      </c>
      <c r="J398" s="91" t="e">
        <f t="shared" si="36"/>
        <v>#REF!</v>
      </c>
      <c r="K398" s="91"/>
      <c r="L398" s="88" t="e">
        <f t="shared" si="37"/>
        <v>#REF!</v>
      </c>
      <c r="M398" s="88" t="e">
        <f t="shared" si="38"/>
        <v>#REF!</v>
      </c>
      <c r="N398" s="88" t="e">
        <f t="shared" si="39"/>
        <v>#REF!</v>
      </c>
      <c r="O398" s="88"/>
    </row>
    <row r="399" spans="3:15" ht="15" x14ac:dyDescent="0.25">
      <c r="C399" s="88">
        <v>0</v>
      </c>
      <c r="D399" s="88">
        <v>0.9</v>
      </c>
      <c r="E399" s="89" t="e">
        <f>IFERROR(
_xlfn.XLOOKUP(
B399,#REF!,#REF!
),
_xlfn.XLOOKUP(
A399,#REF!,#REF!
)
)</f>
        <v>#REF!</v>
      </c>
      <c r="F399" s="88" t="str">
        <f>IFERROR(
VLOOKUP(
B399,#REF!,
6,
FALSE
),
""
)</f>
        <v/>
      </c>
      <c r="G399" s="88">
        <v>0</v>
      </c>
      <c r="H399" s="88">
        <v>24</v>
      </c>
      <c r="I399" s="90" t="e">
        <f t="shared" si="35"/>
        <v>#REF!</v>
      </c>
      <c r="J399" s="91" t="e">
        <f t="shared" si="36"/>
        <v>#REF!</v>
      </c>
      <c r="K399" s="91"/>
      <c r="L399" s="88" t="e">
        <f t="shared" si="37"/>
        <v>#REF!</v>
      </c>
      <c r="M399" s="88" t="e">
        <f t="shared" si="38"/>
        <v>#REF!</v>
      </c>
      <c r="N399" s="88" t="e">
        <f t="shared" si="39"/>
        <v>#REF!</v>
      </c>
      <c r="O399" s="88"/>
    </row>
    <row r="400" spans="3:15" ht="15" x14ac:dyDescent="0.25">
      <c r="C400" s="88">
        <v>0</v>
      </c>
      <c r="D400" s="88">
        <v>0.9</v>
      </c>
      <c r="E400" s="89" t="e">
        <f>IFERROR(
_xlfn.XLOOKUP(
B400,#REF!,#REF!
),
_xlfn.XLOOKUP(
A400,#REF!,#REF!
)
)</f>
        <v>#REF!</v>
      </c>
      <c r="F400" s="88" t="str">
        <f>IFERROR(
VLOOKUP(
B400,#REF!,
6,
FALSE
),
""
)</f>
        <v/>
      </c>
      <c r="G400" s="88">
        <v>0</v>
      </c>
      <c r="H400" s="88">
        <v>24</v>
      </c>
      <c r="I400" s="90" t="e">
        <f t="shared" si="35"/>
        <v>#REF!</v>
      </c>
      <c r="J400" s="91" t="e">
        <f t="shared" si="36"/>
        <v>#REF!</v>
      </c>
      <c r="K400" s="91"/>
      <c r="L400" s="88" t="e">
        <f t="shared" si="37"/>
        <v>#REF!</v>
      </c>
      <c r="M400" s="88" t="e">
        <f t="shared" si="38"/>
        <v>#REF!</v>
      </c>
      <c r="N400" s="88" t="e">
        <f t="shared" si="39"/>
        <v>#REF!</v>
      </c>
      <c r="O400" s="88"/>
    </row>
    <row r="401" spans="3:15" ht="15" x14ac:dyDescent="0.25">
      <c r="C401" s="88">
        <v>0</v>
      </c>
      <c r="D401" s="88">
        <v>0.9</v>
      </c>
      <c r="E401" s="89" t="e">
        <f>IFERROR(
_xlfn.XLOOKUP(
B401,#REF!,#REF!
),
_xlfn.XLOOKUP(
A401,#REF!,#REF!
)
)</f>
        <v>#REF!</v>
      </c>
      <c r="F401" s="88" t="str">
        <f>IFERROR(
VLOOKUP(
B401,#REF!,
6,
FALSE
),
""
)</f>
        <v/>
      </c>
      <c r="G401" s="88">
        <v>0</v>
      </c>
      <c r="H401" s="88">
        <v>24</v>
      </c>
      <c r="I401" s="90" t="e">
        <f t="shared" si="35"/>
        <v>#REF!</v>
      </c>
      <c r="J401" s="91" t="e">
        <f t="shared" si="36"/>
        <v>#REF!</v>
      </c>
      <c r="K401" s="91"/>
      <c r="L401" s="88" t="e">
        <f t="shared" si="37"/>
        <v>#REF!</v>
      </c>
      <c r="M401" s="88" t="e">
        <f t="shared" si="38"/>
        <v>#REF!</v>
      </c>
      <c r="N401" s="88" t="e">
        <f t="shared" si="39"/>
        <v>#REF!</v>
      </c>
      <c r="O401" s="88"/>
    </row>
    <row r="402" spans="3:15" ht="15" x14ac:dyDescent="0.25">
      <c r="C402" s="88">
        <v>0</v>
      </c>
      <c r="D402" s="88">
        <v>0.9</v>
      </c>
      <c r="E402" s="89" t="e">
        <f>IFERROR(
_xlfn.XLOOKUP(
B402,#REF!,#REF!
),
_xlfn.XLOOKUP(
A402,#REF!,#REF!
)
)</f>
        <v>#REF!</v>
      </c>
      <c r="F402" s="88" t="str">
        <f>IFERROR(
VLOOKUP(
B402,#REF!,
6,
FALSE
),
""
)</f>
        <v/>
      </c>
      <c r="G402" s="88">
        <v>0</v>
      </c>
      <c r="H402" s="88">
        <v>24</v>
      </c>
      <c r="I402" s="90" t="e">
        <f t="shared" si="35"/>
        <v>#REF!</v>
      </c>
      <c r="J402" s="91" t="e">
        <f t="shared" si="36"/>
        <v>#REF!</v>
      </c>
      <c r="K402" s="91"/>
      <c r="L402" s="88" t="e">
        <f t="shared" si="37"/>
        <v>#REF!</v>
      </c>
      <c r="M402" s="88" t="e">
        <f t="shared" si="38"/>
        <v>#REF!</v>
      </c>
      <c r="N402" s="88" t="e">
        <f t="shared" si="39"/>
        <v>#REF!</v>
      </c>
      <c r="O402" s="88"/>
    </row>
    <row r="403" spans="3:15" ht="15" x14ac:dyDescent="0.25">
      <c r="C403" s="88">
        <v>0</v>
      </c>
      <c r="D403" s="88">
        <v>0.9</v>
      </c>
      <c r="E403" s="89" t="e">
        <f>IFERROR(
_xlfn.XLOOKUP(
B403,#REF!,#REF!
),
_xlfn.XLOOKUP(
A403,#REF!,#REF!
)
)</f>
        <v>#REF!</v>
      </c>
      <c r="F403" s="88" t="str">
        <f>IFERROR(
VLOOKUP(
B403,#REF!,
6,
FALSE
),
""
)</f>
        <v/>
      </c>
      <c r="G403" s="88">
        <v>0</v>
      </c>
      <c r="H403" s="88">
        <v>24</v>
      </c>
      <c r="I403" s="90" t="e">
        <f t="shared" si="35"/>
        <v>#REF!</v>
      </c>
      <c r="J403" s="91" t="e">
        <f t="shared" si="36"/>
        <v>#REF!</v>
      </c>
      <c r="K403" s="91"/>
      <c r="L403" s="88" t="e">
        <f t="shared" si="37"/>
        <v>#REF!</v>
      </c>
      <c r="M403" s="88" t="e">
        <f t="shared" si="38"/>
        <v>#REF!</v>
      </c>
      <c r="N403" s="88" t="e">
        <f t="shared" si="39"/>
        <v>#REF!</v>
      </c>
      <c r="O403" s="88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L60"/>
  <sheetViews>
    <sheetView topLeftCell="A39" workbookViewId="0">
      <selection activeCell="B50" sqref="B50"/>
    </sheetView>
  </sheetViews>
  <sheetFormatPr defaultColWidth="12.5703125" defaultRowHeight="15.75" customHeight="1" x14ac:dyDescent="0.2"/>
  <cols>
    <col min="1" max="1" width="53.28515625" customWidth="1"/>
    <col min="2" max="2" width="14.7109375" customWidth="1"/>
  </cols>
  <sheetData>
    <row r="1" spans="1:11" ht="17.25" customHeight="1" x14ac:dyDescent="0.2">
      <c r="A1" s="12"/>
      <c r="B1" s="20"/>
      <c r="C1" s="12" t="s">
        <v>542</v>
      </c>
      <c r="D1" s="12"/>
      <c r="E1" s="12" t="s">
        <v>497</v>
      </c>
      <c r="F1" s="12" t="s">
        <v>498</v>
      </c>
      <c r="G1" s="12" t="s">
        <v>497</v>
      </c>
      <c r="H1" s="12" t="s">
        <v>499</v>
      </c>
      <c r="I1" s="12" t="s">
        <v>497</v>
      </c>
      <c r="J1" s="12" t="s">
        <v>500</v>
      </c>
      <c r="K1" s="12" t="s">
        <v>497</v>
      </c>
    </row>
    <row r="3" spans="1:11" ht="12.75" x14ac:dyDescent="0.2">
      <c r="A3" s="6" t="s">
        <v>1672</v>
      </c>
      <c r="B3" s="6">
        <v>97467459670</v>
      </c>
      <c r="C3" s="12">
        <v>31.43</v>
      </c>
      <c r="D3" s="12">
        <v>0.9</v>
      </c>
      <c r="E3" s="12">
        <f t="shared" ref="E3:E60" si="0">SUM(C3)+D3</f>
        <v>32.33</v>
      </c>
      <c r="F3" s="12">
        <v>1.24</v>
      </c>
      <c r="G3" s="12">
        <f t="shared" ref="G3:G60" si="1">SUM(E3)*F3</f>
        <v>40.089199999999998</v>
      </c>
      <c r="H3" s="12">
        <v>1.1214999999999999</v>
      </c>
      <c r="I3" s="12">
        <f t="shared" ref="I3:I60" si="2">SUM(G3)*H3</f>
        <v>44.960037799999995</v>
      </c>
      <c r="J3" s="12">
        <v>1.49</v>
      </c>
      <c r="K3" s="12">
        <f t="shared" ref="K3:K60" si="3">SUM(I3)+J3</f>
        <v>46.450037799999997</v>
      </c>
    </row>
    <row r="4" spans="1:11" ht="12.75" x14ac:dyDescent="0.2">
      <c r="A4" s="6" t="s">
        <v>1673</v>
      </c>
      <c r="B4" s="6">
        <v>97467459618</v>
      </c>
      <c r="C4" s="12">
        <v>30.69</v>
      </c>
      <c r="D4" s="12">
        <v>0.9</v>
      </c>
      <c r="E4" s="12">
        <f t="shared" si="0"/>
        <v>31.59</v>
      </c>
      <c r="F4" s="12">
        <v>1.24</v>
      </c>
      <c r="G4" s="12">
        <f t="shared" si="1"/>
        <v>39.171599999999998</v>
      </c>
      <c r="H4" s="12">
        <v>1.1214999999999999</v>
      </c>
      <c r="I4" s="12">
        <f t="shared" si="2"/>
        <v>43.930949399999996</v>
      </c>
      <c r="J4" s="12">
        <v>1.49</v>
      </c>
      <c r="K4" s="12">
        <f t="shared" si="3"/>
        <v>45.420949399999998</v>
      </c>
    </row>
    <row r="5" spans="1:11" ht="12.75" x14ac:dyDescent="0.2">
      <c r="A5" s="6"/>
      <c r="B5" s="6"/>
      <c r="C5" s="12">
        <v>28.84</v>
      </c>
      <c r="D5" s="12">
        <v>0.9</v>
      </c>
      <c r="E5" s="12">
        <f t="shared" si="0"/>
        <v>29.74</v>
      </c>
      <c r="F5" s="12">
        <v>1.24</v>
      </c>
      <c r="G5" s="12">
        <f t="shared" si="1"/>
        <v>36.877600000000001</v>
      </c>
      <c r="H5" s="12">
        <v>1.1214999999999999</v>
      </c>
      <c r="I5" s="12">
        <f t="shared" si="2"/>
        <v>41.358228400000002</v>
      </c>
      <c r="J5" s="12">
        <v>1.49</v>
      </c>
      <c r="K5" s="12">
        <f t="shared" si="3"/>
        <v>42.848228400000004</v>
      </c>
    </row>
    <row r="6" spans="1:11" ht="12.75" x14ac:dyDescent="0.2">
      <c r="A6" s="6" t="s">
        <v>1674</v>
      </c>
      <c r="B6" s="6">
        <v>97467039681</v>
      </c>
      <c r="C6" s="12">
        <v>23.8</v>
      </c>
      <c r="D6" s="12">
        <v>0.9</v>
      </c>
      <c r="E6" s="12">
        <f t="shared" si="0"/>
        <v>24.7</v>
      </c>
      <c r="F6" s="12">
        <v>1.24</v>
      </c>
      <c r="G6" s="12">
        <f t="shared" si="1"/>
        <v>30.628</v>
      </c>
      <c r="H6" s="12">
        <v>1.1214999999999999</v>
      </c>
      <c r="I6" s="12">
        <f t="shared" si="2"/>
        <v>34.349302000000002</v>
      </c>
      <c r="J6" s="12">
        <v>0.73999999999999899</v>
      </c>
      <c r="K6" s="12">
        <f t="shared" si="3"/>
        <v>35.089302000000004</v>
      </c>
    </row>
    <row r="7" spans="1:11" ht="12.75" x14ac:dyDescent="0.2">
      <c r="A7" s="6" t="s">
        <v>1675</v>
      </c>
      <c r="B7" s="6">
        <v>97467459717</v>
      </c>
      <c r="C7" s="12">
        <v>23.88</v>
      </c>
      <c r="D7" s="12">
        <v>0.9</v>
      </c>
      <c r="E7" s="12">
        <f t="shared" si="0"/>
        <v>24.779999999999998</v>
      </c>
      <c r="F7" s="12">
        <v>1.24</v>
      </c>
      <c r="G7" s="12">
        <f t="shared" si="1"/>
        <v>30.727199999999996</v>
      </c>
      <c r="H7" s="12">
        <v>1.1214999999999999</v>
      </c>
      <c r="I7" s="12">
        <f t="shared" si="2"/>
        <v>34.460554799999997</v>
      </c>
      <c r="J7" s="12">
        <v>0.73999999999999899</v>
      </c>
      <c r="K7" s="12">
        <f t="shared" si="3"/>
        <v>35.200554799999999</v>
      </c>
    </row>
    <row r="8" spans="1:11" ht="12.75" x14ac:dyDescent="0.2">
      <c r="A8" s="6" t="s">
        <v>1676</v>
      </c>
      <c r="B8" s="6">
        <v>97467049659</v>
      </c>
      <c r="C8" s="12">
        <v>23.94</v>
      </c>
      <c r="D8" s="12">
        <v>0.9</v>
      </c>
      <c r="E8" s="12">
        <f t="shared" si="0"/>
        <v>24.84</v>
      </c>
      <c r="F8" s="12">
        <v>1.24</v>
      </c>
      <c r="G8" s="12">
        <f t="shared" si="1"/>
        <v>30.801600000000001</v>
      </c>
      <c r="H8" s="12">
        <v>1.1214999999999999</v>
      </c>
      <c r="I8" s="12">
        <f t="shared" si="2"/>
        <v>34.543994399999995</v>
      </c>
      <c r="J8" s="12">
        <v>0.74</v>
      </c>
      <c r="K8" s="12">
        <f t="shared" si="3"/>
        <v>35.283994399999997</v>
      </c>
    </row>
    <row r="9" spans="1:11" ht="12.75" x14ac:dyDescent="0.2">
      <c r="A9" s="6" t="s">
        <v>1677</v>
      </c>
      <c r="B9" s="6">
        <v>97467039568</v>
      </c>
      <c r="C9" s="12">
        <v>15.89</v>
      </c>
      <c r="D9" s="12">
        <v>0.9</v>
      </c>
      <c r="E9" s="12">
        <f t="shared" si="0"/>
        <v>16.79</v>
      </c>
      <c r="F9" s="12">
        <v>1.24</v>
      </c>
      <c r="G9" s="12">
        <f t="shared" si="1"/>
        <v>20.819599999999998</v>
      </c>
      <c r="H9" s="12">
        <v>1.1214999999999999</v>
      </c>
      <c r="I9" s="12">
        <f t="shared" si="2"/>
        <v>23.349181399999996</v>
      </c>
      <c r="J9" s="12">
        <v>0.73999999999999899</v>
      </c>
      <c r="K9" s="12">
        <f t="shared" si="3"/>
        <v>24.089181399999994</v>
      </c>
    </row>
    <row r="10" spans="1:11" ht="12.75" x14ac:dyDescent="0.2">
      <c r="A10" s="6" t="s">
        <v>1678</v>
      </c>
      <c r="B10" s="6">
        <v>97467072466</v>
      </c>
      <c r="C10" s="12">
        <v>25.93</v>
      </c>
      <c r="D10" s="12">
        <v>0.9</v>
      </c>
      <c r="E10" s="12">
        <f t="shared" si="0"/>
        <v>26.83</v>
      </c>
      <c r="F10" s="12">
        <v>1.24</v>
      </c>
      <c r="G10" s="12">
        <f t="shared" si="1"/>
        <v>33.269199999999998</v>
      </c>
      <c r="H10" s="12">
        <v>1.1214999999999999</v>
      </c>
      <c r="I10" s="12">
        <f t="shared" si="2"/>
        <v>37.311407799999998</v>
      </c>
      <c r="J10" s="12">
        <v>0.73999999999999899</v>
      </c>
      <c r="K10" s="12">
        <f t="shared" si="3"/>
        <v>38.0514078</v>
      </c>
    </row>
    <row r="11" spans="1:11" ht="12.75" x14ac:dyDescent="0.2">
      <c r="A11" s="6" t="s">
        <v>1679</v>
      </c>
      <c r="B11" s="6">
        <v>807205116648</v>
      </c>
      <c r="C11" s="12">
        <v>22.42</v>
      </c>
      <c r="D11" s="12">
        <v>0.9</v>
      </c>
      <c r="E11" s="12">
        <f t="shared" si="0"/>
        <v>23.32</v>
      </c>
      <c r="F11" s="12">
        <v>1.24</v>
      </c>
      <c r="G11" s="12">
        <f t="shared" si="1"/>
        <v>28.916799999999999</v>
      </c>
      <c r="H11" s="12">
        <v>1.1214999999999999</v>
      </c>
      <c r="I11" s="12">
        <f t="shared" si="2"/>
        <v>32.430191199999996</v>
      </c>
      <c r="J11" s="12">
        <v>1.49</v>
      </c>
      <c r="K11" s="12">
        <f t="shared" si="3"/>
        <v>33.920191199999998</v>
      </c>
    </row>
    <row r="12" spans="1:11" ht="12.75" x14ac:dyDescent="0.2">
      <c r="A12" s="6" t="s">
        <v>1680</v>
      </c>
      <c r="B12" s="6">
        <v>807205116174</v>
      </c>
      <c r="C12" s="12">
        <v>5.27</v>
      </c>
      <c r="D12" s="12">
        <v>0.3</v>
      </c>
      <c r="E12" s="12">
        <f t="shared" si="0"/>
        <v>5.5699999999999994</v>
      </c>
      <c r="F12" s="12">
        <v>1.24</v>
      </c>
      <c r="G12" s="12">
        <f t="shared" si="1"/>
        <v>6.9067999999999996</v>
      </c>
      <c r="H12" s="12">
        <v>1.1214999999999999</v>
      </c>
      <c r="I12" s="12">
        <f t="shared" si="2"/>
        <v>7.7459761999999994</v>
      </c>
      <c r="J12" s="12">
        <v>0.73999999999999899</v>
      </c>
      <c r="K12" s="12">
        <f t="shared" si="3"/>
        <v>8.4859761999999979</v>
      </c>
    </row>
    <row r="13" spans="1:11" ht="12.75" x14ac:dyDescent="0.2">
      <c r="A13" s="6" t="s">
        <v>1681</v>
      </c>
      <c r="B13" s="6">
        <v>97467299412</v>
      </c>
      <c r="C13" s="12">
        <v>11.53</v>
      </c>
      <c r="D13" s="12">
        <v>0.9</v>
      </c>
      <c r="E13" s="12">
        <f t="shared" si="0"/>
        <v>12.43</v>
      </c>
      <c r="F13" s="12">
        <v>1.24</v>
      </c>
      <c r="G13" s="12">
        <f t="shared" si="1"/>
        <v>15.4132</v>
      </c>
      <c r="H13" s="12">
        <v>1.1214999999999999</v>
      </c>
      <c r="I13" s="12">
        <f t="shared" si="2"/>
        <v>17.2859038</v>
      </c>
      <c r="J13" s="12">
        <v>0.73999999999999899</v>
      </c>
      <c r="K13" s="12">
        <f t="shared" si="3"/>
        <v>18.025903799999998</v>
      </c>
    </row>
    <row r="14" spans="1:11" ht="12.75" x14ac:dyDescent="0.2">
      <c r="A14" s="6" t="s">
        <v>1682</v>
      </c>
      <c r="B14" s="6">
        <v>97467047068</v>
      </c>
      <c r="C14" s="12">
        <v>24.81</v>
      </c>
      <c r="D14" s="12">
        <v>0.9</v>
      </c>
      <c r="E14" s="12">
        <f t="shared" si="0"/>
        <v>25.709999999999997</v>
      </c>
      <c r="F14" s="12">
        <v>1.24</v>
      </c>
      <c r="G14" s="12">
        <f t="shared" si="1"/>
        <v>31.880399999999998</v>
      </c>
      <c r="H14" s="12">
        <v>1.1214999999999999</v>
      </c>
      <c r="I14" s="12">
        <f t="shared" si="2"/>
        <v>35.753868599999997</v>
      </c>
      <c r="J14" s="12">
        <v>0.73999999999999899</v>
      </c>
      <c r="K14" s="12">
        <f t="shared" si="3"/>
        <v>36.493868599999999</v>
      </c>
    </row>
    <row r="15" spans="1:11" ht="12.75" x14ac:dyDescent="0.2">
      <c r="A15" s="6"/>
      <c r="B15" s="44">
        <v>97467047068</v>
      </c>
      <c r="C15" s="12">
        <v>23.31</v>
      </c>
      <c r="D15" s="12">
        <v>0.9</v>
      </c>
      <c r="E15" s="12">
        <f t="shared" si="0"/>
        <v>24.209999999999997</v>
      </c>
      <c r="F15" s="12">
        <v>1.24</v>
      </c>
      <c r="G15" s="12">
        <f t="shared" si="1"/>
        <v>30.020399999999995</v>
      </c>
      <c r="H15" s="12">
        <v>1.1214999999999999</v>
      </c>
      <c r="I15" s="12">
        <f t="shared" si="2"/>
        <v>33.667878599999995</v>
      </c>
      <c r="J15" s="12">
        <v>0.73999999999999899</v>
      </c>
      <c r="K15" s="12">
        <f t="shared" si="3"/>
        <v>34.407878599999997</v>
      </c>
    </row>
    <row r="16" spans="1:11" ht="12.75" x14ac:dyDescent="0.2">
      <c r="A16" s="6" t="s">
        <v>1683</v>
      </c>
      <c r="B16" s="6">
        <v>97467043848</v>
      </c>
      <c r="C16" s="12">
        <v>32.31</v>
      </c>
      <c r="D16" s="12">
        <v>0.9</v>
      </c>
      <c r="E16" s="12">
        <f t="shared" si="0"/>
        <v>33.21</v>
      </c>
      <c r="F16" s="12">
        <v>1.24</v>
      </c>
      <c r="G16" s="12">
        <f t="shared" si="1"/>
        <v>41.180399999999999</v>
      </c>
      <c r="H16" s="12">
        <v>1.1214999999999999</v>
      </c>
      <c r="I16" s="12">
        <f t="shared" si="2"/>
        <v>46.183818599999995</v>
      </c>
      <c r="J16" s="12">
        <v>0.73999999999999899</v>
      </c>
      <c r="K16" s="12">
        <f t="shared" si="3"/>
        <v>46.923818599999997</v>
      </c>
    </row>
    <row r="17" spans="1:12" ht="12.75" x14ac:dyDescent="0.2">
      <c r="A17" s="6" t="s">
        <v>1684</v>
      </c>
      <c r="B17" s="6">
        <v>97467299788</v>
      </c>
      <c r="C17" s="12">
        <v>14.55</v>
      </c>
      <c r="D17" s="12">
        <v>0.9</v>
      </c>
      <c r="E17" s="12">
        <f t="shared" si="0"/>
        <v>15.450000000000001</v>
      </c>
      <c r="F17" s="12">
        <v>1.24</v>
      </c>
      <c r="G17" s="12">
        <f t="shared" si="1"/>
        <v>19.158000000000001</v>
      </c>
      <c r="H17" s="12">
        <v>1.1214999999999999</v>
      </c>
      <c r="I17" s="12">
        <f t="shared" si="2"/>
        <v>21.485697000000002</v>
      </c>
      <c r="J17" s="12">
        <v>0.73999999999999899</v>
      </c>
      <c r="K17" s="12">
        <f t="shared" si="3"/>
        <v>22.225697</v>
      </c>
    </row>
    <row r="18" spans="1:12" ht="12.75" x14ac:dyDescent="0.2">
      <c r="A18" s="6" t="s">
        <v>1685</v>
      </c>
      <c r="B18" s="6">
        <v>97467299696</v>
      </c>
      <c r="C18" s="12">
        <v>19.989999999999998</v>
      </c>
      <c r="D18" s="12">
        <v>0.9</v>
      </c>
      <c r="E18" s="12">
        <f t="shared" si="0"/>
        <v>20.889999999999997</v>
      </c>
      <c r="F18" s="12">
        <v>1.24</v>
      </c>
      <c r="G18" s="12">
        <f t="shared" si="1"/>
        <v>25.903599999999997</v>
      </c>
      <c r="H18" s="12">
        <v>1.1214999999999999</v>
      </c>
      <c r="I18" s="12">
        <f t="shared" si="2"/>
        <v>29.050887399999997</v>
      </c>
      <c r="J18" s="12">
        <v>0.73999999999999899</v>
      </c>
      <c r="K18" s="12">
        <f t="shared" si="3"/>
        <v>29.790887399999995</v>
      </c>
    </row>
    <row r="19" spans="1:12" ht="12.75" x14ac:dyDescent="0.2">
      <c r="A19" s="6" t="s">
        <v>1686</v>
      </c>
      <c r="B19" s="6">
        <v>97467051645</v>
      </c>
      <c r="C19" s="12">
        <v>13.23</v>
      </c>
      <c r="D19" s="12">
        <v>0.3</v>
      </c>
      <c r="E19" s="12">
        <f t="shared" si="0"/>
        <v>13.530000000000001</v>
      </c>
      <c r="F19" s="12">
        <v>1.24</v>
      </c>
      <c r="G19" s="12">
        <f t="shared" si="1"/>
        <v>16.777200000000001</v>
      </c>
      <c r="H19" s="12">
        <v>1.1214999999999999</v>
      </c>
      <c r="I19" s="12">
        <f t="shared" si="2"/>
        <v>18.8156298</v>
      </c>
      <c r="J19" s="12">
        <v>0.73999999999999899</v>
      </c>
      <c r="K19" s="12">
        <f t="shared" si="3"/>
        <v>19.555629799999998</v>
      </c>
      <c r="L19" s="12">
        <v>18.55</v>
      </c>
    </row>
    <row r="20" spans="1:12" ht="12.75" x14ac:dyDescent="0.2">
      <c r="A20" s="6" t="s">
        <v>1687</v>
      </c>
      <c r="B20" s="6">
        <v>97467030886</v>
      </c>
      <c r="C20" s="12">
        <v>26.5</v>
      </c>
      <c r="D20" s="12">
        <v>0.9</v>
      </c>
      <c r="E20" s="12">
        <f t="shared" si="0"/>
        <v>27.4</v>
      </c>
      <c r="F20" s="12">
        <v>1.24</v>
      </c>
      <c r="G20" s="12">
        <f t="shared" si="1"/>
        <v>33.975999999999999</v>
      </c>
      <c r="H20" s="12">
        <v>1.1214999999999999</v>
      </c>
      <c r="I20" s="12">
        <f t="shared" si="2"/>
        <v>38.104084</v>
      </c>
      <c r="J20" s="12">
        <v>0.73999999999999899</v>
      </c>
      <c r="K20" s="12">
        <f t="shared" si="3"/>
        <v>38.844084000000002</v>
      </c>
    </row>
    <row r="21" spans="1:12" ht="12.75" x14ac:dyDescent="0.2">
      <c r="A21" s="6" t="s">
        <v>1688</v>
      </c>
      <c r="B21" s="6">
        <v>97467336469</v>
      </c>
      <c r="C21" s="12">
        <v>18.940000000000001</v>
      </c>
      <c r="D21" s="12">
        <v>0.9</v>
      </c>
      <c r="E21" s="12">
        <f t="shared" si="0"/>
        <v>19.84</v>
      </c>
      <c r="F21" s="12">
        <v>1.24</v>
      </c>
      <c r="G21" s="12">
        <f t="shared" si="1"/>
        <v>24.601600000000001</v>
      </c>
      <c r="H21" s="12">
        <v>1.1214999999999999</v>
      </c>
      <c r="I21" s="12">
        <f t="shared" si="2"/>
        <v>27.5906944</v>
      </c>
      <c r="J21" s="12">
        <v>0.73999999999999899</v>
      </c>
      <c r="K21" s="12">
        <f t="shared" si="3"/>
        <v>28.330694399999999</v>
      </c>
    </row>
    <row r="22" spans="1:12" ht="12.75" x14ac:dyDescent="0.2">
      <c r="A22" s="6" t="s">
        <v>1689</v>
      </c>
      <c r="B22" s="6">
        <v>5060003593379</v>
      </c>
      <c r="C22" s="12">
        <v>12.96</v>
      </c>
      <c r="D22" s="12">
        <v>0.9</v>
      </c>
      <c r="E22" s="12">
        <f t="shared" si="0"/>
        <v>13.860000000000001</v>
      </c>
      <c r="F22" s="12">
        <v>1.24</v>
      </c>
      <c r="G22" s="12">
        <f t="shared" si="1"/>
        <v>17.186400000000003</v>
      </c>
      <c r="H22" s="12">
        <v>1.1214999999999999</v>
      </c>
      <c r="I22" s="12">
        <f t="shared" si="2"/>
        <v>19.274547600000002</v>
      </c>
      <c r="J22" s="12">
        <v>0.73999999999999899</v>
      </c>
      <c r="K22" s="12">
        <f t="shared" si="3"/>
        <v>20.0145476</v>
      </c>
      <c r="L22" s="12">
        <v>20.39</v>
      </c>
    </row>
    <row r="23" spans="1:12" ht="12.75" x14ac:dyDescent="0.2">
      <c r="A23" s="6" t="s">
        <v>1690</v>
      </c>
      <c r="B23" s="6">
        <v>5060003593263</v>
      </c>
      <c r="C23" s="12">
        <v>12</v>
      </c>
      <c r="D23" s="12">
        <v>0.9</v>
      </c>
      <c r="E23" s="12">
        <f t="shared" si="0"/>
        <v>12.9</v>
      </c>
      <c r="F23" s="12">
        <v>1.24</v>
      </c>
      <c r="G23" s="12">
        <f t="shared" si="1"/>
        <v>15.996</v>
      </c>
      <c r="H23" s="12">
        <v>1.1214999999999999</v>
      </c>
      <c r="I23" s="12">
        <f t="shared" si="2"/>
        <v>17.939513999999999</v>
      </c>
      <c r="J23" s="12">
        <v>0.73999999999999899</v>
      </c>
      <c r="K23" s="12">
        <f t="shared" si="3"/>
        <v>18.679513999999998</v>
      </c>
    </row>
    <row r="24" spans="1:12" ht="12.75" x14ac:dyDescent="0.2">
      <c r="B24" s="12">
        <v>5060003593263</v>
      </c>
      <c r="C24" s="12">
        <v>11.39</v>
      </c>
      <c r="D24" s="12">
        <v>0.9</v>
      </c>
      <c r="E24" s="12">
        <f t="shared" si="0"/>
        <v>12.290000000000001</v>
      </c>
      <c r="F24" s="12">
        <v>1.24</v>
      </c>
      <c r="G24" s="12">
        <f t="shared" si="1"/>
        <v>15.239600000000001</v>
      </c>
      <c r="H24" s="12">
        <v>1.1214999999999999</v>
      </c>
      <c r="I24" s="12">
        <f t="shared" si="2"/>
        <v>17.091211399999999</v>
      </c>
      <c r="J24" s="12">
        <v>0.73999999999999899</v>
      </c>
      <c r="K24" s="12">
        <f t="shared" si="3"/>
        <v>17.831211399999997</v>
      </c>
    </row>
    <row r="25" spans="1:12" ht="12.75" x14ac:dyDescent="0.2">
      <c r="A25" s="12" t="s">
        <v>1686</v>
      </c>
      <c r="B25" s="12">
        <v>97467051645</v>
      </c>
      <c r="C25" s="12">
        <v>13.23</v>
      </c>
      <c r="D25" s="12">
        <v>0.9</v>
      </c>
      <c r="E25" s="12">
        <f t="shared" si="0"/>
        <v>14.13</v>
      </c>
      <c r="F25" s="12">
        <v>1.24</v>
      </c>
      <c r="G25" s="12">
        <f t="shared" si="1"/>
        <v>17.5212</v>
      </c>
      <c r="H25" s="12">
        <v>1.1214999999999999</v>
      </c>
      <c r="I25" s="12">
        <f t="shared" si="2"/>
        <v>19.650025799999998</v>
      </c>
      <c r="J25" s="12">
        <v>0.73999999999999899</v>
      </c>
      <c r="K25" s="12">
        <f t="shared" si="3"/>
        <v>20.390025799999997</v>
      </c>
    </row>
    <row r="26" spans="1:12" ht="12.75" x14ac:dyDescent="0.2">
      <c r="A26" s="12" t="s">
        <v>1691</v>
      </c>
      <c r="B26" s="12">
        <v>97467016309</v>
      </c>
      <c r="C26" s="12">
        <v>12.24</v>
      </c>
      <c r="D26" s="12">
        <v>0.9</v>
      </c>
      <c r="E26" s="12">
        <f t="shared" si="0"/>
        <v>13.14</v>
      </c>
      <c r="F26" s="12">
        <v>1.24</v>
      </c>
      <c r="G26" s="12">
        <f t="shared" si="1"/>
        <v>16.293600000000001</v>
      </c>
      <c r="H26" s="12">
        <v>1.1214999999999999</v>
      </c>
      <c r="I26" s="12">
        <f t="shared" si="2"/>
        <v>18.2732724</v>
      </c>
      <c r="J26" s="12">
        <v>0.73999999999999899</v>
      </c>
      <c r="K26" s="12">
        <f t="shared" si="3"/>
        <v>19.013272399999998</v>
      </c>
    </row>
    <row r="27" spans="1:12" ht="12.75" x14ac:dyDescent="0.2">
      <c r="A27" s="12" t="s">
        <v>1692</v>
      </c>
      <c r="B27" s="12">
        <v>807205116198</v>
      </c>
      <c r="C27" s="12">
        <v>10.35</v>
      </c>
      <c r="D27" s="12">
        <v>0.9</v>
      </c>
      <c r="E27" s="12">
        <f t="shared" si="0"/>
        <v>11.25</v>
      </c>
      <c r="F27" s="12">
        <v>1.24</v>
      </c>
      <c r="G27" s="12">
        <f t="shared" si="1"/>
        <v>13.95</v>
      </c>
      <c r="H27" s="12">
        <v>1.1214999999999999</v>
      </c>
      <c r="I27" s="12">
        <f t="shared" si="2"/>
        <v>15.644924999999999</v>
      </c>
      <c r="J27" s="12">
        <v>0.73999999999999899</v>
      </c>
      <c r="K27" s="12">
        <f t="shared" si="3"/>
        <v>16.384924999999999</v>
      </c>
    </row>
    <row r="28" spans="1:12" ht="12.75" x14ac:dyDescent="0.2">
      <c r="A28" s="12" t="s">
        <v>1693</v>
      </c>
      <c r="B28" s="12">
        <v>97467307117</v>
      </c>
      <c r="C28" s="12">
        <v>47.04</v>
      </c>
      <c r="D28" s="12">
        <v>0.9</v>
      </c>
      <c r="E28" s="12">
        <f t="shared" si="0"/>
        <v>47.94</v>
      </c>
      <c r="F28" s="12">
        <v>1.24</v>
      </c>
      <c r="G28" s="12">
        <f t="shared" si="1"/>
        <v>59.445599999999999</v>
      </c>
      <c r="H28" s="12">
        <v>1.1214999999999999</v>
      </c>
      <c r="I28" s="12">
        <f t="shared" si="2"/>
        <v>66.668240400000002</v>
      </c>
      <c r="J28" s="12">
        <v>0.73999999999999899</v>
      </c>
      <c r="K28" s="12">
        <f t="shared" si="3"/>
        <v>67.408240399999997</v>
      </c>
    </row>
    <row r="29" spans="1:12" ht="12.75" x14ac:dyDescent="0.2">
      <c r="A29" s="12" t="s">
        <v>1694</v>
      </c>
      <c r="B29" s="12">
        <v>97467047082</v>
      </c>
      <c r="C29" s="12">
        <v>31.42</v>
      </c>
      <c r="D29" s="12">
        <v>0.9</v>
      </c>
      <c r="E29" s="12">
        <f t="shared" si="0"/>
        <v>32.32</v>
      </c>
      <c r="F29" s="12">
        <v>1.24</v>
      </c>
      <c r="G29" s="12">
        <f t="shared" si="1"/>
        <v>40.076799999999999</v>
      </c>
      <c r="H29" s="12">
        <v>1.1214999999999999</v>
      </c>
      <c r="I29" s="12">
        <f t="shared" si="2"/>
        <v>44.946131199999996</v>
      </c>
      <c r="J29" s="12">
        <v>0.73999999999999899</v>
      </c>
      <c r="K29" s="12">
        <f t="shared" si="3"/>
        <v>45.686131199999998</v>
      </c>
    </row>
    <row r="30" spans="1:12" ht="12.75" x14ac:dyDescent="0.2">
      <c r="A30" s="12"/>
      <c r="B30" s="12">
        <v>97467047082</v>
      </c>
      <c r="C30" s="12">
        <v>30.42</v>
      </c>
      <c r="D30" s="12">
        <v>0.9</v>
      </c>
      <c r="E30" s="12">
        <f t="shared" si="0"/>
        <v>31.32</v>
      </c>
      <c r="F30" s="12">
        <v>1.24</v>
      </c>
      <c r="G30" s="12">
        <f t="shared" si="1"/>
        <v>38.836799999999997</v>
      </c>
      <c r="H30" s="12">
        <v>1.1214999999999999</v>
      </c>
      <c r="I30" s="12">
        <f t="shared" si="2"/>
        <v>43.555471199999992</v>
      </c>
      <c r="J30" s="12">
        <v>0.73999999999999899</v>
      </c>
      <c r="K30" s="12">
        <f t="shared" si="3"/>
        <v>44.295471199999994</v>
      </c>
    </row>
    <row r="31" spans="1:12" ht="12.75" x14ac:dyDescent="0.2">
      <c r="A31" s="6" t="s">
        <v>1695</v>
      </c>
      <c r="B31" s="6" t="s">
        <v>1696</v>
      </c>
      <c r="C31" s="12">
        <v>23.91</v>
      </c>
      <c r="D31" s="12">
        <v>0.9</v>
      </c>
      <c r="E31" s="12">
        <f t="shared" si="0"/>
        <v>24.81</v>
      </c>
      <c r="F31" s="12">
        <v>1.24</v>
      </c>
      <c r="G31" s="12">
        <f t="shared" si="1"/>
        <v>30.764399999999998</v>
      </c>
      <c r="H31" s="12">
        <v>1.1214999999999999</v>
      </c>
      <c r="I31" s="12">
        <f t="shared" si="2"/>
        <v>34.5022746</v>
      </c>
      <c r="J31" s="12">
        <v>0.73999999999999899</v>
      </c>
      <c r="K31" s="12">
        <f t="shared" si="3"/>
        <v>35.242274600000002</v>
      </c>
    </row>
    <row r="32" spans="1:12" ht="12.75" x14ac:dyDescent="0.2">
      <c r="A32" s="6" t="s">
        <v>1697</v>
      </c>
      <c r="B32" s="6" t="s">
        <v>1698</v>
      </c>
      <c r="C32" s="12">
        <v>13.47</v>
      </c>
      <c r="D32" s="12">
        <v>0.9</v>
      </c>
      <c r="E32" s="12">
        <f t="shared" si="0"/>
        <v>14.370000000000001</v>
      </c>
      <c r="F32" s="12">
        <v>1.24</v>
      </c>
      <c r="G32" s="12">
        <f t="shared" si="1"/>
        <v>17.8188</v>
      </c>
      <c r="H32" s="12">
        <v>1.1214999999999999</v>
      </c>
      <c r="I32" s="12">
        <f t="shared" si="2"/>
        <v>19.983784199999999</v>
      </c>
      <c r="J32" s="12">
        <v>0.73999999999999899</v>
      </c>
      <c r="K32" s="12">
        <f t="shared" si="3"/>
        <v>20.723784199999997</v>
      </c>
    </row>
    <row r="33" spans="1:12" ht="12.75" x14ac:dyDescent="0.2">
      <c r="A33" s="12" t="s">
        <v>1699</v>
      </c>
      <c r="B33" s="12">
        <v>97467336025</v>
      </c>
      <c r="C33" s="12">
        <v>11.8</v>
      </c>
      <c r="D33" s="12">
        <v>0.3</v>
      </c>
      <c r="E33" s="12">
        <f t="shared" si="0"/>
        <v>12.100000000000001</v>
      </c>
      <c r="F33" s="12">
        <v>1.24</v>
      </c>
      <c r="G33" s="12">
        <f t="shared" si="1"/>
        <v>15.004000000000001</v>
      </c>
      <c r="H33" s="12">
        <v>1.1214999999999999</v>
      </c>
      <c r="I33" s="12">
        <f t="shared" si="2"/>
        <v>16.826986000000002</v>
      </c>
      <c r="J33" s="12">
        <v>0.73999999999999899</v>
      </c>
      <c r="K33" s="12">
        <f t="shared" si="3"/>
        <v>17.566986</v>
      </c>
    </row>
    <row r="34" spans="1:12" ht="12.75" x14ac:dyDescent="0.2">
      <c r="A34" s="12" t="s">
        <v>1700</v>
      </c>
      <c r="B34" s="12">
        <v>97467336940</v>
      </c>
      <c r="C34" s="12">
        <v>16.329999999999998</v>
      </c>
      <c r="D34" s="12">
        <v>0.9</v>
      </c>
      <c r="E34" s="12">
        <f t="shared" si="0"/>
        <v>17.229999999999997</v>
      </c>
      <c r="F34" s="12">
        <v>1.24</v>
      </c>
      <c r="G34" s="12">
        <f t="shared" si="1"/>
        <v>21.365199999999994</v>
      </c>
      <c r="H34" s="12">
        <v>1.1214999999999999</v>
      </c>
      <c r="I34" s="12">
        <f t="shared" si="2"/>
        <v>23.961071799999992</v>
      </c>
      <c r="J34" s="12">
        <v>0.73999999999999899</v>
      </c>
      <c r="K34" s="12">
        <f t="shared" si="3"/>
        <v>24.70107179999999</v>
      </c>
      <c r="L34" s="12">
        <v>25.99</v>
      </c>
    </row>
    <row r="35" spans="1:12" ht="12.75" x14ac:dyDescent="0.2">
      <c r="A35" s="12" t="s">
        <v>1701</v>
      </c>
      <c r="B35" s="12">
        <v>807205116365</v>
      </c>
      <c r="C35" s="12">
        <v>16.8</v>
      </c>
      <c r="D35" s="12">
        <v>0.7</v>
      </c>
      <c r="E35" s="12">
        <f t="shared" si="0"/>
        <v>17.5</v>
      </c>
      <c r="F35" s="12">
        <v>1.24</v>
      </c>
      <c r="G35" s="12">
        <f t="shared" si="1"/>
        <v>21.7</v>
      </c>
      <c r="H35" s="12">
        <v>1.1214999999999999</v>
      </c>
      <c r="I35" s="12">
        <f t="shared" si="2"/>
        <v>24.336549999999999</v>
      </c>
      <c r="J35" s="12">
        <v>0.73999999999999899</v>
      </c>
      <c r="K35" s="12">
        <f t="shared" si="3"/>
        <v>25.076549999999997</v>
      </c>
      <c r="L35" s="12">
        <v>24.07</v>
      </c>
    </row>
    <row r="36" spans="1:12" ht="12.75" x14ac:dyDescent="0.2">
      <c r="A36" s="6" t="s">
        <v>1702</v>
      </c>
      <c r="B36" s="6" t="s">
        <v>1703</v>
      </c>
      <c r="C36" s="12">
        <v>14.18</v>
      </c>
      <c r="D36" s="12">
        <v>0.9</v>
      </c>
      <c r="E36" s="12">
        <f t="shared" si="0"/>
        <v>15.08</v>
      </c>
      <c r="F36" s="12">
        <v>1.24</v>
      </c>
      <c r="G36" s="12">
        <f t="shared" si="1"/>
        <v>18.699200000000001</v>
      </c>
      <c r="H36" s="12">
        <v>1.1214999999999999</v>
      </c>
      <c r="I36" s="12">
        <f t="shared" si="2"/>
        <v>20.971152799999999</v>
      </c>
      <c r="J36" s="12">
        <v>0.73999999999999899</v>
      </c>
      <c r="K36" s="12">
        <f t="shared" si="3"/>
        <v>21.711152799999997</v>
      </c>
    </row>
    <row r="37" spans="1:12" ht="12.75" x14ac:dyDescent="0.2">
      <c r="A37" s="6"/>
      <c r="B37" s="6"/>
      <c r="C37" s="12">
        <v>15.51</v>
      </c>
      <c r="D37" s="12">
        <v>0.9</v>
      </c>
      <c r="E37" s="12">
        <f t="shared" si="0"/>
        <v>16.41</v>
      </c>
      <c r="F37" s="12">
        <v>1.24</v>
      </c>
      <c r="G37" s="12">
        <f t="shared" si="1"/>
        <v>20.348400000000002</v>
      </c>
      <c r="H37" s="12">
        <v>1.1214999999999999</v>
      </c>
      <c r="I37" s="12">
        <f t="shared" si="2"/>
        <v>22.820730600000001</v>
      </c>
      <c r="J37" s="12">
        <v>0.73999999999999899</v>
      </c>
      <c r="K37" s="12">
        <f t="shared" si="3"/>
        <v>23.560730599999999</v>
      </c>
    </row>
    <row r="38" spans="1:12" ht="12.75" x14ac:dyDescent="0.2">
      <c r="A38" s="6" t="s">
        <v>1704</v>
      </c>
      <c r="B38" s="6" t="s">
        <v>1705</v>
      </c>
      <c r="C38" s="12">
        <v>15.8</v>
      </c>
      <c r="D38" s="12">
        <v>0.9</v>
      </c>
      <c r="E38" s="12">
        <f t="shared" si="0"/>
        <v>16.7</v>
      </c>
      <c r="F38" s="12">
        <v>1.24</v>
      </c>
      <c r="G38" s="12">
        <f t="shared" si="1"/>
        <v>20.707999999999998</v>
      </c>
      <c r="H38" s="12">
        <v>1.1214999999999999</v>
      </c>
      <c r="I38" s="12">
        <f t="shared" si="2"/>
        <v>23.224021999999998</v>
      </c>
      <c r="J38" s="12">
        <v>0.73999999999999899</v>
      </c>
      <c r="K38" s="12">
        <f t="shared" si="3"/>
        <v>23.964021999999996</v>
      </c>
    </row>
    <row r="39" spans="1:12" ht="12.75" x14ac:dyDescent="0.2">
      <c r="A39" s="6" t="s">
        <v>1706</v>
      </c>
      <c r="B39" s="6" t="s">
        <v>1707</v>
      </c>
      <c r="C39" s="12">
        <v>16.88</v>
      </c>
      <c r="D39" s="12">
        <v>0.9</v>
      </c>
      <c r="E39" s="12">
        <f t="shared" si="0"/>
        <v>17.779999999999998</v>
      </c>
      <c r="F39" s="12">
        <v>1.24</v>
      </c>
      <c r="G39" s="12">
        <f t="shared" si="1"/>
        <v>22.047199999999997</v>
      </c>
      <c r="H39" s="12">
        <v>1.1214999999999999</v>
      </c>
      <c r="I39" s="12">
        <f t="shared" si="2"/>
        <v>24.725934799999994</v>
      </c>
      <c r="J39" s="12">
        <v>0.73999999999999899</v>
      </c>
      <c r="K39" s="12">
        <f t="shared" si="3"/>
        <v>25.465934799999992</v>
      </c>
      <c r="L39" s="12">
        <v>25.99</v>
      </c>
    </row>
    <row r="40" spans="1:12" ht="12.75" x14ac:dyDescent="0.2">
      <c r="A40" s="6" t="s">
        <v>1708</v>
      </c>
      <c r="B40" s="6" t="s">
        <v>1709</v>
      </c>
      <c r="C40" s="12">
        <v>16.7</v>
      </c>
      <c r="D40" s="12">
        <v>0.9</v>
      </c>
      <c r="E40" s="12">
        <f t="shared" si="0"/>
        <v>17.599999999999998</v>
      </c>
      <c r="F40" s="12">
        <v>1.24</v>
      </c>
      <c r="G40" s="12">
        <f t="shared" si="1"/>
        <v>21.823999999999998</v>
      </c>
      <c r="H40" s="12">
        <v>1.1214999999999999</v>
      </c>
      <c r="I40" s="12">
        <f t="shared" si="2"/>
        <v>24.475615999999995</v>
      </c>
      <c r="J40" s="12">
        <v>0.73999999999999899</v>
      </c>
      <c r="K40" s="12">
        <f t="shared" si="3"/>
        <v>25.215615999999994</v>
      </c>
    </row>
    <row r="41" spans="1:12" ht="12.75" x14ac:dyDescent="0.2">
      <c r="A41" s="6" t="s">
        <v>1710</v>
      </c>
      <c r="B41" s="6">
        <v>5060003593027</v>
      </c>
      <c r="C41" s="12">
        <v>13.65</v>
      </c>
      <c r="D41" s="12">
        <v>0.9</v>
      </c>
      <c r="E41" s="12">
        <f t="shared" si="0"/>
        <v>14.55</v>
      </c>
      <c r="F41" s="12">
        <v>1.24</v>
      </c>
      <c r="G41" s="12">
        <f t="shared" si="1"/>
        <v>18.042000000000002</v>
      </c>
      <c r="H41" s="12">
        <v>1.1214999999999999</v>
      </c>
      <c r="I41" s="12">
        <f t="shared" si="2"/>
        <v>20.234103000000001</v>
      </c>
      <c r="J41" s="12">
        <v>0.73999999999999899</v>
      </c>
      <c r="K41" s="12">
        <f t="shared" si="3"/>
        <v>20.974102999999999</v>
      </c>
      <c r="L41" s="12">
        <v>20.48</v>
      </c>
    </row>
    <row r="42" spans="1:12" ht="12.75" x14ac:dyDescent="0.2">
      <c r="A42" s="12" t="s">
        <v>1711</v>
      </c>
      <c r="B42" s="12">
        <v>97467299276</v>
      </c>
      <c r="C42" s="12">
        <v>16.55</v>
      </c>
      <c r="D42" s="12">
        <v>0.9</v>
      </c>
      <c r="E42" s="12">
        <f t="shared" si="0"/>
        <v>17.45</v>
      </c>
      <c r="F42" s="12">
        <v>1.24</v>
      </c>
      <c r="G42" s="12">
        <f t="shared" si="1"/>
        <v>21.637999999999998</v>
      </c>
      <c r="H42" s="12">
        <v>1.1214999999999999</v>
      </c>
      <c r="I42" s="12">
        <f t="shared" si="2"/>
        <v>24.267016999999996</v>
      </c>
      <c r="J42" s="12">
        <v>0.73999999999999899</v>
      </c>
      <c r="K42" s="12">
        <f t="shared" si="3"/>
        <v>25.007016999999994</v>
      </c>
    </row>
    <row r="43" spans="1:12" ht="12.75" x14ac:dyDescent="0.2">
      <c r="A43" s="12" t="s">
        <v>1712</v>
      </c>
      <c r="B43" s="12">
        <v>5204217971879</v>
      </c>
      <c r="C43" s="12">
        <v>30.69</v>
      </c>
      <c r="D43" s="12">
        <v>1.3</v>
      </c>
      <c r="E43" s="12">
        <f t="shared" si="0"/>
        <v>31.990000000000002</v>
      </c>
      <c r="F43" s="12">
        <v>1.24</v>
      </c>
      <c r="G43" s="12">
        <f t="shared" si="1"/>
        <v>39.6676</v>
      </c>
      <c r="H43" s="12">
        <v>1.1214999999999999</v>
      </c>
      <c r="I43" s="12">
        <f t="shared" si="2"/>
        <v>44.487213399999995</v>
      </c>
      <c r="J43" s="12">
        <v>1.49</v>
      </c>
      <c r="K43" s="12">
        <f t="shared" si="3"/>
        <v>45.977213399999997</v>
      </c>
    </row>
    <row r="44" spans="1:12" ht="12.75" x14ac:dyDescent="0.2">
      <c r="A44" s="6" t="s">
        <v>1713</v>
      </c>
      <c r="B44" s="6" t="s">
        <v>1714</v>
      </c>
      <c r="C44" s="12">
        <v>19.2</v>
      </c>
      <c r="D44" s="12">
        <v>1.3</v>
      </c>
      <c r="E44" s="12">
        <f t="shared" si="0"/>
        <v>20.5</v>
      </c>
      <c r="F44" s="12">
        <v>1.24</v>
      </c>
      <c r="G44" s="12">
        <f t="shared" si="1"/>
        <v>25.419999999999998</v>
      </c>
      <c r="H44" s="12">
        <v>1.1214999999999999</v>
      </c>
      <c r="I44" s="12">
        <f t="shared" si="2"/>
        <v>28.508529999999997</v>
      </c>
      <c r="J44" s="12">
        <v>0.73999999999999899</v>
      </c>
      <c r="K44" s="12">
        <f t="shared" si="3"/>
        <v>29.248529999999995</v>
      </c>
    </row>
    <row r="45" spans="1:12" ht="12.75" x14ac:dyDescent="0.2">
      <c r="A45" s="6" t="s">
        <v>1672</v>
      </c>
      <c r="B45" s="6" t="s">
        <v>1715</v>
      </c>
      <c r="C45" s="12">
        <v>29.54</v>
      </c>
      <c r="D45" s="12">
        <v>0.9</v>
      </c>
      <c r="E45" s="12">
        <f t="shared" si="0"/>
        <v>30.439999999999998</v>
      </c>
      <c r="F45" s="12">
        <v>1.24</v>
      </c>
      <c r="G45" s="12">
        <f t="shared" si="1"/>
        <v>37.745599999999996</v>
      </c>
      <c r="H45" s="12">
        <v>1.1214999999999999</v>
      </c>
      <c r="I45" s="12">
        <f t="shared" si="2"/>
        <v>42.331690399999992</v>
      </c>
      <c r="J45" s="12">
        <v>1.49</v>
      </c>
      <c r="K45" s="12">
        <f t="shared" si="3"/>
        <v>43.821690399999994</v>
      </c>
      <c r="L45" s="12">
        <v>45.38</v>
      </c>
    </row>
    <row r="46" spans="1:12" ht="12.75" x14ac:dyDescent="0.2">
      <c r="A46" s="6" t="s">
        <v>1716</v>
      </c>
      <c r="B46" s="6" t="s">
        <v>1717</v>
      </c>
      <c r="C46" s="12">
        <v>33.43</v>
      </c>
      <c r="D46" s="12">
        <v>0.9</v>
      </c>
      <c r="E46" s="12">
        <f t="shared" si="0"/>
        <v>34.33</v>
      </c>
      <c r="F46" s="12">
        <v>1.24</v>
      </c>
      <c r="G46" s="12">
        <f t="shared" si="1"/>
        <v>42.569199999999995</v>
      </c>
      <c r="H46" s="12">
        <v>1.1214999999999999</v>
      </c>
      <c r="I46" s="12">
        <f t="shared" si="2"/>
        <v>47.741357799999989</v>
      </c>
      <c r="J46" s="12">
        <v>0.73999999999999899</v>
      </c>
      <c r="K46" s="12">
        <f t="shared" si="3"/>
        <v>48.481357799999991</v>
      </c>
      <c r="L46" s="12">
        <v>50.74</v>
      </c>
    </row>
    <row r="47" spans="1:12" ht="12.75" x14ac:dyDescent="0.2">
      <c r="A47" s="12" t="s">
        <v>1718</v>
      </c>
      <c r="B47" s="12">
        <v>5060003593546</v>
      </c>
      <c r="C47" s="12">
        <v>18.53</v>
      </c>
      <c r="D47" s="12">
        <v>0.9</v>
      </c>
      <c r="E47" s="12">
        <f t="shared" si="0"/>
        <v>19.43</v>
      </c>
      <c r="F47" s="12">
        <v>1.24</v>
      </c>
      <c r="G47" s="12">
        <f t="shared" si="1"/>
        <v>24.0932</v>
      </c>
      <c r="H47" s="12">
        <v>1.1214999999999999</v>
      </c>
      <c r="I47" s="12">
        <f t="shared" si="2"/>
        <v>27.020523799999999</v>
      </c>
      <c r="J47" s="12">
        <v>0.73999999999999899</v>
      </c>
      <c r="K47" s="12">
        <f t="shared" si="3"/>
        <v>27.760523799999998</v>
      </c>
    </row>
    <row r="48" spans="1:12" ht="12.75" x14ac:dyDescent="0.2">
      <c r="A48" s="6" t="s">
        <v>1719</v>
      </c>
      <c r="B48" s="6" t="s">
        <v>1720</v>
      </c>
      <c r="C48" s="12">
        <v>0</v>
      </c>
      <c r="D48" s="12">
        <v>0.9</v>
      </c>
      <c r="E48" s="12">
        <f t="shared" si="0"/>
        <v>0.9</v>
      </c>
      <c r="F48" s="12">
        <v>1.24</v>
      </c>
      <c r="G48" s="12">
        <f t="shared" si="1"/>
        <v>1.1160000000000001</v>
      </c>
      <c r="H48" s="12">
        <v>1.1214999999999999</v>
      </c>
      <c r="I48" s="12">
        <f t="shared" si="2"/>
        <v>1.2515940000000001</v>
      </c>
      <c r="J48" s="12">
        <v>0.73999999999999899</v>
      </c>
      <c r="K48" s="12">
        <f t="shared" si="3"/>
        <v>1.9915939999999992</v>
      </c>
      <c r="L48" s="12">
        <v>48.99</v>
      </c>
    </row>
    <row r="49" spans="1:12" ht="12.75" x14ac:dyDescent="0.2">
      <c r="A49" s="6" t="s">
        <v>1721</v>
      </c>
      <c r="B49" s="6" t="s">
        <v>1722</v>
      </c>
      <c r="C49" s="12">
        <v>0</v>
      </c>
      <c r="D49" s="12">
        <v>0.9</v>
      </c>
      <c r="E49" s="12">
        <f t="shared" si="0"/>
        <v>0.9</v>
      </c>
      <c r="F49" s="12">
        <v>1.24</v>
      </c>
      <c r="G49" s="12">
        <f t="shared" si="1"/>
        <v>1.1160000000000001</v>
      </c>
      <c r="H49" s="12">
        <v>1.1214999999999999</v>
      </c>
      <c r="I49" s="12">
        <f t="shared" si="2"/>
        <v>1.2515940000000001</v>
      </c>
      <c r="J49" s="12">
        <v>0.73999999999999899</v>
      </c>
      <c r="K49" s="12">
        <f t="shared" si="3"/>
        <v>1.9915939999999992</v>
      </c>
      <c r="L49" s="12">
        <v>16.14</v>
      </c>
    </row>
    <row r="50" spans="1:12" ht="12.75" x14ac:dyDescent="0.2">
      <c r="A50" s="6" t="s">
        <v>1723</v>
      </c>
      <c r="B50" s="6" t="s">
        <v>1724</v>
      </c>
      <c r="C50" s="12">
        <v>28.29</v>
      </c>
      <c r="D50" s="12">
        <v>0.9</v>
      </c>
      <c r="E50" s="12">
        <f t="shared" si="0"/>
        <v>29.189999999999998</v>
      </c>
      <c r="F50" s="12">
        <v>1.24</v>
      </c>
      <c r="G50" s="12">
        <f t="shared" si="1"/>
        <v>36.195599999999999</v>
      </c>
      <c r="H50" s="12">
        <v>1.1214999999999999</v>
      </c>
      <c r="I50" s="12">
        <f t="shared" si="2"/>
        <v>40.593365399999996</v>
      </c>
      <c r="J50" s="12">
        <v>0.73999999999999899</v>
      </c>
      <c r="K50" s="12">
        <f t="shared" si="3"/>
        <v>41.333365399999998</v>
      </c>
      <c r="L50" s="12">
        <v>43.6</v>
      </c>
    </row>
    <row r="51" spans="1:12" ht="12.75" x14ac:dyDescent="0.2">
      <c r="A51" s="6" t="s">
        <v>1725</v>
      </c>
      <c r="B51" s="6" t="s">
        <v>1726</v>
      </c>
      <c r="C51" s="12">
        <v>23.94</v>
      </c>
      <c r="D51" s="12">
        <v>0.9</v>
      </c>
      <c r="E51" s="12">
        <f t="shared" si="0"/>
        <v>24.84</v>
      </c>
      <c r="F51" s="12">
        <v>1.24</v>
      </c>
      <c r="G51" s="12">
        <f t="shared" si="1"/>
        <v>30.801600000000001</v>
      </c>
      <c r="H51" s="12">
        <v>1.1214999999999999</v>
      </c>
      <c r="I51" s="12">
        <f t="shared" si="2"/>
        <v>34.543994399999995</v>
      </c>
      <c r="J51" s="12">
        <v>0.73999999999999899</v>
      </c>
      <c r="K51" s="12">
        <f t="shared" si="3"/>
        <v>35.283994399999997</v>
      </c>
      <c r="L51" s="12">
        <v>37.42</v>
      </c>
    </row>
    <row r="52" spans="1:12" ht="12.75" x14ac:dyDescent="0.2">
      <c r="C52" s="12">
        <v>0</v>
      </c>
      <c r="D52" s="12">
        <v>0.9</v>
      </c>
      <c r="E52" s="12">
        <f t="shared" si="0"/>
        <v>0.9</v>
      </c>
      <c r="F52" s="12">
        <v>1.24</v>
      </c>
      <c r="G52" s="12">
        <f t="shared" si="1"/>
        <v>1.1160000000000001</v>
      </c>
      <c r="H52" s="12">
        <v>1.1214999999999999</v>
      </c>
      <c r="I52" s="12">
        <f t="shared" si="2"/>
        <v>1.2515940000000001</v>
      </c>
      <c r="J52" s="12">
        <v>0.73999999999999899</v>
      </c>
      <c r="K52" s="12">
        <f t="shared" si="3"/>
        <v>1.9915939999999992</v>
      </c>
    </row>
    <row r="53" spans="1:12" ht="12.75" x14ac:dyDescent="0.2">
      <c r="C53" s="12">
        <v>0</v>
      </c>
      <c r="D53" s="12">
        <v>0.9</v>
      </c>
      <c r="E53" s="12">
        <f t="shared" si="0"/>
        <v>0.9</v>
      </c>
      <c r="F53" s="12">
        <v>1.24</v>
      </c>
      <c r="G53" s="12">
        <f t="shared" si="1"/>
        <v>1.1160000000000001</v>
      </c>
      <c r="H53" s="12">
        <v>1.1214999999999999</v>
      </c>
      <c r="I53" s="12">
        <f t="shared" si="2"/>
        <v>1.2515940000000001</v>
      </c>
      <c r="J53" s="12">
        <v>0.73999999999999899</v>
      </c>
      <c r="K53" s="12">
        <f t="shared" si="3"/>
        <v>1.9915939999999992</v>
      </c>
    </row>
    <row r="54" spans="1:12" ht="12.75" x14ac:dyDescent="0.2">
      <c r="C54" s="12">
        <v>0</v>
      </c>
      <c r="D54" s="12">
        <v>0.9</v>
      </c>
      <c r="E54" s="12">
        <f t="shared" si="0"/>
        <v>0.9</v>
      </c>
      <c r="F54" s="12">
        <v>1.24</v>
      </c>
      <c r="G54" s="12">
        <f t="shared" si="1"/>
        <v>1.1160000000000001</v>
      </c>
      <c r="H54" s="12">
        <v>1.1214999999999999</v>
      </c>
      <c r="I54" s="12">
        <f t="shared" si="2"/>
        <v>1.2515940000000001</v>
      </c>
      <c r="J54" s="12">
        <v>0.73999999999999899</v>
      </c>
      <c r="K54" s="12">
        <f t="shared" si="3"/>
        <v>1.9915939999999992</v>
      </c>
    </row>
    <row r="55" spans="1:12" ht="12.75" x14ac:dyDescent="0.2">
      <c r="C55" s="12">
        <v>0</v>
      </c>
      <c r="D55" s="12">
        <v>0.9</v>
      </c>
      <c r="E55" s="12">
        <f t="shared" si="0"/>
        <v>0.9</v>
      </c>
      <c r="F55" s="12">
        <v>1.24</v>
      </c>
      <c r="G55" s="12">
        <f t="shared" si="1"/>
        <v>1.1160000000000001</v>
      </c>
      <c r="H55" s="12">
        <v>1.1214999999999999</v>
      </c>
      <c r="I55" s="12">
        <f t="shared" si="2"/>
        <v>1.2515940000000001</v>
      </c>
      <c r="J55" s="12">
        <v>0.73999999999999899</v>
      </c>
      <c r="K55" s="12">
        <f t="shared" si="3"/>
        <v>1.9915939999999992</v>
      </c>
    </row>
    <row r="56" spans="1:12" ht="12.75" x14ac:dyDescent="0.2">
      <c r="C56" s="12">
        <v>0</v>
      </c>
      <c r="D56" s="12">
        <v>0.9</v>
      </c>
      <c r="E56" s="12">
        <f t="shared" si="0"/>
        <v>0.9</v>
      </c>
      <c r="F56" s="12">
        <v>1.24</v>
      </c>
      <c r="G56" s="12">
        <f t="shared" si="1"/>
        <v>1.1160000000000001</v>
      </c>
      <c r="H56" s="12">
        <v>1.1214999999999999</v>
      </c>
      <c r="I56" s="12">
        <f t="shared" si="2"/>
        <v>1.2515940000000001</v>
      </c>
      <c r="J56" s="12">
        <v>0.73999999999999899</v>
      </c>
      <c r="K56" s="12">
        <f t="shared" si="3"/>
        <v>1.9915939999999992</v>
      </c>
    </row>
    <row r="57" spans="1:12" ht="12.75" x14ac:dyDescent="0.2">
      <c r="C57" s="12">
        <v>0</v>
      </c>
      <c r="D57" s="12">
        <v>0.9</v>
      </c>
      <c r="E57" s="12">
        <f t="shared" si="0"/>
        <v>0.9</v>
      </c>
      <c r="F57" s="12">
        <v>1.24</v>
      </c>
      <c r="G57" s="12">
        <f t="shared" si="1"/>
        <v>1.1160000000000001</v>
      </c>
      <c r="H57" s="12">
        <v>1.1214999999999999</v>
      </c>
      <c r="I57" s="12">
        <f t="shared" si="2"/>
        <v>1.2515940000000001</v>
      </c>
      <c r="J57" s="12">
        <v>0.73999999999999899</v>
      </c>
      <c r="K57" s="12">
        <f t="shared" si="3"/>
        <v>1.9915939999999992</v>
      </c>
    </row>
    <row r="58" spans="1:12" ht="12.75" x14ac:dyDescent="0.2">
      <c r="C58" s="12">
        <v>0</v>
      </c>
      <c r="D58" s="12">
        <v>0.9</v>
      </c>
      <c r="E58" s="12">
        <f t="shared" si="0"/>
        <v>0.9</v>
      </c>
      <c r="F58" s="12">
        <v>1.24</v>
      </c>
      <c r="G58" s="12">
        <f t="shared" si="1"/>
        <v>1.1160000000000001</v>
      </c>
      <c r="H58" s="12">
        <v>1.1214999999999999</v>
      </c>
      <c r="I58" s="12">
        <f t="shared" si="2"/>
        <v>1.2515940000000001</v>
      </c>
      <c r="J58" s="12">
        <v>0.73999999999999899</v>
      </c>
      <c r="K58" s="12">
        <f t="shared" si="3"/>
        <v>1.9915939999999992</v>
      </c>
    </row>
    <row r="59" spans="1:12" ht="12.75" x14ac:dyDescent="0.2">
      <c r="C59" s="12">
        <v>0</v>
      </c>
      <c r="D59" s="12">
        <v>0.9</v>
      </c>
      <c r="E59" s="12">
        <f t="shared" si="0"/>
        <v>0.9</v>
      </c>
      <c r="F59" s="12">
        <v>1.24</v>
      </c>
      <c r="G59" s="12">
        <f t="shared" si="1"/>
        <v>1.1160000000000001</v>
      </c>
      <c r="H59" s="12">
        <v>1.1214999999999999</v>
      </c>
      <c r="I59" s="12">
        <f t="shared" si="2"/>
        <v>1.2515940000000001</v>
      </c>
      <c r="J59" s="12">
        <v>0.73999999999999899</v>
      </c>
      <c r="K59" s="12">
        <f t="shared" si="3"/>
        <v>1.9915939999999992</v>
      </c>
    </row>
    <row r="60" spans="1:12" ht="12.75" x14ac:dyDescent="0.2">
      <c r="C60" s="12">
        <v>0</v>
      </c>
      <c r="D60" s="12">
        <v>0.9</v>
      </c>
      <c r="E60" s="12">
        <f t="shared" si="0"/>
        <v>0.9</v>
      </c>
      <c r="F60" s="12">
        <v>1.24</v>
      </c>
      <c r="G60" s="12">
        <f t="shared" si="1"/>
        <v>1.1160000000000001</v>
      </c>
      <c r="H60" s="12">
        <v>1.1214999999999999</v>
      </c>
      <c r="I60" s="12">
        <f t="shared" si="2"/>
        <v>1.2515940000000001</v>
      </c>
      <c r="J60" s="12">
        <v>0.73999999999999899</v>
      </c>
      <c r="K60" s="12">
        <f t="shared" si="3"/>
        <v>1.9915939999999992</v>
      </c>
    </row>
  </sheetData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4"/>
  <sheetViews>
    <sheetView workbookViewId="0"/>
  </sheetViews>
  <sheetFormatPr defaultColWidth="12.5703125" defaultRowHeight="15.75" customHeight="1" x14ac:dyDescent="0.2"/>
  <cols>
    <col min="1" max="1" width="26.140625" customWidth="1"/>
  </cols>
  <sheetData>
    <row r="1" spans="1:12" ht="15.75" customHeight="1" x14ac:dyDescent="0.25">
      <c r="C1" s="7" t="s">
        <v>314</v>
      </c>
      <c r="D1" s="7" t="s">
        <v>315</v>
      </c>
      <c r="E1" s="7" t="s">
        <v>316</v>
      </c>
      <c r="F1" s="7" t="s">
        <v>317</v>
      </c>
      <c r="G1" s="7" t="s">
        <v>318</v>
      </c>
      <c r="H1" s="7" t="s">
        <v>319</v>
      </c>
      <c r="I1" s="8" t="s">
        <v>320</v>
      </c>
      <c r="J1" s="7" t="s">
        <v>321</v>
      </c>
      <c r="K1" s="7" t="s">
        <v>322</v>
      </c>
      <c r="L1" s="7" t="s">
        <v>323</v>
      </c>
    </row>
    <row r="2" spans="1:12" ht="15.75" customHeight="1" x14ac:dyDescent="0.25">
      <c r="A2" s="6" t="s">
        <v>324</v>
      </c>
      <c r="B2" s="6" t="s">
        <v>325</v>
      </c>
      <c r="C2" s="9">
        <v>8</v>
      </c>
      <c r="D2" s="9">
        <v>0.9</v>
      </c>
      <c r="E2" s="9">
        <v>0.7</v>
      </c>
      <c r="F2" s="9">
        <v>8.1999999999999993</v>
      </c>
      <c r="G2" s="9">
        <v>24</v>
      </c>
      <c r="H2" s="9">
        <f t="shared" ref="H2:H24" si="0">C2+D2+E2</f>
        <v>9.6</v>
      </c>
      <c r="I2" s="10">
        <f t="shared" ref="I2:I24" si="1">H2 / (1 - F2/100 - (1 - 1/(1 + G2/100)))</f>
        <v>13.251402618220677</v>
      </c>
      <c r="J2" s="9">
        <f t="shared" ref="J2:J24" si="2">I2 * F2 / 100</f>
        <v>1.0866150146940954</v>
      </c>
      <c r="K2" s="9">
        <f t="shared" ref="K2:K24" si="3">I2 - (I2 / (1 + G2/100))</f>
        <v>2.5647876035265824</v>
      </c>
      <c r="L2" s="9">
        <f t="shared" ref="L2:L24" si="4">I2 - J2 - K2</f>
        <v>9.6</v>
      </c>
    </row>
    <row r="3" spans="1:12" ht="15.75" customHeight="1" x14ac:dyDescent="0.25">
      <c r="A3" s="6" t="s">
        <v>326</v>
      </c>
      <c r="B3" s="6" t="s">
        <v>327</v>
      </c>
      <c r="C3" s="11">
        <v>7.25</v>
      </c>
      <c r="D3" s="11">
        <v>0.9</v>
      </c>
      <c r="E3" s="11">
        <v>0.7</v>
      </c>
      <c r="F3" s="11">
        <v>8.1999999999999993</v>
      </c>
      <c r="G3" s="11">
        <v>24</v>
      </c>
      <c r="H3" s="11">
        <f t="shared" si="0"/>
        <v>8.85</v>
      </c>
      <c r="I3" s="10">
        <f t="shared" si="1"/>
        <v>12.216136788672186</v>
      </c>
      <c r="J3" s="11">
        <f t="shared" si="2"/>
        <v>1.0017232166711192</v>
      </c>
      <c r="K3" s="11">
        <f t="shared" si="3"/>
        <v>2.3644135720010677</v>
      </c>
      <c r="L3" s="11">
        <f t="shared" si="4"/>
        <v>8.85</v>
      </c>
    </row>
    <row r="4" spans="1:12" ht="15.75" customHeight="1" x14ac:dyDescent="0.25">
      <c r="A4" s="6" t="s">
        <v>328</v>
      </c>
      <c r="B4" s="6" t="s">
        <v>329</v>
      </c>
      <c r="C4" s="9">
        <v>25.72</v>
      </c>
      <c r="D4" s="9">
        <v>0.9</v>
      </c>
      <c r="E4" s="9">
        <v>0.7</v>
      </c>
      <c r="F4" s="9">
        <v>8.1999999999999993</v>
      </c>
      <c r="G4" s="9">
        <v>24</v>
      </c>
      <c r="H4" s="9">
        <f t="shared" si="0"/>
        <v>27.319999999999997</v>
      </c>
      <c r="I4" s="10">
        <f t="shared" si="1"/>
        <v>37.711283284353001</v>
      </c>
      <c r="J4" s="9">
        <f t="shared" si="2"/>
        <v>3.0923252293169456</v>
      </c>
      <c r="K4" s="9">
        <f t="shared" si="3"/>
        <v>7.2989580550360635</v>
      </c>
      <c r="L4" s="9">
        <f t="shared" si="4"/>
        <v>27.31999999999999</v>
      </c>
    </row>
    <row r="5" spans="1:12" ht="15.75" customHeight="1" x14ac:dyDescent="0.25">
      <c r="A5" s="6" t="s">
        <v>330</v>
      </c>
      <c r="B5" s="6" t="s">
        <v>331</v>
      </c>
      <c r="C5" s="11">
        <v>10.91</v>
      </c>
      <c r="D5" s="11">
        <v>0.9</v>
      </c>
      <c r="E5" s="11">
        <v>0.7</v>
      </c>
      <c r="F5" s="11">
        <v>8.1999999999999993</v>
      </c>
      <c r="G5" s="11">
        <v>24</v>
      </c>
      <c r="H5" s="11">
        <f t="shared" si="0"/>
        <v>12.51</v>
      </c>
      <c r="I5" s="10">
        <f t="shared" si="1"/>
        <v>17.268234036868819</v>
      </c>
      <c r="J5" s="11">
        <f t="shared" si="2"/>
        <v>1.4159951910232431</v>
      </c>
      <c r="K5" s="11">
        <f t="shared" si="3"/>
        <v>3.3422388458455785</v>
      </c>
      <c r="L5" s="11">
        <f t="shared" si="4"/>
        <v>12.509999999999998</v>
      </c>
    </row>
    <row r="6" spans="1:12" ht="15.75" customHeight="1" x14ac:dyDescent="0.25">
      <c r="A6" s="6" t="s">
        <v>332</v>
      </c>
      <c r="B6" s="6" t="s">
        <v>333</v>
      </c>
      <c r="C6" s="9">
        <v>11.57</v>
      </c>
      <c r="D6" s="9">
        <v>0.9</v>
      </c>
      <c r="E6" s="9">
        <v>0.7</v>
      </c>
      <c r="F6" s="9">
        <v>8.1999999999999993</v>
      </c>
      <c r="G6" s="9">
        <v>24</v>
      </c>
      <c r="H6" s="9">
        <f t="shared" si="0"/>
        <v>13.17</v>
      </c>
      <c r="I6" s="10">
        <f t="shared" si="1"/>
        <v>18.179267966871492</v>
      </c>
      <c r="J6" s="9">
        <f t="shared" si="2"/>
        <v>1.4906999732834623</v>
      </c>
      <c r="K6" s="9">
        <f t="shared" si="3"/>
        <v>3.5185679935880305</v>
      </c>
      <c r="L6" s="9">
        <f t="shared" si="4"/>
        <v>13.17</v>
      </c>
    </row>
    <row r="7" spans="1:12" ht="15.75" customHeight="1" x14ac:dyDescent="0.25">
      <c r="A7" s="6" t="s">
        <v>334</v>
      </c>
      <c r="B7" s="6" t="s">
        <v>335</v>
      </c>
      <c r="C7" s="11">
        <v>7.54</v>
      </c>
      <c r="D7" s="11">
        <v>0.9</v>
      </c>
      <c r="E7" s="11">
        <v>0.7</v>
      </c>
      <c r="F7" s="11">
        <v>8.1999999999999993</v>
      </c>
      <c r="G7" s="11">
        <v>24</v>
      </c>
      <c r="H7" s="11">
        <f t="shared" si="0"/>
        <v>9.1399999999999988</v>
      </c>
      <c r="I7" s="10">
        <f t="shared" si="1"/>
        <v>12.616439576097601</v>
      </c>
      <c r="J7" s="11">
        <f t="shared" si="2"/>
        <v>1.0345480452400033</v>
      </c>
      <c r="K7" s="11">
        <f t="shared" si="3"/>
        <v>2.4418915308575997</v>
      </c>
      <c r="L7" s="11">
        <f t="shared" si="4"/>
        <v>9.1399999999999988</v>
      </c>
    </row>
    <row r="8" spans="1:12" ht="15.75" customHeight="1" x14ac:dyDescent="0.25">
      <c r="C8" s="11">
        <v>23.92</v>
      </c>
      <c r="D8" s="11">
        <v>0.9</v>
      </c>
      <c r="E8" s="11">
        <v>0.7</v>
      </c>
      <c r="F8" s="11">
        <v>8.1999999999999993</v>
      </c>
      <c r="G8" s="11">
        <v>24</v>
      </c>
      <c r="H8" s="11">
        <f t="shared" si="0"/>
        <v>25.52</v>
      </c>
      <c r="I8" s="10">
        <f t="shared" si="1"/>
        <v>35.226645293436633</v>
      </c>
      <c r="J8" s="11">
        <f t="shared" si="2"/>
        <v>2.8885849140618034</v>
      </c>
      <c r="K8" s="11">
        <f t="shared" si="3"/>
        <v>6.8180603793748311</v>
      </c>
      <c r="L8" s="11">
        <f t="shared" si="4"/>
        <v>25.52</v>
      </c>
    </row>
    <row r="9" spans="1:12" ht="15.75" customHeight="1" x14ac:dyDescent="0.25">
      <c r="C9" s="11">
        <v>23.92</v>
      </c>
      <c r="D9" s="11">
        <v>0.9</v>
      </c>
      <c r="E9" s="11">
        <v>0.7</v>
      </c>
      <c r="F9" s="11">
        <v>8.1999999999999993</v>
      </c>
      <c r="G9" s="11">
        <v>24</v>
      </c>
      <c r="H9" s="11">
        <f t="shared" si="0"/>
        <v>25.52</v>
      </c>
      <c r="I9" s="10">
        <f t="shared" si="1"/>
        <v>35.226645293436633</v>
      </c>
      <c r="J9" s="11">
        <f t="shared" si="2"/>
        <v>2.8885849140618034</v>
      </c>
      <c r="K9" s="11">
        <f t="shared" si="3"/>
        <v>6.8180603793748311</v>
      </c>
      <c r="L9" s="11">
        <f t="shared" si="4"/>
        <v>25.52</v>
      </c>
    </row>
    <row r="10" spans="1:12" ht="15.75" customHeight="1" x14ac:dyDescent="0.25">
      <c r="C10" s="11">
        <v>23.92</v>
      </c>
      <c r="D10" s="11">
        <v>0.9</v>
      </c>
      <c r="E10" s="11">
        <v>0.7</v>
      </c>
      <c r="F10" s="11">
        <v>8.1999999999999993</v>
      </c>
      <c r="G10" s="11">
        <v>24</v>
      </c>
      <c r="H10" s="11">
        <f t="shared" si="0"/>
        <v>25.52</v>
      </c>
      <c r="I10" s="10">
        <f t="shared" si="1"/>
        <v>35.226645293436633</v>
      </c>
      <c r="J10" s="11">
        <f t="shared" si="2"/>
        <v>2.8885849140618034</v>
      </c>
      <c r="K10" s="11">
        <f t="shared" si="3"/>
        <v>6.8180603793748311</v>
      </c>
      <c r="L10" s="11">
        <f t="shared" si="4"/>
        <v>25.52</v>
      </c>
    </row>
    <row r="11" spans="1:12" ht="15.75" customHeight="1" x14ac:dyDescent="0.25">
      <c r="C11" s="11">
        <v>23.92</v>
      </c>
      <c r="D11" s="11">
        <v>0.9</v>
      </c>
      <c r="E11" s="11">
        <v>0.7</v>
      </c>
      <c r="F11" s="11">
        <v>8.1999999999999993</v>
      </c>
      <c r="G11" s="11">
        <v>24</v>
      </c>
      <c r="H11" s="11">
        <f t="shared" si="0"/>
        <v>25.52</v>
      </c>
      <c r="I11" s="10">
        <f t="shared" si="1"/>
        <v>35.226645293436633</v>
      </c>
      <c r="J11" s="11">
        <f t="shared" si="2"/>
        <v>2.8885849140618034</v>
      </c>
      <c r="K11" s="11">
        <f t="shared" si="3"/>
        <v>6.8180603793748311</v>
      </c>
      <c r="L11" s="11">
        <f t="shared" si="4"/>
        <v>25.52</v>
      </c>
    </row>
    <row r="12" spans="1:12" ht="15.75" customHeight="1" x14ac:dyDescent="0.25">
      <c r="C12" s="11">
        <v>23.92</v>
      </c>
      <c r="D12" s="11">
        <v>0.9</v>
      </c>
      <c r="E12" s="11">
        <v>0.7</v>
      </c>
      <c r="F12" s="11">
        <v>8.1999999999999993</v>
      </c>
      <c r="G12" s="11">
        <v>24</v>
      </c>
      <c r="H12" s="11">
        <f t="shared" si="0"/>
        <v>25.52</v>
      </c>
      <c r="I12" s="10">
        <f t="shared" si="1"/>
        <v>35.226645293436633</v>
      </c>
      <c r="J12" s="11">
        <f t="shared" si="2"/>
        <v>2.8885849140618034</v>
      </c>
      <c r="K12" s="11">
        <f t="shared" si="3"/>
        <v>6.8180603793748311</v>
      </c>
      <c r="L12" s="11">
        <f t="shared" si="4"/>
        <v>25.52</v>
      </c>
    </row>
    <row r="13" spans="1:12" ht="15.75" customHeight="1" x14ac:dyDescent="0.25">
      <c r="C13" s="11">
        <v>23.92</v>
      </c>
      <c r="D13" s="11">
        <v>0.9</v>
      </c>
      <c r="E13" s="11">
        <v>0.7</v>
      </c>
      <c r="F13" s="11">
        <v>8.1999999999999993</v>
      </c>
      <c r="G13" s="11">
        <v>24</v>
      </c>
      <c r="H13" s="11">
        <f t="shared" si="0"/>
        <v>25.52</v>
      </c>
      <c r="I13" s="10">
        <f t="shared" si="1"/>
        <v>35.226645293436633</v>
      </c>
      <c r="J13" s="11">
        <f t="shared" si="2"/>
        <v>2.8885849140618034</v>
      </c>
      <c r="K13" s="11">
        <f t="shared" si="3"/>
        <v>6.8180603793748311</v>
      </c>
      <c r="L13" s="11">
        <f t="shared" si="4"/>
        <v>25.52</v>
      </c>
    </row>
    <row r="14" spans="1:12" ht="15.75" customHeight="1" x14ac:dyDescent="0.25">
      <c r="C14" s="11">
        <v>23.92</v>
      </c>
      <c r="D14" s="11">
        <v>0.9</v>
      </c>
      <c r="E14" s="11">
        <v>0.7</v>
      </c>
      <c r="F14" s="11">
        <v>8.1999999999999993</v>
      </c>
      <c r="G14" s="11">
        <v>24</v>
      </c>
      <c r="H14" s="11">
        <f t="shared" si="0"/>
        <v>25.52</v>
      </c>
      <c r="I14" s="10">
        <f t="shared" si="1"/>
        <v>35.226645293436633</v>
      </c>
      <c r="J14" s="11">
        <f t="shared" si="2"/>
        <v>2.8885849140618034</v>
      </c>
      <c r="K14" s="11">
        <f t="shared" si="3"/>
        <v>6.8180603793748311</v>
      </c>
      <c r="L14" s="11">
        <f t="shared" si="4"/>
        <v>25.52</v>
      </c>
    </row>
    <row r="15" spans="1:12" ht="15.75" customHeight="1" x14ac:dyDescent="0.25">
      <c r="C15" s="11">
        <v>23.92</v>
      </c>
      <c r="D15" s="11">
        <v>0.9</v>
      </c>
      <c r="E15" s="11">
        <v>0.7</v>
      </c>
      <c r="F15" s="11">
        <v>8.1999999999999993</v>
      </c>
      <c r="G15" s="11">
        <v>24</v>
      </c>
      <c r="H15" s="11">
        <f t="shared" si="0"/>
        <v>25.52</v>
      </c>
      <c r="I15" s="10">
        <f t="shared" si="1"/>
        <v>35.226645293436633</v>
      </c>
      <c r="J15" s="11">
        <f t="shared" si="2"/>
        <v>2.8885849140618034</v>
      </c>
      <c r="K15" s="11">
        <f t="shared" si="3"/>
        <v>6.8180603793748311</v>
      </c>
      <c r="L15" s="11">
        <f t="shared" si="4"/>
        <v>25.52</v>
      </c>
    </row>
    <row r="16" spans="1:12" ht="15.75" customHeight="1" x14ac:dyDescent="0.25">
      <c r="C16" s="11">
        <v>23.92</v>
      </c>
      <c r="D16" s="11">
        <v>0.9</v>
      </c>
      <c r="E16" s="11">
        <v>0.7</v>
      </c>
      <c r="F16" s="11">
        <v>8.1999999999999993</v>
      </c>
      <c r="G16" s="11">
        <v>24</v>
      </c>
      <c r="H16" s="11">
        <f t="shared" si="0"/>
        <v>25.52</v>
      </c>
      <c r="I16" s="10">
        <f t="shared" si="1"/>
        <v>35.226645293436633</v>
      </c>
      <c r="J16" s="11">
        <f t="shared" si="2"/>
        <v>2.8885849140618034</v>
      </c>
      <c r="K16" s="11">
        <f t="shared" si="3"/>
        <v>6.8180603793748311</v>
      </c>
      <c r="L16" s="11">
        <f t="shared" si="4"/>
        <v>25.52</v>
      </c>
    </row>
    <row r="17" spans="3:12" ht="15.75" customHeight="1" x14ac:dyDescent="0.25">
      <c r="C17" s="11">
        <v>23.92</v>
      </c>
      <c r="D17" s="11">
        <v>0.9</v>
      </c>
      <c r="E17" s="11">
        <v>0.7</v>
      </c>
      <c r="F17" s="11">
        <v>8.1999999999999993</v>
      </c>
      <c r="G17" s="11">
        <v>24</v>
      </c>
      <c r="H17" s="11">
        <f t="shared" si="0"/>
        <v>25.52</v>
      </c>
      <c r="I17" s="10">
        <f t="shared" si="1"/>
        <v>35.226645293436633</v>
      </c>
      <c r="J17" s="11">
        <f t="shared" si="2"/>
        <v>2.8885849140618034</v>
      </c>
      <c r="K17" s="11">
        <f t="shared" si="3"/>
        <v>6.8180603793748311</v>
      </c>
      <c r="L17" s="11">
        <f t="shared" si="4"/>
        <v>25.52</v>
      </c>
    </row>
    <row r="18" spans="3:12" ht="15.75" customHeight="1" x14ac:dyDescent="0.25">
      <c r="C18" s="11">
        <v>23.92</v>
      </c>
      <c r="D18" s="11">
        <v>0.9</v>
      </c>
      <c r="E18" s="11">
        <v>0.7</v>
      </c>
      <c r="F18" s="11">
        <v>8.1999999999999993</v>
      </c>
      <c r="G18" s="11">
        <v>24</v>
      </c>
      <c r="H18" s="11">
        <f t="shared" si="0"/>
        <v>25.52</v>
      </c>
      <c r="I18" s="10">
        <f t="shared" si="1"/>
        <v>35.226645293436633</v>
      </c>
      <c r="J18" s="11">
        <f t="shared" si="2"/>
        <v>2.8885849140618034</v>
      </c>
      <c r="K18" s="11">
        <f t="shared" si="3"/>
        <v>6.8180603793748311</v>
      </c>
      <c r="L18" s="11">
        <f t="shared" si="4"/>
        <v>25.52</v>
      </c>
    </row>
    <row r="19" spans="3:12" ht="15.75" customHeight="1" x14ac:dyDescent="0.25">
      <c r="C19" s="11">
        <v>23.92</v>
      </c>
      <c r="D19" s="11">
        <v>0.9</v>
      </c>
      <c r="E19" s="11">
        <v>0.7</v>
      </c>
      <c r="F19" s="11">
        <v>8.1999999999999993</v>
      </c>
      <c r="G19" s="11">
        <v>24</v>
      </c>
      <c r="H19" s="11">
        <f t="shared" si="0"/>
        <v>25.52</v>
      </c>
      <c r="I19" s="10">
        <f t="shared" si="1"/>
        <v>35.226645293436633</v>
      </c>
      <c r="J19" s="11">
        <f t="shared" si="2"/>
        <v>2.8885849140618034</v>
      </c>
      <c r="K19" s="11">
        <f t="shared" si="3"/>
        <v>6.8180603793748311</v>
      </c>
      <c r="L19" s="11">
        <f t="shared" si="4"/>
        <v>25.52</v>
      </c>
    </row>
    <row r="20" spans="3:12" ht="15.75" customHeight="1" x14ac:dyDescent="0.25">
      <c r="C20" s="11">
        <v>23.92</v>
      </c>
      <c r="D20" s="11">
        <v>0.9</v>
      </c>
      <c r="E20" s="11">
        <v>0.7</v>
      </c>
      <c r="F20" s="11">
        <v>8.1999999999999993</v>
      </c>
      <c r="G20" s="11">
        <v>24</v>
      </c>
      <c r="H20" s="11">
        <f t="shared" si="0"/>
        <v>25.52</v>
      </c>
      <c r="I20" s="10">
        <f t="shared" si="1"/>
        <v>35.226645293436633</v>
      </c>
      <c r="J20" s="11">
        <f t="shared" si="2"/>
        <v>2.8885849140618034</v>
      </c>
      <c r="K20" s="11">
        <f t="shared" si="3"/>
        <v>6.8180603793748311</v>
      </c>
      <c r="L20" s="11">
        <f t="shared" si="4"/>
        <v>25.52</v>
      </c>
    </row>
    <row r="21" spans="3:12" ht="15.75" customHeight="1" x14ac:dyDescent="0.25">
      <c r="C21" s="11">
        <v>23.92</v>
      </c>
      <c r="D21" s="11">
        <v>0.9</v>
      </c>
      <c r="E21" s="11">
        <v>0.7</v>
      </c>
      <c r="F21" s="11">
        <v>8.1999999999999993</v>
      </c>
      <c r="G21" s="11">
        <v>24</v>
      </c>
      <c r="H21" s="11">
        <f t="shared" si="0"/>
        <v>25.52</v>
      </c>
      <c r="I21" s="10">
        <f t="shared" si="1"/>
        <v>35.226645293436633</v>
      </c>
      <c r="J21" s="11">
        <f t="shared" si="2"/>
        <v>2.8885849140618034</v>
      </c>
      <c r="K21" s="11">
        <f t="shared" si="3"/>
        <v>6.8180603793748311</v>
      </c>
      <c r="L21" s="11">
        <f t="shared" si="4"/>
        <v>25.52</v>
      </c>
    </row>
    <row r="22" spans="3:12" ht="15.75" customHeight="1" x14ac:dyDescent="0.25">
      <c r="C22" s="11">
        <v>23.92</v>
      </c>
      <c r="D22" s="11">
        <v>0.9</v>
      </c>
      <c r="E22" s="11">
        <v>0.7</v>
      </c>
      <c r="F22" s="11">
        <v>8.1999999999999993</v>
      </c>
      <c r="G22" s="11">
        <v>24</v>
      </c>
      <c r="H22" s="11">
        <f t="shared" si="0"/>
        <v>25.52</v>
      </c>
      <c r="I22" s="10">
        <f t="shared" si="1"/>
        <v>35.226645293436633</v>
      </c>
      <c r="J22" s="11">
        <f t="shared" si="2"/>
        <v>2.8885849140618034</v>
      </c>
      <c r="K22" s="11">
        <f t="shared" si="3"/>
        <v>6.8180603793748311</v>
      </c>
      <c r="L22" s="11">
        <f t="shared" si="4"/>
        <v>25.52</v>
      </c>
    </row>
    <row r="23" spans="3:12" ht="15.75" customHeight="1" x14ac:dyDescent="0.25">
      <c r="C23" s="11">
        <v>23.92</v>
      </c>
      <c r="D23" s="11">
        <v>0.9</v>
      </c>
      <c r="E23" s="11">
        <v>0.7</v>
      </c>
      <c r="F23" s="11">
        <v>8.1999999999999993</v>
      </c>
      <c r="G23" s="11">
        <v>24</v>
      </c>
      <c r="H23" s="11">
        <f t="shared" si="0"/>
        <v>25.52</v>
      </c>
      <c r="I23" s="10">
        <f t="shared" si="1"/>
        <v>35.226645293436633</v>
      </c>
      <c r="J23" s="11">
        <f t="shared" si="2"/>
        <v>2.8885849140618034</v>
      </c>
      <c r="K23" s="11">
        <f t="shared" si="3"/>
        <v>6.8180603793748311</v>
      </c>
      <c r="L23" s="11">
        <f t="shared" si="4"/>
        <v>25.52</v>
      </c>
    </row>
    <row r="24" spans="3:12" ht="15.75" customHeight="1" x14ac:dyDescent="0.25">
      <c r="C24" s="11">
        <v>23.92</v>
      </c>
      <c r="D24" s="11">
        <v>0.9</v>
      </c>
      <c r="E24" s="11">
        <v>0.7</v>
      </c>
      <c r="F24" s="11">
        <v>8.1999999999999993</v>
      </c>
      <c r="G24" s="11">
        <v>24</v>
      </c>
      <c r="H24" s="11">
        <f t="shared" si="0"/>
        <v>25.52</v>
      </c>
      <c r="I24" s="10">
        <f t="shared" si="1"/>
        <v>35.226645293436633</v>
      </c>
      <c r="J24" s="11">
        <f t="shared" si="2"/>
        <v>2.8885849140618034</v>
      </c>
      <c r="K24" s="11">
        <f t="shared" si="3"/>
        <v>6.8180603793748311</v>
      </c>
      <c r="L24" s="11">
        <f t="shared" si="4"/>
        <v>25.52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2:L23"/>
  <sheetViews>
    <sheetView workbookViewId="0"/>
  </sheetViews>
  <sheetFormatPr defaultColWidth="12.5703125" defaultRowHeight="15.75" customHeight="1" x14ac:dyDescent="0.2"/>
  <cols>
    <col min="1" max="1" width="20" customWidth="1"/>
  </cols>
  <sheetData>
    <row r="2" spans="1:12" x14ac:dyDescent="0.2">
      <c r="A2" s="6" t="s">
        <v>1727</v>
      </c>
      <c r="B2" s="6" t="s">
        <v>1728</v>
      </c>
      <c r="C2" s="15">
        <v>3.4</v>
      </c>
      <c r="D2" s="15">
        <v>0.7</v>
      </c>
      <c r="E2" s="15">
        <f t="shared" ref="E2:E23" si="0">SUM(C2)+D2</f>
        <v>4.0999999999999996</v>
      </c>
      <c r="F2" s="15">
        <v>1.24</v>
      </c>
      <c r="G2" s="15">
        <f t="shared" ref="G2:G23" si="1">SUM(E2)*F2</f>
        <v>5.0839999999999996</v>
      </c>
      <c r="H2" s="15">
        <v>1.1214999999999999</v>
      </c>
      <c r="I2" s="15">
        <f t="shared" ref="I2:I23" si="2">SUM(G2)*H2</f>
        <v>5.7017059999999997</v>
      </c>
      <c r="J2" s="15">
        <v>0.25</v>
      </c>
      <c r="K2" s="15">
        <f t="shared" ref="K2:K23" si="3">SUM(I2)+J2</f>
        <v>5.9517059999999997</v>
      </c>
      <c r="L2" s="12">
        <v>6.3</v>
      </c>
    </row>
    <row r="3" spans="1:12" x14ac:dyDescent="0.2">
      <c r="A3" s="6" t="s">
        <v>1729</v>
      </c>
      <c r="B3" s="6" t="s">
        <v>1730</v>
      </c>
      <c r="C3" s="15">
        <v>4.4400000000000004</v>
      </c>
      <c r="D3" s="15">
        <v>0.9</v>
      </c>
      <c r="E3" s="15">
        <f t="shared" si="0"/>
        <v>5.3400000000000007</v>
      </c>
      <c r="F3" s="15">
        <v>1.24</v>
      </c>
      <c r="G3" s="15">
        <f t="shared" si="1"/>
        <v>6.6216000000000008</v>
      </c>
      <c r="H3" s="15">
        <v>1.1214999999999999</v>
      </c>
      <c r="I3" s="15">
        <f t="shared" si="2"/>
        <v>7.4261244000000008</v>
      </c>
      <c r="J3" s="15">
        <v>0.74</v>
      </c>
      <c r="K3" s="15">
        <f t="shared" si="3"/>
        <v>8.1661244000000011</v>
      </c>
      <c r="L3" s="12">
        <v>5.9</v>
      </c>
    </row>
    <row r="4" spans="1:12" x14ac:dyDescent="0.2">
      <c r="A4" s="6" t="s">
        <v>1731</v>
      </c>
      <c r="B4" s="6" t="s">
        <v>1732</v>
      </c>
      <c r="C4" s="15">
        <v>6.65</v>
      </c>
      <c r="D4" s="15">
        <v>0.9</v>
      </c>
      <c r="E4" s="15">
        <f t="shared" si="0"/>
        <v>7.5500000000000007</v>
      </c>
      <c r="F4" s="15">
        <v>1.24</v>
      </c>
      <c r="G4" s="15">
        <f t="shared" si="1"/>
        <v>9.3620000000000001</v>
      </c>
      <c r="H4" s="15">
        <v>1.1214999999999999</v>
      </c>
      <c r="I4" s="15">
        <f t="shared" si="2"/>
        <v>10.499483</v>
      </c>
      <c r="J4" s="15">
        <v>0.74</v>
      </c>
      <c r="K4" s="15">
        <f t="shared" si="3"/>
        <v>11.239483</v>
      </c>
    </row>
    <row r="5" spans="1:12" x14ac:dyDescent="0.2">
      <c r="A5" s="6" t="s">
        <v>1733</v>
      </c>
      <c r="B5" s="6" t="s">
        <v>1734</v>
      </c>
      <c r="C5" s="15">
        <v>6.22</v>
      </c>
      <c r="D5" s="15">
        <v>0.9</v>
      </c>
      <c r="E5" s="15">
        <f t="shared" si="0"/>
        <v>7.12</v>
      </c>
      <c r="F5" s="15">
        <v>1.24</v>
      </c>
      <c r="G5" s="15">
        <f t="shared" si="1"/>
        <v>8.8287999999999993</v>
      </c>
      <c r="H5" s="15">
        <v>1.1214999999999999</v>
      </c>
      <c r="I5" s="15">
        <f t="shared" si="2"/>
        <v>9.9014991999999982</v>
      </c>
      <c r="J5" s="15">
        <v>0.73999999999999899</v>
      </c>
      <c r="K5" s="15">
        <f t="shared" si="3"/>
        <v>10.641499199999997</v>
      </c>
      <c r="L5" s="12">
        <v>7.9</v>
      </c>
    </row>
    <row r="6" spans="1:12" x14ac:dyDescent="0.2">
      <c r="A6" s="12" t="s">
        <v>1735</v>
      </c>
      <c r="B6" s="12">
        <v>5200116289336</v>
      </c>
      <c r="C6" s="15">
        <v>27.65</v>
      </c>
      <c r="D6" s="15">
        <v>0.9</v>
      </c>
      <c r="E6" s="15">
        <f t="shared" si="0"/>
        <v>28.549999999999997</v>
      </c>
      <c r="F6" s="15">
        <v>1.24</v>
      </c>
      <c r="G6" s="15">
        <f t="shared" si="1"/>
        <v>35.401999999999994</v>
      </c>
      <c r="H6" s="15">
        <v>1.1214999999999999</v>
      </c>
      <c r="I6" s="15">
        <f t="shared" si="2"/>
        <v>39.70334299999999</v>
      </c>
      <c r="J6" s="15">
        <v>0.73999999999999899</v>
      </c>
      <c r="K6" s="15">
        <f t="shared" si="3"/>
        <v>40.443342999999992</v>
      </c>
    </row>
    <row r="7" spans="1:12" x14ac:dyDescent="0.2">
      <c r="A7" s="12" t="s">
        <v>1736</v>
      </c>
      <c r="B7" s="12">
        <v>5200116289480</v>
      </c>
      <c r="C7" s="15">
        <v>14.59</v>
      </c>
      <c r="D7" s="15">
        <v>0.9</v>
      </c>
      <c r="E7" s="15">
        <f t="shared" si="0"/>
        <v>15.49</v>
      </c>
      <c r="F7" s="15">
        <v>1.24</v>
      </c>
      <c r="G7" s="15">
        <f t="shared" si="1"/>
        <v>19.207599999999999</v>
      </c>
      <c r="H7" s="15">
        <v>1.1214999999999999</v>
      </c>
      <c r="I7" s="15">
        <f t="shared" si="2"/>
        <v>21.5413234</v>
      </c>
      <c r="J7" s="15">
        <v>0.73999999999999899</v>
      </c>
      <c r="K7" s="15">
        <f t="shared" si="3"/>
        <v>22.281323399999998</v>
      </c>
      <c r="L7" s="12">
        <v>18.899999999999999</v>
      </c>
    </row>
    <row r="8" spans="1:12" x14ac:dyDescent="0.2">
      <c r="A8" s="12" t="s">
        <v>1737</v>
      </c>
      <c r="B8" s="12">
        <v>5200116289473</v>
      </c>
      <c r="C8" s="15">
        <v>10.85</v>
      </c>
      <c r="D8" s="15">
        <v>0.9</v>
      </c>
      <c r="E8" s="15">
        <f t="shared" si="0"/>
        <v>11.75</v>
      </c>
      <c r="F8" s="15">
        <v>1.24</v>
      </c>
      <c r="G8" s="15">
        <f t="shared" si="1"/>
        <v>14.57</v>
      </c>
      <c r="H8" s="15">
        <v>1.1214999999999999</v>
      </c>
      <c r="I8" s="15">
        <f t="shared" si="2"/>
        <v>16.340254999999999</v>
      </c>
      <c r="J8" s="15">
        <v>0.73999999999999899</v>
      </c>
      <c r="K8" s="15">
        <f t="shared" si="3"/>
        <v>17.080254999999998</v>
      </c>
      <c r="L8" s="12">
        <v>17.2</v>
      </c>
    </row>
    <row r="9" spans="1:12" x14ac:dyDescent="0.2">
      <c r="A9" s="12" t="s">
        <v>1738</v>
      </c>
      <c r="B9" s="12">
        <v>5200116280067</v>
      </c>
      <c r="C9" s="15">
        <v>10.96</v>
      </c>
      <c r="D9" s="15">
        <v>0.9</v>
      </c>
      <c r="E9" s="15">
        <f t="shared" si="0"/>
        <v>11.860000000000001</v>
      </c>
      <c r="F9" s="15">
        <v>1.24</v>
      </c>
      <c r="G9" s="15">
        <f t="shared" si="1"/>
        <v>14.706400000000002</v>
      </c>
      <c r="H9" s="15">
        <v>1.1214999999999999</v>
      </c>
      <c r="I9" s="15">
        <f t="shared" si="2"/>
        <v>16.493227600000001</v>
      </c>
      <c r="J9" s="15">
        <v>0.73999999999999899</v>
      </c>
      <c r="K9" s="15">
        <f t="shared" si="3"/>
        <v>17.233227599999999</v>
      </c>
    </row>
    <row r="10" spans="1:12" x14ac:dyDescent="0.2">
      <c r="A10" s="12" t="s">
        <v>1739</v>
      </c>
      <c r="B10" s="12">
        <v>5200116289411</v>
      </c>
      <c r="C10" s="15">
        <v>17.940000000000001</v>
      </c>
      <c r="D10" s="15">
        <v>0.9</v>
      </c>
      <c r="E10" s="15">
        <f t="shared" si="0"/>
        <v>18.84</v>
      </c>
      <c r="F10" s="15">
        <v>1.24</v>
      </c>
      <c r="G10" s="15">
        <f t="shared" si="1"/>
        <v>23.361599999999999</v>
      </c>
      <c r="H10" s="15">
        <v>1.1214999999999999</v>
      </c>
      <c r="I10" s="15">
        <f t="shared" si="2"/>
        <v>26.200034399999996</v>
      </c>
      <c r="J10" s="15">
        <v>0.73999999999999899</v>
      </c>
      <c r="K10" s="15">
        <f t="shared" si="3"/>
        <v>26.940034399999995</v>
      </c>
    </row>
    <row r="11" spans="1:12" x14ac:dyDescent="0.2">
      <c r="A11" s="6" t="s">
        <v>1740</v>
      </c>
      <c r="B11" s="6" t="s">
        <v>1741</v>
      </c>
      <c r="C11" s="15">
        <v>14.14</v>
      </c>
      <c r="D11" s="15">
        <v>0.9</v>
      </c>
      <c r="E11" s="15">
        <f t="shared" si="0"/>
        <v>15.040000000000001</v>
      </c>
      <c r="F11" s="15">
        <v>1.24</v>
      </c>
      <c r="G11" s="15">
        <f t="shared" si="1"/>
        <v>18.6496</v>
      </c>
      <c r="H11" s="15">
        <v>1.1214999999999999</v>
      </c>
      <c r="I11" s="15">
        <f t="shared" si="2"/>
        <v>20.915526399999997</v>
      </c>
      <c r="J11" s="15">
        <v>0.73999999999999899</v>
      </c>
      <c r="K11" s="15">
        <f t="shared" si="3"/>
        <v>21.655526399999996</v>
      </c>
    </row>
    <row r="12" spans="1:12" x14ac:dyDescent="0.2">
      <c r="A12" s="6" t="s">
        <v>1742</v>
      </c>
      <c r="B12" s="6" t="s">
        <v>1743</v>
      </c>
      <c r="C12" s="15">
        <v>28.35</v>
      </c>
      <c r="D12" s="15">
        <v>0.9</v>
      </c>
      <c r="E12" s="15">
        <f t="shared" si="0"/>
        <v>29.25</v>
      </c>
      <c r="F12" s="15">
        <v>1.24</v>
      </c>
      <c r="G12" s="15">
        <f t="shared" si="1"/>
        <v>36.270000000000003</v>
      </c>
      <c r="H12" s="15">
        <v>1.1214999999999999</v>
      </c>
      <c r="I12" s="15">
        <f t="shared" si="2"/>
        <v>40.676805000000002</v>
      </c>
      <c r="J12" s="15">
        <v>0.73999999999999899</v>
      </c>
      <c r="K12" s="15">
        <f t="shared" si="3"/>
        <v>41.416805000000004</v>
      </c>
    </row>
    <row r="13" spans="1:12" x14ac:dyDescent="0.2">
      <c r="A13" s="6" t="s">
        <v>1744</v>
      </c>
      <c r="B13" s="6" t="s">
        <v>1745</v>
      </c>
      <c r="C13" s="15">
        <v>7.86</v>
      </c>
      <c r="D13" s="15">
        <v>0.9</v>
      </c>
      <c r="E13" s="15">
        <f t="shared" si="0"/>
        <v>8.76</v>
      </c>
      <c r="F13" s="15">
        <v>1.24</v>
      </c>
      <c r="G13" s="15">
        <f t="shared" si="1"/>
        <v>10.862399999999999</v>
      </c>
      <c r="H13" s="15">
        <v>1.1214999999999999</v>
      </c>
      <c r="I13" s="15">
        <f t="shared" si="2"/>
        <v>12.182181599999998</v>
      </c>
      <c r="J13" s="15">
        <v>0.73999999999999899</v>
      </c>
      <c r="K13" s="15">
        <f t="shared" si="3"/>
        <v>12.922181599999996</v>
      </c>
    </row>
    <row r="14" spans="1:12" x14ac:dyDescent="0.2">
      <c r="A14" s="6" t="s">
        <v>1746</v>
      </c>
      <c r="B14" s="6" t="s">
        <v>1747</v>
      </c>
      <c r="C14" s="15">
        <v>18.62</v>
      </c>
      <c r="D14" s="15">
        <v>0.9</v>
      </c>
      <c r="E14" s="15">
        <f t="shared" si="0"/>
        <v>19.52</v>
      </c>
      <c r="F14" s="15">
        <v>1.24</v>
      </c>
      <c r="G14" s="15">
        <f t="shared" si="1"/>
        <v>24.204799999999999</v>
      </c>
      <c r="H14" s="15">
        <v>1.1214999999999999</v>
      </c>
      <c r="I14" s="15">
        <f t="shared" si="2"/>
        <v>27.145683199999997</v>
      </c>
      <c r="J14" s="15">
        <v>0.73999999999999899</v>
      </c>
      <c r="K14" s="15">
        <f t="shared" si="3"/>
        <v>27.885683199999995</v>
      </c>
    </row>
    <row r="15" spans="1:12" x14ac:dyDescent="0.2">
      <c r="A15" s="6" t="s">
        <v>1748</v>
      </c>
      <c r="B15" s="6" t="s">
        <v>1749</v>
      </c>
      <c r="C15" s="15">
        <v>9.9499999999999993</v>
      </c>
      <c r="D15" s="15">
        <v>0.9</v>
      </c>
      <c r="E15" s="15">
        <f t="shared" si="0"/>
        <v>10.85</v>
      </c>
      <c r="F15" s="15">
        <v>1.24</v>
      </c>
      <c r="G15" s="15">
        <f t="shared" si="1"/>
        <v>13.453999999999999</v>
      </c>
      <c r="H15" s="15">
        <v>1.1214999999999999</v>
      </c>
      <c r="I15" s="15">
        <f t="shared" si="2"/>
        <v>15.088660999999998</v>
      </c>
      <c r="J15" s="15">
        <v>0.73999999999999899</v>
      </c>
      <c r="K15" s="15">
        <f t="shared" si="3"/>
        <v>15.828660999999997</v>
      </c>
    </row>
    <row r="16" spans="1:12" x14ac:dyDescent="0.2">
      <c r="A16" s="6" t="s">
        <v>1750</v>
      </c>
      <c r="B16" s="6" t="s">
        <v>1751</v>
      </c>
      <c r="C16" s="15">
        <v>11.625999999999999</v>
      </c>
      <c r="D16" s="15">
        <v>0.9</v>
      </c>
      <c r="E16" s="15">
        <f t="shared" si="0"/>
        <v>12.526</v>
      </c>
      <c r="F16" s="15">
        <v>1.24</v>
      </c>
      <c r="G16" s="15">
        <f t="shared" si="1"/>
        <v>15.53224</v>
      </c>
      <c r="H16" s="15">
        <v>1.1214999999999999</v>
      </c>
      <c r="I16" s="15">
        <f t="shared" si="2"/>
        <v>17.419407159999999</v>
      </c>
      <c r="J16" s="15">
        <v>1.42</v>
      </c>
      <c r="K16" s="15">
        <f t="shared" si="3"/>
        <v>18.83940716</v>
      </c>
    </row>
    <row r="17" spans="1:11" x14ac:dyDescent="0.2">
      <c r="A17" s="6" t="s">
        <v>1752</v>
      </c>
      <c r="B17" s="6" t="s">
        <v>1753</v>
      </c>
      <c r="C17" s="15">
        <v>12.29</v>
      </c>
      <c r="D17" s="15">
        <v>0.9</v>
      </c>
      <c r="E17" s="15">
        <f t="shared" si="0"/>
        <v>13.19</v>
      </c>
      <c r="F17" s="15">
        <v>1.24</v>
      </c>
      <c r="G17" s="15">
        <f t="shared" si="1"/>
        <v>16.355599999999999</v>
      </c>
      <c r="H17" s="15">
        <v>1.1214999999999999</v>
      </c>
      <c r="I17" s="15">
        <f t="shared" si="2"/>
        <v>18.3428054</v>
      </c>
      <c r="J17" s="15">
        <v>0.73999999999999899</v>
      </c>
      <c r="K17" s="15">
        <f t="shared" si="3"/>
        <v>19.082805399999998</v>
      </c>
    </row>
    <row r="18" spans="1:11" x14ac:dyDescent="0.2">
      <c r="A18" s="6" t="s">
        <v>1754</v>
      </c>
      <c r="B18" s="6" t="s">
        <v>1755</v>
      </c>
      <c r="C18" s="15">
        <v>11.29</v>
      </c>
      <c r="D18" s="15">
        <v>0.9</v>
      </c>
      <c r="E18" s="15">
        <f t="shared" si="0"/>
        <v>12.19</v>
      </c>
      <c r="F18" s="15">
        <v>1.24</v>
      </c>
      <c r="G18" s="15">
        <f t="shared" si="1"/>
        <v>15.115599999999999</v>
      </c>
      <c r="H18" s="15">
        <v>1.1214999999999999</v>
      </c>
      <c r="I18" s="15">
        <f t="shared" si="2"/>
        <v>16.952145399999999</v>
      </c>
      <c r="J18" s="15">
        <v>0.73999999999999899</v>
      </c>
      <c r="K18" s="15">
        <f t="shared" si="3"/>
        <v>17.692145399999998</v>
      </c>
    </row>
    <row r="19" spans="1:11" x14ac:dyDescent="0.2">
      <c r="A19" s="6" t="s">
        <v>1756</v>
      </c>
      <c r="B19" s="6" t="s">
        <v>1757</v>
      </c>
      <c r="C19" s="15">
        <v>16.18</v>
      </c>
      <c r="D19" s="15">
        <v>0.9</v>
      </c>
      <c r="E19" s="15">
        <f t="shared" si="0"/>
        <v>17.079999999999998</v>
      </c>
      <c r="F19" s="15">
        <v>1.24</v>
      </c>
      <c r="G19" s="15">
        <f t="shared" si="1"/>
        <v>21.179199999999998</v>
      </c>
      <c r="H19" s="15">
        <v>1.1214999999999999</v>
      </c>
      <c r="I19" s="15">
        <f t="shared" si="2"/>
        <v>23.752472799999996</v>
      </c>
      <c r="J19" s="15">
        <v>0.73999999999999899</v>
      </c>
      <c r="K19" s="15">
        <f t="shared" si="3"/>
        <v>24.492472799999994</v>
      </c>
    </row>
    <row r="20" spans="1:11" x14ac:dyDescent="0.2">
      <c r="A20" s="6" t="s">
        <v>1758</v>
      </c>
      <c r="B20" s="6" t="s">
        <v>1759</v>
      </c>
      <c r="C20" s="15">
        <v>7.49</v>
      </c>
      <c r="D20" s="15">
        <v>0.9</v>
      </c>
      <c r="E20" s="15">
        <f t="shared" si="0"/>
        <v>8.39</v>
      </c>
      <c r="F20" s="15">
        <v>1.24</v>
      </c>
      <c r="G20" s="15">
        <f t="shared" si="1"/>
        <v>10.403600000000001</v>
      </c>
      <c r="H20" s="15">
        <v>1.1214999999999999</v>
      </c>
      <c r="I20" s="15">
        <f t="shared" si="2"/>
        <v>11.6676374</v>
      </c>
      <c r="J20" s="15">
        <v>0.73999999999999899</v>
      </c>
      <c r="K20" s="15">
        <f t="shared" si="3"/>
        <v>12.407637399999999</v>
      </c>
    </row>
    <row r="21" spans="1:11" x14ac:dyDescent="0.2">
      <c r="A21" s="12" t="s">
        <v>1760</v>
      </c>
      <c r="B21" s="12">
        <v>5200116280241</v>
      </c>
      <c r="C21" s="15">
        <v>28.77</v>
      </c>
      <c r="D21" s="15">
        <v>0.9</v>
      </c>
      <c r="E21" s="15">
        <f t="shared" si="0"/>
        <v>29.669999999999998</v>
      </c>
      <c r="F21" s="15">
        <v>1.24</v>
      </c>
      <c r="G21" s="15">
        <f t="shared" si="1"/>
        <v>36.790799999999997</v>
      </c>
      <c r="H21" s="15">
        <v>1.1214999999999999</v>
      </c>
      <c r="I21" s="15">
        <f t="shared" si="2"/>
        <v>41.260882199999998</v>
      </c>
      <c r="J21" s="15">
        <v>0.73999999999999899</v>
      </c>
      <c r="K21" s="15">
        <f t="shared" si="3"/>
        <v>42.0008822</v>
      </c>
    </row>
    <row r="22" spans="1:11" x14ac:dyDescent="0.2">
      <c r="A22" s="12" t="s">
        <v>1761</v>
      </c>
      <c r="B22" s="12">
        <v>5200116280630</v>
      </c>
      <c r="C22" s="15">
        <v>7.95</v>
      </c>
      <c r="D22" s="15">
        <v>0.9</v>
      </c>
      <c r="E22" s="15">
        <f t="shared" si="0"/>
        <v>8.85</v>
      </c>
      <c r="F22" s="15">
        <v>1.24</v>
      </c>
      <c r="G22" s="15">
        <f t="shared" si="1"/>
        <v>10.974</v>
      </c>
      <c r="H22" s="15">
        <v>1.1214999999999999</v>
      </c>
      <c r="I22" s="15">
        <f t="shared" si="2"/>
        <v>12.307340999999999</v>
      </c>
      <c r="J22" s="15">
        <v>0.73999999999999899</v>
      </c>
      <c r="K22" s="15">
        <f t="shared" si="3"/>
        <v>13.047340999999998</v>
      </c>
    </row>
    <row r="23" spans="1:11" x14ac:dyDescent="0.2">
      <c r="C23" s="15">
        <v>0</v>
      </c>
      <c r="D23" s="15">
        <v>0.9</v>
      </c>
      <c r="E23" s="15">
        <f t="shared" si="0"/>
        <v>0.9</v>
      </c>
      <c r="F23" s="15">
        <v>1.24</v>
      </c>
      <c r="G23" s="15">
        <f t="shared" si="1"/>
        <v>1.1160000000000001</v>
      </c>
      <c r="H23" s="15">
        <v>1.1214999999999999</v>
      </c>
      <c r="I23" s="15">
        <f t="shared" si="2"/>
        <v>1.2515940000000001</v>
      </c>
      <c r="J23" s="15">
        <v>0.73999999999999899</v>
      </c>
      <c r="K23" s="15">
        <f t="shared" si="3"/>
        <v>1.9915939999999992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2:AC67"/>
  <sheetViews>
    <sheetView workbookViewId="0">
      <selection activeCell="C2" sqref="C2:C56"/>
    </sheetView>
  </sheetViews>
  <sheetFormatPr defaultColWidth="12.5703125" defaultRowHeight="15.75" customHeight="1" x14ac:dyDescent="0.2"/>
  <cols>
    <col min="1" max="1" width="18.42578125" customWidth="1"/>
    <col min="2" max="2" width="16.85546875" style="73" customWidth="1"/>
  </cols>
  <sheetData>
    <row r="2" spans="1:29" x14ac:dyDescent="0.2">
      <c r="A2" s="13" t="s">
        <v>1762</v>
      </c>
      <c r="B2" s="99" t="s">
        <v>2182</v>
      </c>
      <c r="C2" s="15">
        <v>8.32</v>
      </c>
      <c r="D2" s="15">
        <v>0.9</v>
      </c>
      <c r="E2" s="15">
        <f t="shared" ref="E2:E67" si="0">SUM(C2)+D2</f>
        <v>9.2200000000000006</v>
      </c>
      <c r="F2" s="15">
        <v>1.24</v>
      </c>
      <c r="G2" s="15">
        <f t="shared" ref="G2:G67" si="1">SUM(E2)*F2</f>
        <v>11.4328</v>
      </c>
      <c r="H2" s="15">
        <v>1.1214999999999999</v>
      </c>
      <c r="I2" s="15">
        <f t="shared" ref="I2:I67" si="2">SUM(G2)*H2</f>
        <v>12.821885200000001</v>
      </c>
      <c r="J2" s="15">
        <v>0.74</v>
      </c>
      <c r="K2" s="15">
        <f t="shared" ref="K2:K67" si="3">SUM(I2)+J2</f>
        <v>13.561885200000001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1:29" x14ac:dyDescent="0.2">
      <c r="A3" s="13" t="s">
        <v>1763</v>
      </c>
      <c r="B3" s="99" t="s">
        <v>2183</v>
      </c>
      <c r="C3" s="15">
        <v>11.28</v>
      </c>
      <c r="D3" s="15">
        <v>0.9</v>
      </c>
      <c r="E3" s="15">
        <f t="shared" si="0"/>
        <v>12.18</v>
      </c>
      <c r="F3" s="15">
        <v>1.24</v>
      </c>
      <c r="G3" s="15">
        <f t="shared" si="1"/>
        <v>15.103199999999999</v>
      </c>
      <c r="H3" s="15">
        <v>1.1214999999999999</v>
      </c>
      <c r="I3" s="15">
        <f t="shared" si="2"/>
        <v>16.938238799999997</v>
      </c>
      <c r="J3" s="15">
        <v>0.74</v>
      </c>
      <c r="K3" s="15">
        <f t="shared" si="3"/>
        <v>17.678238799999995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29" x14ac:dyDescent="0.2">
      <c r="A4" s="13" t="s">
        <v>1764</v>
      </c>
      <c r="B4" s="99" t="s">
        <v>2184</v>
      </c>
      <c r="C4" s="15">
        <v>7.75</v>
      </c>
      <c r="D4" s="15">
        <v>0.9</v>
      </c>
      <c r="E4" s="15">
        <f t="shared" si="0"/>
        <v>8.65</v>
      </c>
      <c r="F4" s="15">
        <v>1.24</v>
      </c>
      <c r="G4" s="15">
        <f t="shared" si="1"/>
        <v>10.726000000000001</v>
      </c>
      <c r="H4" s="15">
        <v>1.1214999999999999</v>
      </c>
      <c r="I4" s="15">
        <f t="shared" si="2"/>
        <v>12.029209</v>
      </c>
      <c r="J4" s="15">
        <v>0.74</v>
      </c>
      <c r="K4" s="15">
        <f t="shared" si="3"/>
        <v>12.769209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29" x14ac:dyDescent="0.2">
      <c r="A5" s="13" t="s">
        <v>1765</v>
      </c>
      <c r="B5" s="99">
        <v>5205122002832</v>
      </c>
      <c r="C5" s="15">
        <v>5.12</v>
      </c>
      <c r="D5" s="15">
        <v>0.9</v>
      </c>
      <c r="E5" s="15">
        <f t="shared" si="0"/>
        <v>6.0200000000000005</v>
      </c>
      <c r="F5" s="15">
        <v>1.24</v>
      </c>
      <c r="G5" s="15">
        <f t="shared" si="1"/>
        <v>7.4648000000000003</v>
      </c>
      <c r="H5" s="15">
        <v>1.1214999999999999</v>
      </c>
      <c r="I5" s="15">
        <f t="shared" si="2"/>
        <v>8.3717731999999998</v>
      </c>
      <c r="J5" s="15">
        <v>1.49</v>
      </c>
      <c r="K5" s="15">
        <f t="shared" si="3"/>
        <v>9.8617732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1:29" x14ac:dyDescent="0.2">
      <c r="A6" s="13" t="s">
        <v>1766</v>
      </c>
      <c r="B6" s="99">
        <v>5205122003211</v>
      </c>
      <c r="C6" s="15">
        <v>7.37</v>
      </c>
      <c r="D6" s="15">
        <v>0.9</v>
      </c>
      <c r="E6" s="15">
        <f t="shared" si="0"/>
        <v>8.27</v>
      </c>
      <c r="F6" s="15">
        <v>1.06</v>
      </c>
      <c r="G6" s="15">
        <f t="shared" si="1"/>
        <v>8.7661999999999995</v>
      </c>
      <c r="H6" s="15">
        <v>1.1214999999999999</v>
      </c>
      <c r="I6" s="15">
        <f t="shared" si="2"/>
        <v>9.8312932999999987</v>
      </c>
      <c r="J6" s="15">
        <v>1.42</v>
      </c>
      <c r="K6" s="15">
        <f t="shared" si="3"/>
        <v>11.251293299999999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spans="1:29" x14ac:dyDescent="0.2">
      <c r="A7" s="13" t="s">
        <v>1767</v>
      </c>
      <c r="B7" s="99">
        <v>5205122000456</v>
      </c>
      <c r="C7" s="15">
        <v>3.63</v>
      </c>
      <c r="D7" s="15">
        <v>0.4</v>
      </c>
      <c r="E7" s="15">
        <f t="shared" si="0"/>
        <v>4.03</v>
      </c>
      <c r="F7" s="15">
        <v>1.24</v>
      </c>
      <c r="G7" s="15">
        <f t="shared" si="1"/>
        <v>4.9972000000000003</v>
      </c>
      <c r="H7" s="15">
        <v>1.1214999999999999</v>
      </c>
      <c r="I7" s="15">
        <f t="shared" si="2"/>
        <v>5.6043598000000001</v>
      </c>
      <c r="J7" s="15">
        <v>0.25</v>
      </c>
      <c r="K7" s="15">
        <f t="shared" si="3"/>
        <v>5.8543598000000001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29" x14ac:dyDescent="0.2">
      <c r="A8" s="13" t="s">
        <v>1768</v>
      </c>
      <c r="B8" s="99">
        <v>5205122002306</v>
      </c>
      <c r="C8" s="15">
        <v>4.8899999999999997</v>
      </c>
      <c r="D8" s="15">
        <v>0.9</v>
      </c>
      <c r="E8" s="15">
        <f t="shared" si="0"/>
        <v>5.79</v>
      </c>
      <c r="F8" s="15">
        <v>1.24</v>
      </c>
      <c r="G8" s="15">
        <f t="shared" si="1"/>
        <v>7.1795999999999998</v>
      </c>
      <c r="H8" s="15">
        <v>1.1214999999999999</v>
      </c>
      <c r="I8" s="15">
        <f t="shared" si="2"/>
        <v>8.0519213999999995</v>
      </c>
      <c r="J8" s="15">
        <v>1.49</v>
      </c>
      <c r="K8" s="15">
        <f t="shared" si="3"/>
        <v>9.5419213999999997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29" x14ac:dyDescent="0.2">
      <c r="A9" s="13" t="s">
        <v>1769</v>
      </c>
      <c r="B9" s="99">
        <v>5205122002399</v>
      </c>
      <c r="C9" s="15">
        <v>4.04</v>
      </c>
      <c r="D9" s="15">
        <v>0.4</v>
      </c>
      <c r="E9" s="15">
        <f t="shared" si="0"/>
        <v>4.4400000000000004</v>
      </c>
      <c r="F9" s="15">
        <v>1.24</v>
      </c>
      <c r="G9" s="15">
        <f t="shared" si="1"/>
        <v>5.5056000000000003</v>
      </c>
      <c r="H9" s="15">
        <v>1.1214999999999999</v>
      </c>
      <c r="I9" s="15">
        <f t="shared" si="2"/>
        <v>6.1745304000000001</v>
      </c>
      <c r="J9" s="15">
        <v>0.25</v>
      </c>
      <c r="K9" s="15">
        <f t="shared" si="3"/>
        <v>6.4245304000000001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29" x14ac:dyDescent="0.2">
      <c r="A10" s="13" t="s">
        <v>1770</v>
      </c>
      <c r="B10" s="99">
        <v>5205122000890</v>
      </c>
      <c r="C10" s="15">
        <v>7.36</v>
      </c>
      <c r="D10" s="15">
        <v>0.9</v>
      </c>
      <c r="E10" s="15">
        <f t="shared" si="0"/>
        <v>8.26</v>
      </c>
      <c r="F10" s="15">
        <v>1.06</v>
      </c>
      <c r="G10" s="15">
        <f t="shared" si="1"/>
        <v>8.7555999999999994</v>
      </c>
      <c r="H10" s="15">
        <v>1.1214999999999999</v>
      </c>
      <c r="I10" s="15">
        <f t="shared" si="2"/>
        <v>9.8194053999999991</v>
      </c>
      <c r="J10" s="15">
        <v>1.49</v>
      </c>
      <c r="K10" s="15">
        <f t="shared" si="3"/>
        <v>11.309405399999999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spans="1:29" x14ac:dyDescent="0.2">
      <c r="A11" s="13" t="s">
        <v>1771</v>
      </c>
      <c r="B11" s="99">
        <v>5205122001774</v>
      </c>
      <c r="C11" s="15">
        <v>5.12</v>
      </c>
      <c r="D11" s="15">
        <v>0.9</v>
      </c>
      <c r="E11" s="15">
        <f t="shared" si="0"/>
        <v>6.0200000000000005</v>
      </c>
      <c r="F11" s="15">
        <v>1.24</v>
      </c>
      <c r="G11" s="15">
        <f t="shared" si="1"/>
        <v>7.4648000000000003</v>
      </c>
      <c r="H11" s="15">
        <v>1.1214999999999999</v>
      </c>
      <c r="I11" s="15">
        <f t="shared" si="2"/>
        <v>8.3717731999999998</v>
      </c>
      <c r="J11" s="15">
        <v>1.49</v>
      </c>
      <c r="K11" s="15">
        <f t="shared" si="3"/>
        <v>9.8617732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29" x14ac:dyDescent="0.2">
      <c r="A12" s="13" t="s">
        <v>1772</v>
      </c>
      <c r="B12" s="99">
        <v>5205122000647</v>
      </c>
      <c r="C12" s="15">
        <v>3.63</v>
      </c>
      <c r="D12" s="15">
        <v>0.3</v>
      </c>
      <c r="E12" s="15">
        <f t="shared" si="0"/>
        <v>3.9299999999999997</v>
      </c>
      <c r="F12" s="15">
        <v>1.24</v>
      </c>
      <c r="G12" s="15">
        <f t="shared" si="1"/>
        <v>4.8731999999999998</v>
      </c>
      <c r="H12" s="15">
        <v>1.1214999999999999</v>
      </c>
      <c r="I12" s="15">
        <f t="shared" si="2"/>
        <v>5.4652937999999995</v>
      </c>
      <c r="J12" s="15">
        <v>0.25</v>
      </c>
      <c r="K12" s="15">
        <f t="shared" si="3"/>
        <v>5.7152937999999995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29" x14ac:dyDescent="0.2">
      <c r="A13" s="13" t="s">
        <v>1773</v>
      </c>
      <c r="B13" s="99">
        <v>5205122001408</v>
      </c>
      <c r="C13" s="15">
        <v>3.23</v>
      </c>
      <c r="D13" s="15">
        <v>0.3</v>
      </c>
      <c r="E13" s="15">
        <f t="shared" si="0"/>
        <v>3.53</v>
      </c>
      <c r="F13" s="15">
        <v>1.24</v>
      </c>
      <c r="G13" s="15">
        <f t="shared" si="1"/>
        <v>4.3771999999999993</v>
      </c>
      <c r="H13" s="15">
        <v>1.1214999999999999</v>
      </c>
      <c r="I13" s="15">
        <f t="shared" si="2"/>
        <v>4.909029799999999</v>
      </c>
      <c r="J13" s="15">
        <v>0.25</v>
      </c>
      <c r="K13" s="15">
        <f t="shared" si="3"/>
        <v>5.159029799999999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spans="1:29" x14ac:dyDescent="0.2">
      <c r="A14" s="13" t="s">
        <v>1774</v>
      </c>
      <c r="B14" s="99">
        <v>5205122000944</v>
      </c>
      <c r="C14" s="15">
        <v>7.37</v>
      </c>
      <c r="D14" s="15">
        <v>0.9</v>
      </c>
      <c r="E14" s="15">
        <f t="shared" si="0"/>
        <v>8.27</v>
      </c>
      <c r="F14" s="15">
        <v>1.06</v>
      </c>
      <c r="G14" s="15">
        <f t="shared" si="1"/>
        <v>8.7661999999999995</v>
      </c>
      <c r="H14" s="15">
        <v>1.1214999999999999</v>
      </c>
      <c r="I14" s="15">
        <f t="shared" si="2"/>
        <v>9.8312932999999987</v>
      </c>
      <c r="J14" s="15">
        <v>1.49</v>
      </c>
      <c r="K14" s="15">
        <f t="shared" si="3"/>
        <v>11.321293299999999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spans="1:29" x14ac:dyDescent="0.2">
      <c r="A15" s="13" t="s">
        <v>1775</v>
      </c>
      <c r="B15" s="99">
        <v>5205122002405</v>
      </c>
      <c r="C15" s="15">
        <v>2.65</v>
      </c>
      <c r="D15" s="15">
        <v>0.9</v>
      </c>
      <c r="E15" s="15">
        <f t="shared" si="0"/>
        <v>3.55</v>
      </c>
      <c r="F15" s="15">
        <v>1.24</v>
      </c>
      <c r="G15" s="15">
        <f t="shared" si="1"/>
        <v>4.4020000000000001</v>
      </c>
      <c r="H15" s="15">
        <v>1.1214999999999999</v>
      </c>
      <c r="I15" s="15">
        <f t="shared" si="2"/>
        <v>4.9368429999999996</v>
      </c>
      <c r="J15" s="15">
        <v>0.25</v>
      </c>
      <c r="K15" s="15">
        <f t="shared" si="3"/>
        <v>5.1868429999999996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spans="1:29" x14ac:dyDescent="0.2">
      <c r="A16" s="13" t="s">
        <v>1776</v>
      </c>
      <c r="B16" s="99">
        <v>5205122002917</v>
      </c>
      <c r="C16" s="15">
        <v>2.95</v>
      </c>
      <c r="D16" s="15">
        <v>0.6</v>
      </c>
      <c r="E16" s="15">
        <f t="shared" si="0"/>
        <v>3.5500000000000003</v>
      </c>
      <c r="F16" s="15">
        <v>1.24</v>
      </c>
      <c r="G16" s="15">
        <f t="shared" si="1"/>
        <v>4.4020000000000001</v>
      </c>
      <c r="H16" s="15">
        <v>1.1214999999999999</v>
      </c>
      <c r="I16" s="15">
        <f t="shared" si="2"/>
        <v>4.9368429999999996</v>
      </c>
      <c r="J16" s="15">
        <v>0.25</v>
      </c>
      <c r="K16" s="15">
        <f t="shared" si="3"/>
        <v>5.1868429999999996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spans="1:29" x14ac:dyDescent="0.2">
      <c r="A17" s="13" t="s">
        <v>1777</v>
      </c>
      <c r="B17" s="99">
        <v>5205122000869</v>
      </c>
      <c r="C17" s="15">
        <v>4.24</v>
      </c>
      <c r="D17" s="15">
        <v>0.9</v>
      </c>
      <c r="E17" s="15">
        <f t="shared" si="0"/>
        <v>5.1400000000000006</v>
      </c>
      <c r="F17" s="15">
        <v>1.06</v>
      </c>
      <c r="G17" s="15">
        <f t="shared" si="1"/>
        <v>5.4484000000000012</v>
      </c>
      <c r="H17" s="15">
        <v>1.1214999999999999</v>
      </c>
      <c r="I17" s="15">
        <f t="shared" si="2"/>
        <v>6.1103806000000009</v>
      </c>
      <c r="J17" s="15">
        <v>0.25</v>
      </c>
      <c r="K17" s="15">
        <f t="shared" si="3"/>
        <v>6.3603806000000009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spans="1:29" x14ac:dyDescent="0.2">
      <c r="A18" s="13" t="s">
        <v>1778</v>
      </c>
      <c r="B18" s="99">
        <v>5205122002320</v>
      </c>
      <c r="C18" s="15">
        <v>4.8899999999999997</v>
      </c>
      <c r="D18" s="15">
        <v>0.6</v>
      </c>
      <c r="E18" s="15">
        <f t="shared" si="0"/>
        <v>5.4899999999999993</v>
      </c>
      <c r="F18" s="15">
        <v>1.06</v>
      </c>
      <c r="G18" s="15">
        <f t="shared" si="1"/>
        <v>5.8193999999999999</v>
      </c>
      <c r="H18" s="15">
        <v>1.1214999999999999</v>
      </c>
      <c r="I18" s="15">
        <f t="shared" si="2"/>
        <v>6.5264570999999991</v>
      </c>
      <c r="J18" s="15">
        <v>0.25</v>
      </c>
      <c r="K18" s="15">
        <f t="shared" si="3"/>
        <v>6.7764570999999991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spans="1:29" x14ac:dyDescent="0.2">
      <c r="A19" s="13" t="s">
        <v>1779</v>
      </c>
      <c r="B19" s="99">
        <v>5205122000739</v>
      </c>
      <c r="C19" s="15">
        <v>4.45</v>
      </c>
      <c r="D19" s="15">
        <v>0.4</v>
      </c>
      <c r="E19" s="15">
        <f t="shared" si="0"/>
        <v>4.8500000000000005</v>
      </c>
      <c r="F19" s="15">
        <v>1.24</v>
      </c>
      <c r="G19" s="15">
        <f t="shared" si="1"/>
        <v>6.0140000000000002</v>
      </c>
      <c r="H19" s="15">
        <v>1.1214999999999999</v>
      </c>
      <c r="I19" s="15">
        <f t="shared" si="2"/>
        <v>6.7447010000000001</v>
      </c>
      <c r="J19" s="15">
        <v>0.25</v>
      </c>
      <c r="K19" s="15">
        <f t="shared" si="3"/>
        <v>6.9947010000000001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spans="1:29" x14ac:dyDescent="0.2">
      <c r="A20" s="13" t="s">
        <v>1780</v>
      </c>
      <c r="B20" s="99">
        <v>5205122001972</v>
      </c>
      <c r="C20" s="15">
        <v>2.41</v>
      </c>
      <c r="D20" s="15">
        <v>0.9</v>
      </c>
      <c r="E20" s="15">
        <f t="shared" si="0"/>
        <v>3.31</v>
      </c>
      <c r="F20" s="15">
        <v>1.24</v>
      </c>
      <c r="G20" s="15">
        <f t="shared" si="1"/>
        <v>4.1044</v>
      </c>
      <c r="H20" s="15">
        <v>1.1214999999999999</v>
      </c>
      <c r="I20" s="15">
        <f t="shared" si="2"/>
        <v>4.6030845999999999</v>
      </c>
      <c r="J20" s="15">
        <v>0.25</v>
      </c>
      <c r="K20" s="15">
        <f t="shared" si="3"/>
        <v>4.8530845999999999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spans="1:29" x14ac:dyDescent="0.2">
      <c r="A21" s="13" t="s">
        <v>1781</v>
      </c>
      <c r="B21" s="99">
        <v>5205122004218</v>
      </c>
      <c r="C21" s="15">
        <v>6.47</v>
      </c>
      <c r="D21" s="15">
        <v>0.9</v>
      </c>
      <c r="E21" s="15">
        <f t="shared" si="0"/>
        <v>7.37</v>
      </c>
      <c r="F21" s="15">
        <v>1.24</v>
      </c>
      <c r="G21" s="15">
        <f t="shared" si="1"/>
        <v>9.1387999999999998</v>
      </c>
      <c r="H21" s="15">
        <v>1.1214999999999999</v>
      </c>
      <c r="I21" s="15">
        <f t="shared" si="2"/>
        <v>10.249164199999999</v>
      </c>
      <c r="J21" s="15">
        <v>0.7</v>
      </c>
      <c r="K21" s="15">
        <f t="shared" si="3"/>
        <v>10.949164199999998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 x14ac:dyDescent="0.2">
      <c r="A22" s="13" t="s">
        <v>1782</v>
      </c>
      <c r="B22" s="99">
        <v>5205122004188</v>
      </c>
      <c r="C22" s="15">
        <v>6.72</v>
      </c>
      <c r="D22" s="15">
        <v>0.9</v>
      </c>
      <c r="E22" s="15">
        <f t="shared" si="0"/>
        <v>7.62</v>
      </c>
      <c r="F22" s="15">
        <v>1.24</v>
      </c>
      <c r="G22" s="15">
        <f t="shared" si="1"/>
        <v>9.4488000000000003</v>
      </c>
      <c r="H22" s="15">
        <v>1.1214999999999999</v>
      </c>
      <c r="I22" s="15">
        <f t="shared" si="2"/>
        <v>10.5968292</v>
      </c>
      <c r="J22" s="15">
        <v>0.73999999999999899</v>
      </c>
      <c r="K22" s="15">
        <f t="shared" si="3"/>
        <v>11.336829199999999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1:29" x14ac:dyDescent="0.2">
      <c r="A23" s="13" t="s">
        <v>1783</v>
      </c>
      <c r="B23" s="99">
        <v>5205122004157</v>
      </c>
      <c r="C23" s="15">
        <v>5.42</v>
      </c>
      <c r="D23" s="15">
        <v>0.9</v>
      </c>
      <c r="E23" s="15">
        <f t="shared" si="0"/>
        <v>6.32</v>
      </c>
      <c r="F23" s="15">
        <v>1.24</v>
      </c>
      <c r="G23" s="15">
        <f t="shared" si="1"/>
        <v>7.8368000000000002</v>
      </c>
      <c r="H23" s="15">
        <v>1.1214999999999999</v>
      </c>
      <c r="I23" s="15">
        <f t="shared" si="2"/>
        <v>8.7889712000000006</v>
      </c>
      <c r="J23" s="15">
        <v>0.43</v>
      </c>
      <c r="K23" s="15">
        <f t="shared" si="3"/>
        <v>9.2189712000000004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:29" x14ac:dyDescent="0.2">
      <c r="A24" s="13" t="s">
        <v>1784</v>
      </c>
      <c r="B24" s="99">
        <v>5205122000920</v>
      </c>
      <c r="C24" s="15">
        <v>4.04</v>
      </c>
      <c r="D24" s="15">
        <v>0.3</v>
      </c>
      <c r="E24" s="15">
        <f t="shared" si="0"/>
        <v>4.34</v>
      </c>
      <c r="F24" s="15">
        <v>1.24</v>
      </c>
      <c r="G24" s="15">
        <f t="shared" si="1"/>
        <v>5.3815999999999997</v>
      </c>
      <c r="H24" s="15">
        <v>1.1214999999999999</v>
      </c>
      <c r="I24" s="15">
        <f t="shared" si="2"/>
        <v>6.0354643999999995</v>
      </c>
      <c r="J24" s="15">
        <v>0.25</v>
      </c>
      <c r="K24" s="15">
        <f t="shared" si="3"/>
        <v>6.2854643999999995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spans="1:29" x14ac:dyDescent="0.2">
      <c r="A25" s="13" t="s">
        <v>1785</v>
      </c>
      <c r="B25" s="99">
        <v>5205122001781</v>
      </c>
      <c r="C25" s="15">
        <v>4.04</v>
      </c>
      <c r="D25" s="15">
        <v>0.6</v>
      </c>
      <c r="E25" s="15">
        <f t="shared" si="0"/>
        <v>4.6399999999999997</v>
      </c>
      <c r="F25" s="15">
        <v>1.24</v>
      </c>
      <c r="G25" s="15">
        <f t="shared" si="1"/>
        <v>5.7535999999999996</v>
      </c>
      <c r="H25" s="15">
        <v>1.1214999999999999</v>
      </c>
      <c r="I25" s="15">
        <f t="shared" si="2"/>
        <v>6.4526623999999995</v>
      </c>
      <c r="J25" s="15">
        <v>0.25</v>
      </c>
      <c r="K25" s="15">
        <f t="shared" si="3"/>
        <v>6.7026623999999995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spans="1:29" x14ac:dyDescent="0.2">
      <c r="A26" s="13" t="s">
        <v>1786</v>
      </c>
      <c r="B26" s="99">
        <v>5205122003624</v>
      </c>
      <c r="C26" s="15">
        <v>7.71</v>
      </c>
      <c r="D26" s="15">
        <v>0.9</v>
      </c>
      <c r="E26" s="15">
        <f t="shared" si="0"/>
        <v>8.61</v>
      </c>
      <c r="F26" s="15">
        <v>1.24</v>
      </c>
      <c r="G26" s="15">
        <f t="shared" si="1"/>
        <v>10.676399999999999</v>
      </c>
      <c r="H26" s="15">
        <v>1.1214999999999999</v>
      </c>
      <c r="I26" s="15">
        <f t="shared" si="2"/>
        <v>11.973582599999999</v>
      </c>
      <c r="J26" s="15">
        <v>0.74</v>
      </c>
      <c r="K26" s="15">
        <f t="shared" si="3"/>
        <v>12.713582599999999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 spans="1:29" x14ac:dyDescent="0.2">
      <c r="A27" s="6" t="s">
        <v>1787</v>
      </c>
      <c r="B27" s="98" t="s">
        <v>1788</v>
      </c>
      <c r="C27" s="15">
        <v>4.41</v>
      </c>
      <c r="D27" s="15">
        <v>0.3</v>
      </c>
      <c r="E27" s="15">
        <f t="shared" si="0"/>
        <v>4.71</v>
      </c>
      <c r="F27" s="15">
        <v>1.24</v>
      </c>
      <c r="G27" s="15">
        <f t="shared" si="1"/>
        <v>5.8403999999999998</v>
      </c>
      <c r="H27" s="15">
        <v>1.1214999999999999</v>
      </c>
      <c r="I27" s="15">
        <f t="shared" si="2"/>
        <v>6.5500085999999991</v>
      </c>
      <c r="J27" s="15">
        <v>0.25</v>
      </c>
      <c r="K27" s="15">
        <f t="shared" si="3"/>
        <v>6.8000085999999991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spans="1:29" x14ac:dyDescent="0.2">
      <c r="A28" s="13" t="s">
        <v>1789</v>
      </c>
      <c r="B28" s="99">
        <v>5205122001941</v>
      </c>
      <c r="C28" s="15">
        <v>3.86</v>
      </c>
      <c r="D28" s="15">
        <v>0.9</v>
      </c>
      <c r="E28" s="15">
        <f t="shared" si="0"/>
        <v>4.76</v>
      </c>
      <c r="F28" s="15">
        <v>1.24</v>
      </c>
      <c r="G28" s="15">
        <f t="shared" si="1"/>
        <v>5.9024000000000001</v>
      </c>
      <c r="H28" s="15">
        <v>1.1214999999999999</v>
      </c>
      <c r="I28" s="15">
        <f t="shared" si="2"/>
        <v>6.6195415999999998</v>
      </c>
      <c r="J28" s="15">
        <v>0.25</v>
      </c>
      <c r="K28" s="15">
        <f t="shared" si="3"/>
        <v>6.8695415999999998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spans="1:29" x14ac:dyDescent="0.2">
      <c r="A29" s="13" t="s">
        <v>1790</v>
      </c>
      <c r="B29" s="99">
        <v>5205122000555</v>
      </c>
      <c r="C29" s="15">
        <v>3.22</v>
      </c>
      <c r="D29" s="15">
        <v>0.9</v>
      </c>
      <c r="E29" s="15">
        <f t="shared" si="0"/>
        <v>4.12</v>
      </c>
      <c r="F29" s="15">
        <v>1.24</v>
      </c>
      <c r="G29" s="15">
        <f t="shared" si="1"/>
        <v>5.1088000000000005</v>
      </c>
      <c r="H29" s="15">
        <v>1.1214999999999999</v>
      </c>
      <c r="I29" s="15">
        <f t="shared" si="2"/>
        <v>5.7295192000000004</v>
      </c>
      <c r="J29" s="15">
        <v>0.25</v>
      </c>
      <c r="K29" s="15">
        <f t="shared" si="3"/>
        <v>5.9795192000000004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spans="1:29" x14ac:dyDescent="0.2">
      <c r="A30" s="13" t="s">
        <v>1791</v>
      </c>
      <c r="B30" s="99">
        <v>5205122000500</v>
      </c>
      <c r="C30" s="15">
        <v>3.75</v>
      </c>
      <c r="D30" s="15">
        <v>0.9</v>
      </c>
      <c r="E30" s="15">
        <f t="shared" si="0"/>
        <v>4.6500000000000004</v>
      </c>
      <c r="F30" s="15">
        <v>1.24</v>
      </c>
      <c r="G30" s="15">
        <f t="shared" si="1"/>
        <v>5.766</v>
      </c>
      <c r="H30" s="15">
        <v>1.1214999999999999</v>
      </c>
      <c r="I30" s="15">
        <f t="shared" si="2"/>
        <v>6.4665689999999998</v>
      </c>
      <c r="J30" s="15">
        <v>0.25</v>
      </c>
      <c r="K30" s="15">
        <f t="shared" si="3"/>
        <v>6.7165689999999998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spans="1:29" x14ac:dyDescent="0.2">
      <c r="A31" s="13" t="s">
        <v>1792</v>
      </c>
      <c r="B31" s="99">
        <v>5205122000494</v>
      </c>
      <c r="C31" s="15">
        <v>3.65</v>
      </c>
      <c r="D31" s="15">
        <v>0.9</v>
      </c>
      <c r="E31" s="15">
        <f t="shared" si="0"/>
        <v>4.55</v>
      </c>
      <c r="F31" s="15">
        <v>1.24</v>
      </c>
      <c r="G31" s="15">
        <f t="shared" si="1"/>
        <v>5.6419999999999995</v>
      </c>
      <c r="H31" s="15">
        <v>1.1214999999999999</v>
      </c>
      <c r="I31" s="15">
        <f t="shared" si="2"/>
        <v>6.3275029999999992</v>
      </c>
      <c r="J31" s="15">
        <v>0.25</v>
      </c>
      <c r="K31" s="15">
        <f t="shared" si="3"/>
        <v>6.5775029999999992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 spans="1:29" x14ac:dyDescent="0.2">
      <c r="A32" s="13" t="s">
        <v>1793</v>
      </c>
      <c r="B32" s="99">
        <v>5205122003297</v>
      </c>
      <c r="C32" s="15">
        <v>8.99</v>
      </c>
      <c r="D32" s="15">
        <v>0.9</v>
      </c>
      <c r="E32" s="15">
        <f t="shared" si="0"/>
        <v>9.89</v>
      </c>
      <c r="F32" s="15">
        <v>1.24</v>
      </c>
      <c r="G32" s="15">
        <f t="shared" si="1"/>
        <v>12.2636</v>
      </c>
      <c r="H32" s="15">
        <v>1.1214999999999999</v>
      </c>
      <c r="I32" s="15">
        <f t="shared" si="2"/>
        <v>13.753627399999999</v>
      </c>
      <c r="J32" s="15">
        <v>0.73999999999999899</v>
      </c>
      <c r="K32" s="15">
        <f t="shared" si="3"/>
        <v>14.493627399999998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spans="1:29" x14ac:dyDescent="0.2">
      <c r="A33" s="13" t="s">
        <v>1794</v>
      </c>
      <c r="B33" s="99">
        <v>5205122004348</v>
      </c>
      <c r="C33" s="15">
        <v>7.34</v>
      </c>
      <c r="D33" s="15">
        <v>0.9</v>
      </c>
      <c r="E33" s="15">
        <f t="shared" si="0"/>
        <v>8.24</v>
      </c>
      <c r="F33" s="15">
        <v>1.24</v>
      </c>
      <c r="G33" s="15">
        <f t="shared" si="1"/>
        <v>10.217600000000001</v>
      </c>
      <c r="H33" s="15">
        <v>1.1214999999999999</v>
      </c>
      <c r="I33" s="15">
        <f t="shared" si="2"/>
        <v>11.459038400000001</v>
      </c>
      <c r="J33" s="15">
        <v>0.73999999999999899</v>
      </c>
      <c r="K33" s="15">
        <f t="shared" si="3"/>
        <v>12.199038399999999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 spans="1:29" x14ac:dyDescent="0.2">
      <c r="A34" s="12" t="s">
        <v>1795</v>
      </c>
      <c r="B34" s="72">
        <v>5205122000432</v>
      </c>
      <c r="C34" s="12">
        <v>3.22</v>
      </c>
      <c r="D34" s="12">
        <v>0.3</v>
      </c>
      <c r="E34" s="12">
        <f t="shared" si="0"/>
        <v>3.52</v>
      </c>
      <c r="F34" s="12">
        <v>1.24</v>
      </c>
      <c r="G34" s="12">
        <f t="shared" si="1"/>
        <v>4.3647999999999998</v>
      </c>
      <c r="H34" s="12">
        <v>1.1214999999999999</v>
      </c>
      <c r="I34" s="12">
        <f t="shared" si="2"/>
        <v>4.8951231999999996</v>
      </c>
      <c r="J34" s="12">
        <v>0.25</v>
      </c>
      <c r="K34" s="12">
        <f t="shared" si="3"/>
        <v>5.1451231999999996</v>
      </c>
    </row>
    <row r="35" spans="1:29" x14ac:dyDescent="0.2">
      <c r="A35" s="12" t="s">
        <v>1796</v>
      </c>
      <c r="B35" s="72">
        <v>5205122003655</v>
      </c>
      <c r="C35" s="12">
        <v>6.04</v>
      </c>
      <c r="D35" s="12">
        <v>0.4</v>
      </c>
      <c r="E35" s="12">
        <f t="shared" si="0"/>
        <v>6.44</v>
      </c>
      <c r="F35" s="12">
        <v>1.06</v>
      </c>
      <c r="G35" s="12">
        <f t="shared" si="1"/>
        <v>6.8264000000000005</v>
      </c>
      <c r="H35" s="12">
        <v>1.1214999999999999</v>
      </c>
      <c r="I35" s="12">
        <f t="shared" si="2"/>
        <v>7.6558076000000002</v>
      </c>
      <c r="J35" s="12">
        <v>1.42</v>
      </c>
      <c r="K35" s="12">
        <f t="shared" si="3"/>
        <v>9.075807600000001</v>
      </c>
    </row>
    <row r="36" spans="1:29" x14ac:dyDescent="0.2">
      <c r="A36" s="12" t="s">
        <v>1797</v>
      </c>
      <c r="B36" s="72">
        <v>5205122003426</v>
      </c>
      <c r="C36" s="12">
        <v>5.5</v>
      </c>
      <c r="D36" s="12">
        <v>0.6</v>
      </c>
      <c r="E36" s="12">
        <f t="shared" si="0"/>
        <v>6.1</v>
      </c>
      <c r="F36" s="12">
        <v>1.24</v>
      </c>
      <c r="G36" s="12">
        <f t="shared" si="1"/>
        <v>7.5639999999999992</v>
      </c>
      <c r="H36" s="12">
        <v>1.1214999999999999</v>
      </c>
      <c r="I36" s="12">
        <f t="shared" si="2"/>
        <v>8.4830259999999988</v>
      </c>
      <c r="J36" s="12">
        <v>0.43</v>
      </c>
      <c r="K36" s="12">
        <f t="shared" si="3"/>
        <v>8.9130259999999986</v>
      </c>
    </row>
    <row r="37" spans="1:29" x14ac:dyDescent="0.2">
      <c r="A37" s="12" t="s">
        <v>1798</v>
      </c>
      <c r="B37" s="72">
        <v>5205122003334</v>
      </c>
      <c r="C37" s="12">
        <v>11.17</v>
      </c>
      <c r="D37" s="12">
        <v>0.9</v>
      </c>
      <c r="E37" s="12">
        <f t="shared" si="0"/>
        <v>12.07</v>
      </c>
      <c r="F37" s="12">
        <v>1.24</v>
      </c>
      <c r="G37" s="12">
        <f t="shared" si="1"/>
        <v>14.966800000000001</v>
      </c>
      <c r="H37" s="12">
        <v>1.1214999999999999</v>
      </c>
      <c r="I37" s="12">
        <f t="shared" si="2"/>
        <v>16.785266199999999</v>
      </c>
      <c r="J37" s="12">
        <v>0.73999999999999899</v>
      </c>
      <c r="K37" s="12">
        <f t="shared" si="3"/>
        <v>17.525266199999997</v>
      </c>
    </row>
    <row r="38" spans="1:29" x14ac:dyDescent="0.2">
      <c r="A38" s="12" t="s">
        <v>1799</v>
      </c>
      <c r="B38" s="72">
        <v>5205122002542</v>
      </c>
      <c r="C38" s="12">
        <v>4.3099999999999996</v>
      </c>
      <c r="D38" s="12">
        <v>0.3</v>
      </c>
      <c r="E38" s="12">
        <f t="shared" si="0"/>
        <v>4.6099999999999994</v>
      </c>
      <c r="F38" s="12">
        <v>1.24</v>
      </c>
      <c r="G38" s="12">
        <f t="shared" si="1"/>
        <v>5.7163999999999993</v>
      </c>
      <c r="H38" s="12">
        <v>1.1214999999999999</v>
      </c>
      <c r="I38" s="12">
        <f t="shared" si="2"/>
        <v>6.4109425999999985</v>
      </c>
      <c r="J38" s="12">
        <v>0.25</v>
      </c>
      <c r="K38" s="12">
        <f t="shared" si="3"/>
        <v>6.6609425999999985</v>
      </c>
    </row>
    <row r="39" spans="1:29" x14ac:dyDescent="0.2">
      <c r="A39" s="12" t="s">
        <v>1800</v>
      </c>
      <c r="B39" s="72">
        <v>5205122001606</v>
      </c>
      <c r="C39" s="12">
        <v>3.43</v>
      </c>
      <c r="D39" s="12">
        <v>0.3</v>
      </c>
      <c r="E39" s="12">
        <f t="shared" si="0"/>
        <v>3.73</v>
      </c>
      <c r="F39" s="12">
        <v>1.1299999999999999</v>
      </c>
      <c r="G39" s="12">
        <f t="shared" si="1"/>
        <v>4.2148999999999992</v>
      </c>
      <c r="H39" s="12">
        <v>1.1214999999999999</v>
      </c>
      <c r="I39" s="12">
        <f t="shared" si="2"/>
        <v>4.7270103499999987</v>
      </c>
      <c r="J39" s="12">
        <v>0.25</v>
      </c>
      <c r="K39" s="12">
        <f t="shared" si="3"/>
        <v>4.9770103499999987</v>
      </c>
    </row>
    <row r="40" spans="1:29" x14ac:dyDescent="0.2">
      <c r="A40" s="12" t="s">
        <v>1801</v>
      </c>
      <c r="B40" s="72">
        <v>5205122003358</v>
      </c>
      <c r="C40" s="12">
        <v>7.67</v>
      </c>
      <c r="D40" s="12">
        <v>0.9</v>
      </c>
      <c r="E40" s="12">
        <f t="shared" si="0"/>
        <v>8.57</v>
      </c>
      <c r="F40" s="12">
        <v>1.24</v>
      </c>
      <c r="G40" s="12">
        <f t="shared" si="1"/>
        <v>10.626800000000001</v>
      </c>
      <c r="H40" s="12">
        <v>1.1214999999999999</v>
      </c>
      <c r="I40" s="12">
        <f t="shared" si="2"/>
        <v>11.917956200000001</v>
      </c>
      <c r="J40" s="12">
        <v>0.73999999999999899</v>
      </c>
      <c r="K40" s="12">
        <f t="shared" si="3"/>
        <v>12.657956199999999</v>
      </c>
    </row>
    <row r="41" spans="1:29" x14ac:dyDescent="0.2">
      <c r="A41" s="12" t="s">
        <v>1802</v>
      </c>
      <c r="B41" s="72">
        <v>5205122001651</v>
      </c>
      <c r="C41" s="12">
        <v>0.73</v>
      </c>
      <c r="D41" s="12">
        <v>0.2</v>
      </c>
      <c r="E41" s="12">
        <f t="shared" si="0"/>
        <v>0.92999999999999994</v>
      </c>
      <c r="F41" s="12">
        <v>1.1299999999999999</v>
      </c>
      <c r="G41" s="12">
        <f t="shared" si="1"/>
        <v>1.0508999999999997</v>
      </c>
      <c r="H41" s="12">
        <v>1.1214999999999999</v>
      </c>
      <c r="I41" s="12">
        <f t="shared" si="2"/>
        <v>1.1785843499999997</v>
      </c>
      <c r="J41" s="12">
        <v>0.25</v>
      </c>
      <c r="K41" s="12">
        <f t="shared" si="3"/>
        <v>1.4285843499999997</v>
      </c>
    </row>
    <row r="42" spans="1:29" x14ac:dyDescent="0.2">
      <c r="A42" s="12" t="s">
        <v>1803</v>
      </c>
      <c r="B42" s="72">
        <v>5205122000425</v>
      </c>
      <c r="C42" s="12">
        <v>3.22</v>
      </c>
      <c r="D42" s="12">
        <v>0.3</v>
      </c>
      <c r="E42" s="12">
        <f t="shared" si="0"/>
        <v>3.52</v>
      </c>
      <c r="F42" s="12">
        <v>1.24</v>
      </c>
      <c r="G42" s="12">
        <f t="shared" si="1"/>
        <v>4.3647999999999998</v>
      </c>
      <c r="H42" s="12">
        <v>1.1214999999999999</v>
      </c>
      <c r="I42" s="12">
        <f t="shared" si="2"/>
        <v>4.8951231999999996</v>
      </c>
      <c r="J42" s="12">
        <v>0.25</v>
      </c>
      <c r="K42" s="12">
        <f t="shared" si="3"/>
        <v>5.1451231999999996</v>
      </c>
    </row>
    <row r="43" spans="1:29" x14ac:dyDescent="0.2">
      <c r="A43" s="6" t="s">
        <v>1804</v>
      </c>
      <c r="B43" s="71" t="s">
        <v>1805</v>
      </c>
      <c r="C43" s="12">
        <v>20.23</v>
      </c>
      <c r="D43" s="12">
        <v>0.9</v>
      </c>
      <c r="E43" s="12">
        <f t="shared" si="0"/>
        <v>21.13</v>
      </c>
      <c r="F43" s="12">
        <v>1.24</v>
      </c>
      <c r="G43" s="12">
        <f t="shared" si="1"/>
        <v>26.2012</v>
      </c>
      <c r="H43" s="12">
        <v>1.1214999999999999</v>
      </c>
      <c r="I43" s="12">
        <f t="shared" si="2"/>
        <v>29.384645799999998</v>
      </c>
      <c r="J43" s="12">
        <v>1.42</v>
      </c>
      <c r="K43" s="12">
        <f t="shared" si="3"/>
        <v>30.804645799999996</v>
      </c>
    </row>
    <row r="44" spans="1:29" x14ac:dyDescent="0.2">
      <c r="A44" s="6" t="s">
        <v>1806</v>
      </c>
      <c r="B44" s="71" t="s">
        <v>1807</v>
      </c>
      <c r="C44" s="12">
        <v>4.6900000000000004</v>
      </c>
      <c r="D44" s="12">
        <v>0.16</v>
      </c>
      <c r="E44" s="12">
        <f t="shared" si="0"/>
        <v>4.8500000000000005</v>
      </c>
      <c r="F44" s="12">
        <v>1.24</v>
      </c>
      <c r="G44" s="12">
        <f t="shared" si="1"/>
        <v>6.0140000000000002</v>
      </c>
      <c r="H44" s="12">
        <v>1.1214999999999999</v>
      </c>
      <c r="I44" s="12">
        <f t="shared" si="2"/>
        <v>6.7447010000000001</v>
      </c>
      <c r="J44" s="12">
        <v>0.25</v>
      </c>
      <c r="K44" s="12">
        <f t="shared" si="3"/>
        <v>6.9947010000000001</v>
      </c>
    </row>
    <row r="45" spans="1:29" x14ac:dyDescent="0.2">
      <c r="A45" s="6" t="s">
        <v>1808</v>
      </c>
      <c r="B45" s="71" t="s">
        <v>1809</v>
      </c>
      <c r="C45" s="12">
        <v>7.37</v>
      </c>
      <c r="D45" s="12">
        <v>0.9</v>
      </c>
      <c r="E45" s="12">
        <f t="shared" si="0"/>
        <v>8.27</v>
      </c>
      <c r="F45" s="12">
        <v>1.06</v>
      </c>
      <c r="G45" s="12">
        <f t="shared" si="1"/>
        <v>8.7661999999999995</v>
      </c>
      <c r="H45" s="12">
        <v>1.1214999999999999</v>
      </c>
      <c r="I45" s="12">
        <f t="shared" si="2"/>
        <v>9.8312932999999987</v>
      </c>
      <c r="J45" s="12">
        <v>1.42</v>
      </c>
      <c r="K45" s="12">
        <f t="shared" si="3"/>
        <v>11.251293299999999</v>
      </c>
    </row>
    <row r="46" spans="1:29" x14ac:dyDescent="0.2">
      <c r="A46" s="6" t="s">
        <v>1810</v>
      </c>
      <c r="B46" s="71" t="s">
        <v>1811</v>
      </c>
      <c r="C46" s="12">
        <v>6.45</v>
      </c>
      <c r="D46" s="12">
        <v>0.9</v>
      </c>
      <c r="E46" s="12">
        <f t="shared" si="0"/>
        <v>7.3500000000000005</v>
      </c>
      <c r="F46" s="12">
        <v>1.24</v>
      </c>
      <c r="G46" s="12">
        <f t="shared" si="1"/>
        <v>9.1140000000000008</v>
      </c>
      <c r="H46" s="12">
        <v>1.1214999999999999</v>
      </c>
      <c r="I46" s="12">
        <f t="shared" si="2"/>
        <v>10.221351</v>
      </c>
      <c r="J46" s="12">
        <v>0.73999999999999899</v>
      </c>
      <c r="K46" s="12">
        <f t="shared" si="3"/>
        <v>10.961350999999999</v>
      </c>
    </row>
    <row r="47" spans="1:29" x14ac:dyDescent="0.2">
      <c r="A47" s="6" t="s">
        <v>1812</v>
      </c>
      <c r="B47" s="71" t="s">
        <v>1813</v>
      </c>
      <c r="C47" s="12">
        <v>8.67</v>
      </c>
      <c r="D47" s="12">
        <v>0.9</v>
      </c>
      <c r="E47" s="12">
        <f t="shared" si="0"/>
        <v>9.57</v>
      </c>
      <c r="F47" s="12">
        <v>1.06</v>
      </c>
      <c r="G47" s="12">
        <f t="shared" si="1"/>
        <v>10.144200000000001</v>
      </c>
      <c r="H47" s="12">
        <v>1.1214999999999999</v>
      </c>
      <c r="I47" s="12">
        <f t="shared" si="2"/>
        <v>11.376720300000001</v>
      </c>
      <c r="J47" s="12">
        <v>1.42</v>
      </c>
      <c r="K47" s="12">
        <f t="shared" si="3"/>
        <v>12.7967203</v>
      </c>
    </row>
    <row r="48" spans="1:29" x14ac:dyDescent="0.2">
      <c r="A48" s="6" t="s">
        <v>1814</v>
      </c>
      <c r="B48" s="71" t="s">
        <v>1815</v>
      </c>
      <c r="C48" s="12">
        <v>11.75</v>
      </c>
      <c r="D48" s="12">
        <v>0.9</v>
      </c>
      <c r="E48" s="12">
        <f t="shared" si="0"/>
        <v>12.65</v>
      </c>
      <c r="F48" s="12">
        <v>1.24</v>
      </c>
      <c r="G48" s="12">
        <f t="shared" si="1"/>
        <v>15.686</v>
      </c>
      <c r="H48" s="12">
        <v>1.1214999999999999</v>
      </c>
      <c r="I48" s="12">
        <f t="shared" si="2"/>
        <v>17.591849</v>
      </c>
      <c r="J48" s="12">
        <v>0.73999999999999899</v>
      </c>
      <c r="K48" s="12">
        <f t="shared" si="3"/>
        <v>18.331848999999998</v>
      </c>
    </row>
    <row r="49" spans="1:11" x14ac:dyDescent="0.2">
      <c r="A49" s="6" t="s">
        <v>1816</v>
      </c>
      <c r="B49" s="71" t="s">
        <v>1817</v>
      </c>
      <c r="C49" s="12">
        <v>9.5399999999999991</v>
      </c>
      <c r="D49" s="12">
        <v>0.9</v>
      </c>
      <c r="E49" s="12">
        <f t="shared" si="0"/>
        <v>10.44</v>
      </c>
      <c r="F49" s="12">
        <v>1.24</v>
      </c>
      <c r="G49" s="12">
        <f t="shared" si="1"/>
        <v>12.945599999999999</v>
      </c>
      <c r="H49" s="12">
        <v>1.1214999999999999</v>
      </c>
      <c r="I49" s="12">
        <f t="shared" si="2"/>
        <v>14.518490399999997</v>
      </c>
      <c r="J49" s="12">
        <v>0.73999999999999899</v>
      </c>
      <c r="K49" s="12">
        <f t="shared" si="3"/>
        <v>15.258490399999996</v>
      </c>
    </row>
    <row r="50" spans="1:11" x14ac:dyDescent="0.2">
      <c r="A50" s="6" t="s">
        <v>1818</v>
      </c>
      <c r="B50" s="71" t="s">
        <v>1819</v>
      </c>
      <c r="C50" s="12">
        <v>6.45</v>
      </c>
      <c r="D50" s="12">
        <v>0.3</v>
      </c>
      <c r="E50" s="12">
        <f t="shared" si="0"/>
        <v>6.75</v>
      </c>
      <c r="F50" s="12">
        <v>1.24</v>
      </c>
      <c r="G50" s="12">
        <f t="shared" si="1"/>
        <v>8.3699999999999992</v>
      </c>
      <c r="H50" s="12">
        <v>1.1214999999999999</v>
      </c>
      <c r="I50" s="12">
        <f t="shared" si="2"/>
        <v>9.3869549999999986</v>
      </c>
      <c r="J50" s="12">
        <v>0.43</v>
      </c>
      <c r="K50" s="12">
        <f t="shared" si="3"/>
        <v>9.8169549999999983</v>
      </c>
    </row>
    <row r="51" spans="1:11" x14ac:dyDescent="0.2">
      <c r="A51" s="6" t="s">
        <v>1820</v>
      </c>
      <c r="B51" s="71" t="s">
        <v>1821</v>
      </c>
      <c r="C51" s="12">
        <v>5.94</v>
      </c>
      <c r="D51" s="12">
        <v>0.3</v>
      </c>
      <c r="E51" s="12">
        <f t="shared" si="0"/>
        <v>6.24</v>
      </c>
      <c r="F51" s="12">
        <v>1.24</v>
      </c>
      <c r="G51" s="12">
        <f t="shared" si="1"/>
        <v>7.7376000000000005</v>
      </c>
      <c r="H51" s="12">
        <v>1.1214999999999999</v>
      </c>
      <c r="I51" s="12">
        <f t="shared" si="2"/>
        <v>8.6777183999999998</v>
      </c>
      <c r="J51" s="12">
        <v>0.43</v>
      </c>
      <c r="K51" s="12">
        <f t="shared" si="3"/>
        <v>9.1077183999999995</v>
      </c>
    </row>
    <row r="52" spans="1:11" x14ac:dyDescent="0.2">
      <c r="A52" s="12" t="s">
        <v>1822</v>
      </c>
      <c r="B52" s="72">
        <v>5205122005130</v>
      </c>
      <c r="C52" s="12">
        <v>6.14</v>
      </c>
      <c r="D52" s="12">
        <v>0.9</v>
      </c>
      <c r="E52" s="12">
        <f t="shared" si="0"/>
        <v>7.04</v>
      </c>
      <c r="F52" s="12">
        <v>1.06</v>
      </c>
      <c r="G52" s="12">
        <f t="shared" si="1"/>
        <v>7.4624000000000006</v>
      </c>
      <c r="H52" s="12">
        <v>1.1214999999999999</v>
      </c>
      <c r="I52" s="12">
        <f t="shared" si="2"/>
        <v>8.3690815999999995</v>
      </c>
      <c r="J52" s="12">
        <v>0.43</v>
      </c>
      <c r="K52" s="12">
        <f t="shared" si="3"/>
        <v>8.7990815999999992</v>
      </c>
    </row>
    <row r="53" spans="1:11" x14ac:dyDescent="0.2">
      <c r="A53" s="12" t="s">
        <v>1823</v>
      </c>
      <c r="B53" s="72">
        <v>5205122005154</v>
      </c>
      <c r="C53" s="12">
        <v>6.42</v>
      </c>
      <c r="D53" s="12">
        <v>0.6</v>
      </c>
      <c r="E53" s="12">
        <f t="shared" si="0"/>
        <v>7.02</v>
      </c>
      <c r="F53" s="12">
        <v>1.06</v>
      </c>
      <c r="G53" s="12">
        <f t="shared" si="1"/>
        <v>7.4412000000000003</v>
      </c>
      <c r="H53" s="12">
        <v>1.1214999999999999</v>
      </c>
      <c r="I53" s="12">
        <f t="shared" si="2"/>
        <v>8.3453058000000002</v>
      </c>
      <c r="J53" s="12">
        <v>0.43</v>
      </c>
      <c r="K53" s="12">
        <f t="shared" si="3"/>
        <v>8.7753057999999999</v>
      </c>
    </row>
    <row r="54" spans="1:11" x14ac:dyDescent="0.2">
      <c r="A54" s="12" t="s">
        <v>1824</v>
      </c>
      <c r="B54" s="72">
        <v>5205122002719</v>
      </c>
      <c r="C54" s="12">
        <v>0.83</v>
      </c>
      <c r="D54" s="12">
        <v>0.1</v>
      </c>
      <c r="E54" s="12">
        <f t="shared" si="0"/>
        <v>0.92999999999999994</v>
      </c>
      <c r="F54" s="12">
        <v>1.1299999999999999</v>
      </c>
      <c r="G54" s="12">
        <f t="shared" si="1"/>
        <v>1.0508999999999997</v>
      </c>
      <c r="H54" s="12">
        <v>1.1214999999999999</v>
      </c>
      <c r="I54" s="12">
        <f t="shared" si="2"/>
        <v>1.1785843499999997</v>
      </c>
      <c r="J54" s="12">
        <v>0.25</v>
      </c>
      <c r="K54" s="12">
        <f t="shared" si="3"/>
        <v>1.4285843499999997</v>
      </c>
    </row>
    <row r="55" spans="1:11" x14ac:dyDescent="0.2">
      <c r="A55" s="12" t="s">
        <v>1825</v>
      </c>
      <c r="B55" s="72">
        <v>5205122002580</v>
      </c>
      <c r="C55" s="12">
        <v>1.83</v>
      </c>
      <c r="D55" s="12">
        <v>0.3</v>
      </c>
      <c r="E55" s="12">
        <f t="shared" si="0"/>
        <v>2.13</v>
      </c>
      <c r="F55" s="12">
        <v>1.24</v>
      </c>
      <c r="G55" s="12">
        <f t="shared" si="1"/>
        <v>2.6412</v>
      </c>
      <c r="H55" s="12">
        <v>1.1214999999999999</v>
      </c>
      <c r="I55" s="12">
        <f t="shared" si="2"/>
        <v>2.9621057999999998</v>
      </c>
      <c r="J55" s="12">
        <v>0.25</v>
      </c>
      <c r="K55" s="12">
        <f t="shared" si="3"/>
        <v>3.2121057999999998</v>
      </c>
    </row>
    <row r="56" spans="1:11" x14ac:dyDescent="0.2">
      <c r="A56" s="12" t="s">
        <v>1826</v>
      </c>
      <c r="B56" s="72">
        <v>5205122004836</v>
      </c>
      <c r="C56" s="12">
        <v>7.37</v>
      </c>
      <c r="D56" s="12">
        <v>0.6</v>
      </c>
      <c r="E56" s="12">
        <f t="shared" si="0"/>
        <v>7.97</v>
      </c>
      <c r="F56" s="12">
        <v>1.06</v>
      </c>
      <c r="G56" s="12">
        <f t="shared" si="1"/>
        <v>8.4481999999999999</v>
      </c>
      <c r="H56" s="12">
        <v>1.1214999999999999</v>
      </c>
      <c r="I56" s="12">
        <f t="shared" si="2"/>
        <v>9.4746562999999995</v>
      </c>
      <c r="J56" s="12">
        <v>0.42</v>
      </c>
      <c r="K56" s="12">
        <f t="shared" si="3"/>
        <v>9.8946562999999994</v>
      </c>
    </row>
    <row r="57" spans="1:11" x14ac:dyDescent="0.2">
      <c r="C57" s="12">
        <v>0</v>
      </c>
      <c r="D57" s="12">
        <v>0.9</v>
      </c>
      <c r="E57" s="12">
        <f t="shared" si="0"/>
        <v>0.9</v>
      </c>
      <c r="F57" s="12">
        <v>1.24</v>
      </c>
      <c r="G57" s="12">
        <f t="shared" si="1"/>
        <v>1.1160000000000001</v>
      </c>
      <c r="H57" s="12">
        <v>1.1214999999999999</v>
      </c>
      <c r="I57" s="12">
        <f t="shared" si="2"/>
        <v>1.2515940000000001</v>
      </c>
      <c r="J57" s="12">
        <v>0.73999999999999899</v>
      </c>
      <c r="K57" s="12">
        <f t="shared" si="3"/>
        <v>1.9915939999999992</v>
      </c>
    </row>
    <row r="58" spans="1:11" x14ac:dyDescent="0.2">
      <c r="C58" s="12">
        <v>0</v>
      </c>
      <c r="D58" s="12">
        <v>0.3</v>
      </c>
      <c r="E58" s="12">
        <f t="shared" si="0"/>
        <v>0.3</v>
      </c>
      <c r="F58" s="12">
        <v>1.24</v>
      </c>
      <c r="G58" s="12">
        <f t="shared" si="1"/>
        <v>0.372</v>
      </c>
      <c r="H58" s="12">
        <v>1.1214999999999999</v>
      </c>
      <c r="I58" s="12">
        <f t="shared" si="2"/>
        <v>0.41719799999999996</v>
      </c>
      <c r="J58" s="12">
        <v>0.25</v>
      </c>
      <c r="K58" s="12">
        <f t="shared" si="3"/>
        <v>0.66719799999999996</v>
      </c>
    </row>
    <row r="59" spans="1:11" x14ac:dyDescent="0.2">
      <c r="C59" s="12">
        <v>0</v>
      </c>
      <c r="D59" s="12">
        <v>0.9</v>
      </c>
      <c r="E59" s="12">
        <f t="shared" si="0"/>
        <v>0.9</v>
      </c>
      <c r="F59" s="12">
        <v>1.24</v>
      </c>
      <c r="G59" s="12">
        <f t="shared" si="1"/>
        <v>1.1160000000000001</v>
      </c>
      <c r="H59" s="12">
        <v>1.1214999999999999</v>
      </c>
      <c r="I59" s="12">
        <f t="shared" si="2"/>
        <v>1.2515940000000001</v>
      </c>
      <c r="J59" s="12">
        <v>0.73999999999999899</v>
      </c>
      <c r="K59" s="12">
        <f t="shared" si="3"/>
        <v>1.9915939999999992</v>
      </c>
    </row>
    <row r="60" spans="1:11" x14ac:dyDescent="0.2">
      <c r="C60" s="12">
        <v>0</v>
      </c>
      <c r="D60" s="12">
        <v>0.9</v>
      </c>
      <c r="E60" s="12">
        <f t="shared" si="0"/>
        <v>0.9</v>
      </c>
      <c r="F60" s="12">
        <v>1.24</v>
      </c>
      <c r="G60" s="12">
        <f t="shared" si="1"/>
        <v>1.1160000000000001</v>
      </c>
      <c r="H60" s="12">
        <v>1.1214999999999999</v>
      </c>
      <c r="I60" s="12">
        <f t="shared" si="2"/>
        <v>1.2515940000000001</v>
      </c>
      <c r="J60" s="12">
        <v>0.73999999999999899</v>
      </c>
      <c r="K60" s="12">
        <f t="shared" si="3"/>
        <v>1.9915939999999992</v>
      </c>
    </row>
    <row r="61" spans="1:11" x14ac:dyDescent="0.2">
      <c r="C61" s="12">
        <v>0</v>
      </c>
      <c r="D61" s="12">
        <v>0.9</v>
      </c>
      <c r="E61" s="12">
        <f t="shared" si="0"/>
        <v>0.9</v>
      </c>
      <c r="F61" s="12">
        <v>1.24</v>
      </c>
      <c r="G61" s="12">
        <f t="shared" si="1"/>
        <v>1.1160000000000001</v>
      </c>
      <c r="H61" s="12">
        <v>1.1214999999999999</v>
      </c>
      <c r="I61" s="12">
        <f t="shared" si="2"/>
        <v>1.2515940000000001</v>
      </c>
      <c r="J61" s="12">
        <v>0.73999999999999899</v>
      </c>
      <c r="K61" s="12">
        <f t="shared" si="3"/>
        <v>1.9915939999999992</v>
      </c>
    </row>
    <row r="62" spans="1:11" x14ac:dyDescent="0.2">
      <c r="C62" s="12">
        <v>0</v>
      </c>
      <c r="D62" s="12">
        <v>0.9</v>
      </c>
      <c r="E62" s="12">
        <f t="shared" si="0"/>
        <v>0.9</v>
      </c>
      <c r="F62" s="12">
        <v>1.24</v>
      </c>
      <c r="G62" s="12">
        <f t="shared" si="1"/>
        <v>1.1160000000000001</v>
      </c>
      <c r="H62" s="12">
        <v>1.1214999999999999</v>
      </c>
      <c r="I62" s="12">
        <f t="shared" si="2"/>
        <v>1.2515940000000001</v>
      </c>
      <c r="J62" s="12">
        <v>0.73999999999999899</v>
      </c>
      <c r="K62" s="12">
        <f t="shared" si="3"/>
        <v>1.9915939999999992</v>
      </c>
    </row>
    <row r="63" spans="1:11" x14ac:dyDescent="0.2">
      <c r="C63" s="12">
        <v>0</v>
      </c>
      <c r="D63" s="12">
        <v>0.9</v>
      </c>
      <c r="E63" s="12">
        <f t="shared" si="0"/>
        <v>0.9</v>
      </c>
      <c r="F63" s="12">
        <v>1.24</v>
      </c>
      <c r="G63" s="12">
        <f t="shared" si="1"/>
        <v>1.1160000000000001</v>
      </c>
      <c r="H63" s="12">
        <v>1.1214999999999999</v>
      </c>
      <c r="I63" s="12">
        <f t="shared" si="2"/>
        <v>1.2515940000000001</v>
      </c>
      <c r="J63" s="12">
        <v>0.73999999999999899</v>
      </c>
      <c r="K63" s="12">
        <f t="shared" si="3"/>
        <v>1.9915939999999992</v>
      </c>
    </row>
    <row r="64" spans="1:11" x14ac:dyDescent="0.2">
      <c r="C64" s="12">
        <v>0</v>
      </c>
      <c r="D64" s="12">
        <v>0.9</v>
      </c>
      <c r="E64" s="12">
        <f t="shared" si="0"/>
        <v>0.9</v>
      </c>
      <c r="F64" s="12">
        <v>1.24</v>
      </c>
      <c r="G64" s="12">
        <f t="shared" si="1"/>
        <v>1.1160000000000001</v>
      </c>
      <c r="H64" s="12">
        <v>1.1214999999999999</v>
      </c>
      <c r="I64" s="12">
        <f t="shared" si="2"/>
        <v>1.2515940000000001</v>
      </c>
      <c r="J64" s="12">
        <v>0.73999999999999899</v>
      </c>
      <c r="K64" s="12">
        <f t="shared" si="3"/>
        <v>1.9915939999999992</v>
      </c>
    </row>
    <row r="65" spans="3:11" x14ac:dyDescent="0.2">
      <c r="C65" s="12">
        <v>0</v>
      </c>
      <c r="D65" s="12">
        <v>0.9</v>
      </c>
      <c r="E65" s="12">
        <f t="shared" si="0"/>
        <v>0.9</v>
      </c>
      <c r="F65" s="12">
        <v>1.24</v>
      </c>
      <c r="G65" s="12">
        <f t="shared" si="1"/>
        <v>1.1160000000000001</v>
      </c>
      <c r="H65" s="12">
        <v>1.1214999999999999</v>
      </c>
      <c r="I65" s="12">
        <f t="shared" si="2"/>
        <v>1.2515940000000001</v>
      </c>
      <c r="J65" s="12">
        <v>0.73999999999999899</v>
      </c>
      <c r="K65" s="12">
        <f t="shared" si="3"/>
        <v>1.9915939999999992</v>
      </c>
    </row>
    <row r="66" spans="3:11" x14ac:dyDescent="0.2">
      <c r="C66" s="12">
        <v>0</v>
      </c>
      <c r="D66" s="12">
        <v>0.9</v>
      </c>
      <c r="E66" s="12">
        <f t="shared" si="0"/>
        <v>0.9</v>
      </c>
      <c r="F66" s="12">
        <v>1.24</v>
      </c>
      <c r="G66" s="12">
        <f t="shared" si="1"/>
        <v>1.1160000000000001</v>
      </c>
      <c r="H66" s="12">
        <v>1.1214999999999999</v>
      </c>
      <c r="I66" s="12">
        <f t="shared" si="2"/>
        <v>1.2515940000000001</v>
      </c>
      <c r="J66" s="12">
        <v>0.73999999999999899</v>
      </c>
      <c r="K66" s="12">
        <f t="shared" si="3"/>
        <v>1.9915939999999992</v>
      </c>
    </row>
    <row r="67" spans="3:11" x14ac:dyDescent="0.2">
      <c r="C67" s="12">
        <v>0</v>
      </c>
      <c r="D67" s="12">
        <v>0.9</v>
      </c>
      <c r="E67" s="12">
        <f t="shared" si="0"/>
        <v>0.9</v>
      </c>
      <c r="F67" s="12">
        <v>1.24</v>
      </c>
      <c r="G67" s="12">
        <f t="shared" si="1"/>
        <v>1.1160000000000001</v>
      </c>
      <c r="H67" s="12">
        <v>1.1214999999999999</v>
      </c>
      <c r="I67" s="12">
        <f t="shared" si="2"/>
        <v>1.2515940000000001</v>
      </c>
      <c r="J67" s="12">
        <v>0.73999999999999899</v>
      </c>
      <c r="K67" s="12">
        <f t="shared" si="3"/>
        <v>1.9915939999999992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EC87B-6DA4-4CA2-8117-51EAF288B2B6}">
  <dimension ref="A1:O69"/>
  <sheetViews>
    <sheetView topLeftCell="A14" workbookViewId="0">
      <selection activeCell="E30" sqref="E30"/>
    </sheetView>
  </sheetViews>
  <sheetFormatPr defaultRowHeight="12.75" x14ac:dyDescent="0.2"/>
  <cols>
    <col min="1" max="1" width="18.42578125" customWidth="1"/>
    <col min="2" max="2" width="16.85546875" style="73" customWidth="1"/>
  </cols>
  <sheetData>
    <row r="1" spans="1:15" ht="21" x14ac:dyDescent="0.35">
      <c r="C1" s="55" t="s">
        <v>314</v>
      </c>
      <c r="D1" s="55" t="s">
        <v>315</v>
      </c>
      <c r="E1" s="77" t="s">
        <v>316</v>
      </c>
      <c r="F1" s="55" t="s">
        <v>317</v>
      </c>
      <c r="G1" s="55" t="s">
        <v>2086</v>
      </c>
      <c r="H1" s="55" t="s">
        <v>318</v>
      </c>
      <c r="I1" s="55" t="s">
        <v>319</v>
      </c>
      <c r="J1" s="58" t="s">
        <v>320</v>
      </c>
      <c r="K1" s="58" t="s">
        <v>2087</v>
      </c>
      <c r="L1" s="55" t="s">
        <v>321</v>
      </c>
      <c r="M1" s="55" t="s">
        <v>322</v>
      </c>
      <c r="N1" s="55" t="s">
        <v>323</v>
      </c>
      <c r="O1" s="55"/>
    </row>
    <row r="2" spans="1:15" ht="15" x14ac:dyDescent="0.25">
      <c r="A2" s="13" t="s">
        <v>1762</v>
      </c>
      <c r="B2" s="99" t="s">
        <v>2182</v>
      </c>
      <c r="C2" s="15">
        <v>8.32</v>
      </c>
      <c r="D2" s="88">
        <v>0.9</v>
      </c>
      <c r="E2" s="89" t="e">
        <f>IFERROR(
_xlfn.XLOOKUP(
B2,#REF!,#REF!
),
_xlfn.XLOOKUP(
A2,#REF!,#REF!
)
)</f>
        <v>#REF!</v>
      </c>
      <c r="F2" s="88" t="str">
        <f>IFERROR(
VLOOKUP(
B2,#REF!,
6,
FALSE
),
""
)</f>
        <v/>
      </c>
      <c r="G2" s="88">
        <v>0</v>
      </c>
      <c r="H2" s="88">
        <v>24</v>
      </c>
      <c r="I2" s="90" t="e">
        <f t="shared" ref="I2" si="0">C2+D2+E2</f>
        <v>#REF!</v>
      </c>
      <c r="J2" s="91" t="e">
        <f>(I2+G2) / (1 - F2/100 - (1 - 1/(1 + H2/100)))</f>
        <v>#REF!</v>
      </c>
      <c r="K2" s="91"/>
      <c r="L2" s="88" t="e">
        <f t="shared" ref="L2" si="1">J2 * F2 / 100</f>
        <v>#REF!</v>
      </c>
      <c r="M2" s="88" t="e">
        <f t="shared" ref="M2" si="2">J2 - (J2 / (1 + H2/100))</f>
        <v>#REF!</v>
      </c>
      <c r="N2" s="88" t="e">
        <f t="shared" ref="N2" si="3">J2 - L2 - M2</f>
        <v>#REF!</v>
      </c>
      <c r="O2" s="88"/>
    </row>
    <row r="3" spans="1:15" ht="15" x14ac:dyDescent="0.25">
      <c r="A3" s="13" t="s">
        <v>1763</v>
      </c>
      <c r="B3" s="99" t="s">
        <v>2183</v>
      </c>
      <c r="C3" s="15">
        <v>11.28</v>
      </c>
      <c r="D3" s="88">
        <v>0.9</v>
      </c>
      <c r="E3" s="89" t="e">
        <f>IFERROR(
_xlfn.XLOOKUP(
B3,#REF!,#REF!
),
_xlfn.XLOOKUP(
A3,#REF!,#REF!
)
)</f>
        <v>#REF!</v>
      </c>
      <c r="F3" s="88" t="str">
        <f>IFERROR(
VLOOKUP(
B3,#REF!,
6,
FALSE
),
""
)</f>
        <v/>
      </c>
      <c r="G3" s="88">
        <v>0</v>
      </c>
      <c r="H3" s="88">
        <v>24</v>
      </c>
      <c r="I3" s="90" t="e">
        <f t="shared" ref="I3:I42" si="4">C3+D3+E3</f>
        <v>#REF!</v>
      </c>
      <c r="J3" s="91" t="e">
        <f t="shared" ref="J3:J42" si="5">(I3+G3) / (1 - F3/100 - (1 - 1/(1 + H3/100)))</f>
        <v>#REF!</v>
      </c>
      <c r="K3" s="91"/>
      <c r="L3" s="88" t="e">
        <f t="shared" ref="L3:L42" si="6">J3 * F3 / 100</f>
        <v>#REF!</v>
      </c>
      <c r="M3" s="88" t="e">
        <f t="shared" ref="M3:M42" si="7">J3 - (J3 / (1 + H3/100))</f>
        <v>#REF!</v>
      </c>
      <c r="N3" s="88" t="e">
        <f t="shared" ref="N3:N42" si="8">J3 - L3 - M3</f>
        <v>#REF!</v>
      </c>
      <c r="O3" s="88"/>
    </row>
    <row r="4" spans="1:15" ht="15" x14ac:dyDescent="0.25">
      <c r="A4" s="13" t="s">
        <v>1764</v>
      </c>
      <c r="B4" s="99" t="s">
        <v>2184</v>
      </c>
      <c r="C4" s="15">
        <v>7.75</v>
      </c>
      <c r="D4" s="88">
        <v>0.9</v>
      </c>
      <c r="E4" s="89" t="e">
        <f>IFERROR(
_xlfn.XLOOKUP(
B4,#REF!,#REF!
),
_xlfn.XLOOKUP(
A4,#REF!,#REF!
)
)</f>
        <v>#REF!</v>
      </c>
      <c r="F4" s="88" t="str">
        <f>IFERROR(
VLOOKUP(
B4,#REF!,
6,
FALSE
),
""
)</f>
        <v/>
      </c>
      <c r="G4" s="88">
        <v>0</v>
      </c>
      <c r="H4" s="88">
        <v>24</v>
      </c>
      <c r="I4" s="90" t="e">
        <f t="shared" si="4"/>
        <v>#REF!</v>
      </c>
      <c r="J4" s="91" t="e">
        <f t="shared" si="5"/>
        <v>#REF!</v>
      </c>
      <c r="K4" s="91"/>
      <c r="L4" s="88" t="e">
        <f t="shared" si="6"/>
        <v>#REF!</v>
      </c>
      <c r="M4" s="88" t="e">
        <f t="shared" si="7"/>
        <v>#REF!</v>
      </c>
      <c r="N4" s="88" t="e">
        <f t="shared" si="8"/>
        <v>#REF!</v>
      </c>
      <c r="O4" s="88"/>
    </row>
    <row r="5" spans="1:15" ht="15" x14ac:dyDescent="0.25">
      <c r="A5" s="13" t="s">
        <v>1765</v>
      </c>
      <c r="B5" s="99" t="s">
        <v>2185</v>
      </c>
      <c r="C5" s="15">
        <v>5.12</v>
      </c>
      <c r="D5" s="88">
        <v>0.9</v>
      </c>
      <c r="E5" s="89" t="e">
        <f>IFERROR(
_xlfn.XLOOKUP(
B5,#REF!,#REF!
),
_xlfn.XLOOKUP(
A5,#REF!,#REF!
)
)</f>
        <v>#REF!</v>
      </c>
      <c r="F5" s="88" t="str">
        <f>IFERROR(
VLOOKUP(
B5,#REF!,
6,
FALSE
),
""
)</f>
        <v/>
      </c>
      <c r="G5" s="88">
        <v>0</v>
      </c>
      <c r="H5" s="88">
        <v>24</v>
      </c>
      <c r="I5" s="90" t="e">
        <f t="shared" si="4"/>
        <v>#REF!</v>
      </c>
      <c r="J5" s="91" t="e">
        <f t="shared" si="5"/>
        <v>#REF!</v>
      </c>
      <c r="K5" s="91"/>
      <c r="L5" s="88" t="e">
        <f t="shared" si="6"/>
        <v>#REF!</v>
      </c>
      <c r="M5" s="88" t="e">
        <f t="shared" si="7"/>
        <v>#REF!</v>
      </c>
      <c r="N5" s="88" t="e">
        <f t="shared" si="8"/>
        <v>#REF!</v>
      </c>
      <c r="O5" s="88"/>
    </row>
    <row r="6" spans="1:15" ht="15" x14ac:dyDescent="0.25">
      <c r="A6" s="13" t="s">
        <v>1766</v>
      </c>
      <c r="B6" s="99" t="s">
        <v>2186</v>
      </c>
      <c r="C6" s="15">
        <v>7.37</v>
      </c>
      <c r="D6" s="88">
        <v>0.9</v>
      </c>
      <c r="E6" s="89" t="e">
        <f>IFERROR(
_xlfn.XLOOKUP(
B6,#REF!,#REF!
),
_xlfn.XLOOKUP(
A6,#REF!,#REF!
)
)</f>
        <v>#REF!</v>
      </c>
      <c r="F6" s="88" t="str">
        <f>IFERROR(
VLOOKUP(
B6,#REF!,
6,
FALSE
),
""
)</f>
        <v/>
      </c>
      <c r="G6" s="88">
        <v>0</v>
      </c>
      <c r="H6" s="88">
        <v>24</v>
      </c>
      <c r="I6" s="90" t="e">
        <f t="shared" si="4"/>
        <v>#REF!</v>
      </c>
      <c r="J6" s="91" t="e">
        <f t="shared" si="5"/>
        <v>#REF!</v>
      </c>
      <c r="K6" s="91"/>
      <c r="L6" s="88" t="e">
        <f t="shared" si="6"/>
        <v>#REF!</v>
      </c>
      <c r="M6" s="88" t="e">
        <f t="shared" si="7"/>
        <v>#REF!</v>
      </c>
      <c r="N6" s="88" t="e">
        <f t="shared" si="8"/>
        <v>#REF!</v>
      </c>
      <c r="O6" s="88"/>
    </row>
    <row r="7" spans="1:15" ht="15" x14ac:dyDescent="0.25">
      <c r="A7" s="13" t="s">
        <v>1767</v>
      </c>
      <c r="B7" s="99" t="s">
        <v>2187</v>
      </c>
      <c r="C7" s="15">
        <v>3.63</v>
      </c>
      <c r="D7" s="88">
        <v>0.9</v>
      </c>
      <c r="E7" s="89" t="e">
        <f>IFERROR(
_xlfn.XLOOKUP(
B7,#REF!,#REF!
),
_xlfn.XLOOKUP(
A7,#REF!,#REF!
)
)</f>
        <v>#REF!</v>
      </c>
      <c r="F7" s="88" t="str">
        <f>IFERROR(
VLOOKUP(
B7,#REF!,
6,
FALSE
),
""
)</f>
        <v/>
      </c>
      <c r="G7" s="88">
        <v>0</v>
      </c>
      <c r="H7" s="88">
        <v>24</v>
      </c>
      <c r="I7" s="90" t="e">
        <f t="shared" si="4"/>
        <v>#REF!</v>
      </c>
      <c r="J7" s="91" t="e">
        <f t="shared" si="5"/>
        <v>#REF!</v>
      </c>
      <c r="K7" s="91"/>
      <c r="L7" s="88" t="e">
        <f t="shared" si="6"/>
        <v>#REF!</v>
      </c>
      <c r="M7" s="88" t="e">
        <f t="shared" si="7"/>
        <v>#REF!</v>
      </c>
      <c r="N7" s="88" t="e">
        <f t="shared" si="8"/>
        <v>#REF!</v>
      </c>
      <c r="O7" s="88"/>
    </row>
    <row r="8" spans="1:15" ht="15" x14ac:dyDescent="0.25">
      <c r="A8" s="13" t="s">
        <v>1768</v>
      </c>
      <c r="B8" s="99" t="s">
        <v>2188</v>
      </c>
      <c r="C8" s="15">
        <v>4.8899999999999997</v>
      </c>
      <c r="D8" s="88">
        <v>0.9</v>
      </c>
      <c r="E8" s="89" t="e">
        <f>IFERROR(
_xlfn.XLOOKUP(
B8,#REF!,#REF!
),
_xlfn.XLOOKUP(
A8,#REF!,#REF!
)
)</f>
        <v>#REF!</v>
      </c>
      <c r="F8" s="88" t="str">
        <f>IFERROR(
VLOOKUP(
B8,#REF!,
6,
FALSE
),
""
)</f>
        <v/>
      </c>
      <c r="G8" s="88">
        <v>0</v>
      </c>
      <c r="H8" s="88">
        <v>24</v>
      </c>
      <c r="I8" s="90" t="e">
        <f t="shared" si="4"/>
        <v>#REF!</v>
      </c>
      <c r="J8" s="91" t="e">
        <f t="shared" si="5"/>
        <v>#REF!</v>
      </c>
      <c r="K8" s="91"/>
      <c r="L8" s="88" t="e">
        <f t="shared" si="6"/>
        <v>#REF!</v>
      </c>
      <c r="M8" s="88" t="e">
        <f t="shared" si="7"/>
        <v>#REF!</v>
      </c>
      <c r="N8" s="88" t="e">
        <f t="shared" si="8"/>
        <v>#REF!</v>
      </c>
      <c r="O8" s="88"/>
    </row>
    <row r="9" spans="1:15" ht="15" x14ac:dyDescent="0.25">
      <c r="A9" s="13" t="s">
        <v>1769</v>
      </c>
      <c r="B9" s="99" t="s">
        <v>2189</v>
      </c>
      <c r="C9" s="15">
        <v>4.04</v>
      </c>
      <c r="D9" s="88">
        <v>0.9</v>
      </c>
      <c r="E9" s="89" t="e">
        <f>IFERROR(
_xlfn.XLOOKUP(
B9,#REF!,#REF!
),
_xlfn.XLOOKUP(
A9,#REF!,#REF!
)
)</f>
        <v>#REF!</v>
      </c>
      <c r="F9" s="88" t="str">
        <f>IFERROR(
VLOOKUP(
B9,#REF!,
6,
FALSE
),
""
)</f>
        <v/>
      </c>
      <c r="G9" s="88">
        <v>0</v>
      </c>
      <c r="H9" s="88">
        <v>24</v>
      </c>
      <c r="I9" s="90" t="e">
        <f t="shared" si="4"/>
        <v>#REF!</v>
      </c>
      <c r="J9" s="91" t="e">
        <f t="shared" si="5"/>
        <v>#REF!</v>
      </c>
      <c r="K9" s="91"/>
      <c r="L9" s="88" t="e">
        <f t="shared" si="6"/>
        <v>#REF!</v>
      </c>
      <c r="M9" s="88" t="e">
        <f t="shared" si="7"/>
        <v>#REF!</v>
      </c>
      <c r="N9" s="88" t="e">
        <f t="shared" si="8"/>
        <v>#REF!</v>
      </c>
      <c r="O9" s="88"/>
    </row>
    <row r="10" spans="1:15" ht="15" x14ac:dyDescent="0.25">
      <c r="A10" s="13" t="s">
        <v>1770</v>
      </c>
      <c r="B10" s="99" t="s">
        <v>2190</v>
      </c>
      <c r="C10" s="15">
        <v>7.36</v>
      </c>
      <c r="D10" s="88">
        <v>0.9</v>
      </c>
      <c r="E10" s="89" t="e">
        <f>IFERROR(
_xlfn.XLOOKUP(
B10,#REF!,#REF!
),
_xlfn.XLOOKUP(
A10,#REF!,#REF!
)
)</f>
        <v>#REF!</v>
      </c>
      <c r="F10" s="88" t="str">
        <f>IFERROR(
VLOOKUP(
B10,#REF!,
6,
FALSE
),
""
)</f>
        <v/>
      </c>
      <c r="G10" s="88">
        <v>0</v>
      </c>
      <c r="H10" s="88">
        <v>24</v>
      </c>
      <c r="I10" s="90" t="e">
        <f t="shared" si="4"/>
        <v>#REF!</v>
      </c>
      <c r="J10" s="91" t="e">
        <f t="shared" si="5"/>
        <v>#REF!</v>
      </c>
      <c r="K10" s="91"/>
      <c r="L10" s="88" t="e">
        <f t="shared" si="6"/>
        <v>#REF!</v>
      </c>
      <c r="M10" s="88" t="e">
        <f t="shared" si="7"/>
        <v>#REF!</v>
      </c>
      <c r="N10" s="88" t="e">
        <f t="shared" si="8"/>
        <v>#REF!</v>
      </c>
      <c r="O10" s="88"/>
    </row>
    <row r="11" spans="1:15" ht="15" x14ac:dyDescent="0.25">
      <c r="A11" s="13" t="s">
        <v>1771</v>
      </c>
      <c r="B11" s="99" t="s">
        <v>2191</v>
      </c>
      <c r="C11" s="15">
        <v>5.12</v>
      </c>
      <c r="D11" s="88">
        <v>0.9</v>
      </c>
      <c r="E11" s="89" t="e">
        <f>IFERROR(
_xlfn.XLOOKUP(
B11,#REF!,#REF!
),
_xlfn.XLOOKUP(
A11,#REF!,#REF!
)
)</f>
        <v>#REF!</v>
      </c>
      <c r="F11" s="88" t="str">
        <f>IFERROR(
VLOOKUP(
B11,#REF!,
6,
FALSE
),
""
)</f>
        <v/>
      </c>
      <c r="G11" s="88">
        <v>0</v>
      </c>
      <c r="H11" s="88">
        <v>24</v>
      </c>
      <c r="I11" s="90" t="e">
        <f t="shared" si="4"/>
        <v>#REF!</v>
      </c>
      <c r="J11" s="91" t="e">
        <f t="shared" si="5"/>
        <v>#REF!</v>
      </c>
      <c r="K11" s="91"/>
      <c r="L11" s="88" t="e">
        <f t="shared" si="6"/>
        <v>#REF!</v>
      </c>
      <c r="M11" s="88" t="e">
        <f t="shared" si="7"/>
        <v>#REF!</v>
      </c>
      <c r="N11" s="88" t="e">
        <f t="shared" si="8"/>
        <v>#REF!</v>
      </c>
      <c r="O11" s="88"/>
    </row>
    <row r="12" spans="1:15" ht="15" x14ac:dyDescent="0.25">
      <c r="A12" s="13" t="s">
        <v>1772</v>
      </c>
      <c r="B12" s="99" t="s">
        <v>2192</v>
      </c>
      <c r="C12" s="15">
        <v>3.63</v>
      </c>
      <c r="D12" s="88">
        <v>0.9</v>
      </c>
      <c r="E12" s="89" t="e">
        <f>IFERROR(
_xlfn.XLOOKUP(
B12,#REF!,#REF!
),
_xlfn.XLOOKUP(
A12,#REF!,#REF!
)
)</f>
        <v>#REF!</v>
      </c>
      <c r="F12" s="88" t="str">
        <f>IFERROR(
VLOOKUP(
B12,#REF!,
6,
FALSE
),
""
)</f>
        <v/>
      </c>
      <c r="G12" s="88">
        <v>0</v>
      </c>
      <c r="H12" s="88">
        <v>24</v>
      </c>
      <c r="I12" s="90" t="e">
        <f t="shared" si="4"/>
        <v>#REF!</v>
      </c>
      <c r="J12" s="91" t="e">
        <f t="shared" si="5"/>
        <v>#REF!</v>
      </c>
      <c r="K12" s="91"/>
      <c r="L12" s="88" t="e">
        <f t="shared" si="6"/>
        <v>#REF!</v>
      </c>
      <c r="M12" s="88" t="e">
        <f t="shared" si="7"/>
        <v>#REF!</v>
      </c>
      <c r="N12" s="88" t="e">
        <f t="shared" si="8"/>
        <v>#REF!</v>
      </c>
      <c r="O12" s="88"/>
    </row>
    <row r="13" spans="1:15" ht="15" x14ac:dyDescent="0.25">
      <c r="A13" s="13" t="s">
        <v>1773</v>
      </c>
      <c r="B13" s="99" t="s">
        <v>2193</v>
      </c>
      <c r="C13" s="15">
        <v>3.23</v>
      </c>
      <c r="D13" s="88">
        <v>0.9</v>
      </c>
      <c r="E13" s="89" t="e">
        <f>IFERROR(
_xlfn.XLOOKUP(
B13,#REF!,#REF!
),
_xlfn.XLOOKUP(
A13,#REF!,#REF!
)
)</f>
        <v>#REF!</v>
      </c>
      <c r="F13" s="88" t="str">
        <f>IFERROR(
VLOOKUP(
B13,#REF!,
6,
FALSE
),
""
)</f>
        <v/>
      </c>
      <c r="G13" s="88">
        <v>0</v>
      </c>
      <c r="H13" s="88">
        <v>24</v>
      </c>
      <c r="I13" s="90" t="e">
        <f t="shared" si="4"/>
        <v>#REF!</v>
      </c>
      <c r="J13" s="91" t="e">
        <f t="shared" si="5"/>
        <v>#REF!</v>
      </c>
      <c r="K13" s="91"/>
      <c r="L13" s="88" t="e">
        <f t="shared" si="6"/>
        <v>#REF!</v>
      </c>
      <c r="M13" s="88" t="e">
        <f t="shared" si="7"/>
        <v>#REF!</v>
      </c>
      <c r="N13" s="88" t="e">
        <f t="shared" si="8"/>
        <v>#REF!</v>
      </c>
      <c r="O13" s="88"/>
    </row>
    <row r="14" spans="1:15" ht="15" x14ac:dyDescent="0.25">
      <c r="A14" s="13" t="s">
        <v>1774</v>
      </c>
      <c r="B14" s="99" t="s">
        <v>2194</v>
      </c>
      <c r="C14" s="15">
        <v>7.37</v>
      </c>
      <c r="D14" s="88">
        <v>0.9</v>
      </c>
      <c r="E14" s="89" t="e">
        <f>IFERROR(
_xlfn.XLOOKUP(
B14,#REF!,#REF!
),
_xlfn.XLOOKUP(
A14,#REF!,#REF!
)
)</f>
        <v>#REF!</v>
      </c>
      <c r="F14" s="88" t="str">
        <f>IFERROR(
VLOOKUP(
B14,#REF!,
6,
FALSE
),
""
)</f>
        <v/>
      </c>
      <c r="G14" s="88">
        <v>0</v>
      </c>
      <c r="H14" s="88">
        <v>24</v>
      </c>
      <c r="I14" s="90" t="e">
        <f t="shared" si="4"/>
        <v>#REF!</v>
      </c>
      <c r="J14" s="91" t="e">
        <f t="shared" si="5"/>
        <v>#REF!</v>
      </c>
      <c r="K14" s="91"/>
      <c r="L14" s="88" t="e">
        <f t="shared" si="6"/>
        <v>#REF!</v>
      </c>
      <c r="M14" s="88" t="e">
        <f t="shared" si="7"/>
        <v>#REF!</v>
      </c>
      <c r="N14" s="88" t="e">
        <f t="shared" si="8"/>
        <v>#REF!</v>
      </c>
      <c r="O14" s="88"/>
    </row>
    <row r="15" spans="1:15" ht="15" x14ac:dyDescent="0.25">
      <c r="A15" s="13" t="s">
        <v>1775</v>
      </c>
      <c r="B15" s="99" t="s">
        <v>2195</v>
      </c>
      <c r="C15" s="15">
        <v>2.65</v>
      </c>
      <c r="D15" s="88">
        <v>0.9</v>
      </c>
      <c r="E15" s="89" t="e">
        <f>IFERROR(
_xlfn.XLOOKUP(
B15,#REF!,#REF!
),
_xlfn.XLOOKUP(
A15,#REF!,#REF!
)
)</f>
        <v>#REF!</v>
      </c>
      <c r="F15" s="88" t="str">
        <f>IFERROR(
VLOOKUP(
B15,#REF!,
6,
FALSE
),
""
)</f>
        <v/>
      </c>
      <c r="G15" s="88">
        <v>0</v>
      </c>
      <c r="H15" s="88">
        <v>24</v>
      </c>
      <c r="I15" s="90" t="e">
        <f t="shared" si="4"/>
        <v>#REF!</v>
      </c>
      <c r="J15" s="91" t="e">
        <f t="shared" si="5"/>
        <v>#REF!</v>
      </c>
      <c r="K15" s="91"/>
      <c r="L15" s="88" t="e">
        <f t="shared" si="6"/>
        <v>#REF!</v>
      </c>
      <c r="M15" s="88" t="e">
        <f t="shared" si="7"/>
        <v>#REF!</v>
      </c>
      <c r="N15" s="88" t="e">
        <f t="shared" si="8"/>
        <v>#REF!</v>
      </c>
      <c r="O15" s="88"/>
    </row>
    <row r="16" spans="1:15" ht="15" x14ac:dyDescent="0.25">
      <c r="A16" s="13" t="s">
        <v>1776</v>
      </c>
      <c r="B16" s="99" t="s">
        <v>2196</v>
      </c>
      <c r="C16" s="15">
        <v>2.95</v>
      </c>
      <c r="D16" s="88">
        <v>0.9</v>
      </c>
      <c r="E16" s="89" t="e">
        <f>IFERROR(
_xlfn.XLOOKUP(
B16,#REF!,#REF!
),
_xlfn.XLOOKUP(
A16,#REF!,#REF!
)
)</f>
        <v>#REF!</v>
      </c>
      <c r="F16" s="88" t="str">
        <f>IFERROR(
VLOOKUP(
B16,#REF!,
6,
FALSE
),
""
)</f>
        <v/>
      </c>
      <c r="G16" s="88">
        <v>0</v>
      </c>
      <c r="H16" s="88">
        <v>24</v>
      </c>
      <c r="I16" s="90" t="e">
        <f t="shared" si="4"/>
        <v>#REF!</v>
      </c>
      <c r="J16" s="91" t="e">
        <f t="shared" si="5"/>
        <v>#REF!</v>
      </c>
      <c r="K16" s="91"/>
      <c r="L16" s="88" t="e">
        <f t="shared" si="6"/>
        <v>#REF!</v>
      </c>
      <c r="M16" s="88" t="e">
        <f t="shared" si="7"/>
        <v>#REF!</v>
      </c>
      <c r="N16" s="88" t="e">
        <f t="shared" si="8"/>
        <v>#REF!</v>
      </c>
      <c r="O16" s="88"/>
    </row>
    <row r="17" spans="1:15" ht="15" x14ac:dyDescent="0.25">
      <c r="A17" s="13" t="s">
        <v>1777</v>
      </c>
      <c r="B17" s="99" t="s">
        <v>2197</v>
      </c>
      <c r="C17" s="15">
        <v>4.24</v>
      </c>
      <c r="D17" s="88">
        <v>0.9</v>
      </c>
      <c r="E17" s="89" t="e">
        <f>IFERROR(
_xlfn.XLOOKUP(
B17,#REF!,#REF!
),
_xlfn.XLOOKUP(
A17,#REF!,#REF!
)
)</f>
        <v>#REF!</v>
      </c>
      <c r="F17" s="88" t="str">
        <f>IFERROR(
VLOOKUP(
B17,#REF!,
6,
FALSE
),
""
)</f>
        <v/>
      </c>
      <c r="G17" s="88">
        <v>0</v>
      </c>
      <c r="H17" s="88">
        <v>24</v>
      </c>
      <c r="I17" s="90" t="e">
        <f t="shared" si="4"/>
        <v>#REF!</v>
      </c>
      <c r="J17" s="91" t="e">
        <f t="shared" si="5"/>
        <v>#REF!</v>
      </c>
      <c r="K17" s="91"/>
      <c r="L17" s="88" t="e">
        <f t="shared" si="6"/>
        <v>#REF!</v>
      </c>
      <c r="M17" s="88" t="e">
        <f t="shared" si="7"/>
        <v>#REF!</v>
      </c>
      <c r="N17" s="88" t="e">
        <f t="shared" si="8"/>
        <v>#REF!</v>
      </c>
      <c r="O17" s="88"/>
    </row>
    <row r="18" spans="1:15" ht="15" x14ac:dyDescent="0.25">
      <c r="A18" s="13" t="s">
        <v>1778</v>
      </c>
      <c r="B18" s="99" t="s">
        <v>2198</v>
      </c>
      <c r="C18" s="15">
        <v>4.8899999999999997</v>
      </c>
      <c r="D18" s="88">
        <v>0.9</v>
      </c>
      <c r="E18" s="89" t="e">
        <f>IFERROR(
_xlfn.XLOOKUP(
B18,#REF!,#REF!
),
_xlfn.XLOOKUP(
A18,#REF!,#REF!
)
)</f>
        <v>#REF!</v>
      </c>
      <c r="F18" s="88" t="str">
        <f>IFERROR(
VLOOKUP(
B18,#REF!,
6,
FALSE
),
""
)</f>
        <v/>
      </c>
      <c r="G18" s="88">
        <v>0</v>
      </c>
      <c r="H18" s="88">
        <v>24</v>
      </c>
      <c r="I18" s="90" t="e">
        <f t="shared" si="4"/>
        <v>#REF!</v>
      </c>
      <c r="J18" s="91" t="e">
        <f t="shared" si="5"/>
        <v>#REF!</v>
      </c>
      <c r="K18" s="91"/>
      <c r="L18" s="88" t="e">
        <f t="shared" si="6"/>
        <v>#REF!</v>
      </c>
      <c r="M18" s="88" t="e">
        <f t="shared" si="7"/>
        <v>#REF!</v>
      </c>
      <c r="N18" s="88" t="e">
        <f t="shared" si="8"/>
        <v>#REF!</v>
      </c>
      <c r="O18" s="88"/>
    </row>
    <row r="19" spans="1:15" ht="15" x14ac:dyDescent="0.25">
      <c r="A19" s="13" t="s">
        <v>1779</v>
      </c>
      <c r="B19" s="99" t="s">
        <v>2199</v>
      </c>
      <c r="C19" s="15">
        <v>4.45</v>
      </c>
      <c r="D19" s="88">
        <v>0.9</v>
      </c>
      <c r="E19" s="89" t="e">
        <f>IFERROR(
_xlfn.XLOOKUP(
B19,#REF!,#REF!
),
_xlfn.XLOOKUP(
A19,#REF!,#REF!
)
)</f>
        <v>#REF!</v>
      </c>
      <c r="F19" s="88" t="str">
        <f>IFERROR(
VLOOKUP(
B19,#REF!,
6,
FALSE
),
""
)</f>
        <v/>
      </c>
      <c r="G19" s="88">
        <v>0</v>
      </c>
      <c r="H19" s="88">
        <v>24</v>
      </c>
      <c r="I19" s="90" t="e">
        <f t="shared" si="4"/>
        <v>#REF!</v>
      </c>
      <c r="J19" s="91" t="e">
        <f t="shared" si="5"/>
        <v>#REF!</v>
      </c>
      <c r="K19" s="91"/>
      <c r="L19" s="88" t="e">
        <f t="shared" si="6"/>
        <v>#REF!</v>
      </c>
      <c r="M19" s="88" t="e">
        <f t="shared" si="7"/>
        <v>#REF!</v>
      </c>
      <c r="N19" s="88" t="e">
        <f t="shared" si="8"/>
        <v>#REF!</v>
      </c>
      <c r="O19" s="88"/>
    </row>
    <row r="20" spans="1:15" ht="15" x14ac:dyDescent="0.25">
      <c r="A20" s="13" t="s">
        <v>1780</v>
      </c>
      <c r="B20" s="99" t="s">
        <v>2200</v>
      </c>
      <c r="C20" s="15">
        <v>2.41</v>
      </c>
      <c r="D20" s="88">
        <v>0.9</v>
      </c>
      <c r="E20" s="89" t="e">
        <f>IFERROR(
_xlfn.XLOOKUP(
B20,#REF!,#REF!
),
_xlfn.XLOOKUP(
A20,#REF!,#REF!
)
)</f>
        <v>#REF!</v>
      </c>
      <c r="F20" s="88" t="str">
        <f>IFERROR(
VLOOKUP(
B20,#REF!,
6,
FALSE
),
""
)</f>
        <v/>
      </c>
      <c r="G20" s="88">
        <v>0</v>
      </c>
      <c r="H20" s="88">
        <v>24</v>
      </c>
      <c r="I20" s="90" t="e">
        <f t="shared" si="4"/>
        <v>#REF!</v>
      </c>
      <c r="J20" s="91" t="e">
        <f t="shared" si="5"/>
        <v>#REF!</v>
      </c>
      <c r="K20" s="91"/>
      <c r="L20" s="88" t="e">
        <f t="shared" si="6"/>
        <v>#REF!</v>
      </c>
      <c r="M20" s="88" t="e">
        <f t="shared" si="7"/>
        <v>#REF!</v>
      </c>
      <c r="N20" s="88" t="e">
        <f t="shared" si="8"/>
        <v>#REF!</v>
      </c>
      <c r="O20" s="88"/>
    </row>
    <row r="21" spans="1:15" ht="15" x14ac:dyDescent="0.25">
      <c r="A21" s="13" t="s">
        <v>1781</v>
      </c>
      <c r="B21" s="99" t="s">
        <v>2201</v>
      </c>
      <c r="C21" s="15">
        <v>6.47</v>
      </c>
      <c r="D21" s="88">
        <v>0.9</v>
      </c>
      <c r="E21" s="89" t="e">
        <f>IFERROR(
_xlfn.XLOOKUP(
B21,#REF!,#REF!
),
_xlfn.XLOOKUP(
A21,#REF!,#REF!
)
)</f>
        <v>#REF!</v>
      </c>
      <c r="F21" s="88" t="str">
        <f>IFERROR(
VLOOKUP(
B21,#REF!,
6,
FALSE
),
""
)</f>
        <v/>
      </c>
      <c r="G21" s="88">
        <v>0</v>
      </c>
      <c r="H21" s="88">
        <v>24</v>
      </c>
      <c r="I21" s="90" t="e">
        <f t="shared" si="4"/>
        <v>#REF!</v>
      </c>
      <c r="J21" s="91" t="e">
        <f t="shared" si="5"/>
        <v>#REF!</v>
      </c>
      <c r="K21" s="91"/>
      <c r="L21" s="88" t="e">
        <f t="shared" si="6"/>
        <v>#REF!</v>
      </c>
      <c r="M21" s="88" t="e">
        <f t="shared" si="7"/>
        <v>#REF!</v>
      </c>
      <c r="N21" s="88" t="e">
        <f t="shared" si="8"/>
        <v>#REF!</v>
      </c>
      <c r="O21" s="88"/>
    </row>
    <row r="22" spans="1:15" ht="15" x14ac:dyDescent="0.25">
      <c r="A22" s="13" t="s">
        <v>1782</v>
      </c>
      <c r="B22" s="99" t="s">
        <v>2202</v>
      </c>
      <c r="C22" s="15">
        <v>6.72</v>
      </c>
      <c r="D22" s="88">
        <v>0.9</v>
      </c>
      <c r="E22" s="89" t="e">
        <f>IFERROR(
_xlfn.XLOOKUP(
B22,#REF!,#REF!
),
_xlfn.XLOOKUP(
A22,#REF!,#REF!
)
)</f>
        <v>#REF!</v>
      </c>
      <c r="F22" s="88" t="str">
        <f>IFERROR(
VLOOKUP(
B22,#REF!,
6,
FALSE
),
""
)</f>
        <v/>
      </c>
      <c r="G22" s="88">
        <v>0</v>
      </c>
      <c r="H22" s="88">
        <v>24</v>
      </c>
      <c r="I22" s="90" t="e">
        <f t="shared" si="4"/>
        <v>#REF!</v>
      </c>
      <c r="J22" s="91" t="e">
        <f t="shared" si="5"/>
        <v>#REF!</v>
      </c>
      <c r="K22" s="91"/>
      <c r="L22" s="88" t="e">
        <f t="shared" si="6"/>
        <v>#REF!</v>
      </c>
      <c r="M22" s="88" t="e">
        <f t="shared" si="7"/>
        <v>#REF!</v>
      </c>
      <c r="N22" s="88" t="e">
        <f t="shared" si="8"/>
        <v>#REF!</v>
      </c>
      <c r="O22" s="88"/>
    </row>
    <row r="23" spans="1:15" ht="15" x14ac:dyDescent="0.25">
      <c r="A23" s="13" t="s">
        <v>1783</v>
      </c>
      <c r="B23" s="99" t="s">
        <v>2203</v>
      </c>
      <c r="C23" s="15">
        <v>5.42</v>
      </c>
      <c r="D23" s="88">
        <v>0.9</v>
      </c>
      <c r="E23" s="89" t="e">
        <f>IFERROR(
_xlfn.XLOOKUP(
B23,#REF!,#REF!
),
_xlfn.XLOOKUP(
A23,#REF!,#REF!
)
)</f>
        <v>#REF!</v>
      </c>
      <c r="F23" s="88" t="str">
        <f>IFERROR(
VLOOKUP(
B23,#REF!,
6,
FALSE
),
""
)</f>
        <v/>
      </c>
      <c r="G23" s="88">
        <v>0</v>
      </c>
      <c r="H23" s="88">
        <v>24</v>
      </c>
      <c r="I23" s="90" t="e">
        <f t="shared" si="4"/>
        <v>#REF!</v>
      </c>
      <c r="J23" s="91" t="e">
        <f t="shared" si="5"/>
        <v>#REF!</v>
      </c>
      <c r="K23" s="91"/>
      <c r="L23" s="88" t="e">
        <f t="shared" si="6"/>
        <v>#REF!</v>
      </c>
      <c r="M23" s="88" t="e">
        <f t="shared" si="7"/>
        <v>#REF!</v>
      </c>
      <c r="N23" s="88" t="e">
        <f t="shared" si="8"/>
        <v>#REF!</v>
      </c>
      <c r="O23" s="88"/>
    </row>
    <row r="24" spans="1:15" ht="15" x14ac:dyDescent="0.25">
      <c r="A24" s="13" t="s">
        <v>1784</v>
      </c>
      <c r="B24" s="99" t="s">
        <v>2204</v>
      </c>
      <c r="C24" s="15">
        <v>4.04</v>
      </c>
      <c r="D24" s="88">
        <v>0.9</v>
      </c>
      <c r="E24" s="89" t="e">
        <f>IFERROR(
_xlfn.XLOOKUP(
B24,#REF!,#REF!
),
_xlfn.XLOOKUP(
A24,#REF!,#REF!
)
)</f>
        <v>#REF!</v>
      </c>
      <c r="F24" s="88" t="str">
        <f>IFERROR(
VLOOKUP(
B24,#REF!,
6,
FALSE
),
""
)</f>
        <v/>
      </c>
      <c r="G24" s="88">
        <v>0</v>
      </c>
      <c r="H24" s="88">
        <v>24</v>
      </c>
      <c r="I24" s="90" t="e">
        <f t="shared" si="4"/>
        <v>#REF!</v>
      </c>
      <c r="J24" s="91" t="e">
        <f t="shared" si="5"/>
        <v>#REF!</v>
      </c>
      <c r="K24" s="91"/>
      <c r="L24" s="88" t="e">
        <f t="shared" si="6"/>
        <v>#REF!</v>
      </c>
      <c r="M24" s="88" t="e">
        <f t="shared" si="7"/>
        <v>#REF!</v>
      </c>
      <c r="N24" s="88" t="e">
        <f t="shared" si="8"/>
        <v>#REF!</v>
      </c>
      <c r="O24" s="88"/>
    </row>
    <row r="25" spans="1:15" ht="15" x14ac:dyDescent="0.25">
      <c r="A25" s="13" t="s">
        <v>1785</v>
      </c>
      <c r="B25" s="99" t="s">
        <v>2205</v>
      </c>
      <c r="C25" s="15">
        <v>4.04</v>
      </c>
      <c r="D25" s="88">
        <v>0.9</v>
      </c>
      <c r="E25" s="89" t="e">
        <f>IFERROR(
_xlfn.XLOOKUP(
B25,#REF!,#REF!
),
_xlfn.XLOOKUP(
A25,#REF!,#REF!
)
)</f>
        <v>#REF!</v>
      </c>
      <c r="F25" s="88" t="str">
        <f>IFERROR(
VLOOKUP(
B25,#REF!,
6,
FALSE
),
""
)</f>
        <v/>
      </c>
      <c r="G25" s="88">
        <v>0</v>
      </c>
      <c r="H25" s="88">
        <v>24</v>
      </c>
      <c r="I25" s="90" t="e">
        <f t="shared" si="4"/>
        <v>#REF!</v>
      </c>
      <c r="J25" s="91" t="e">
        <f t="shared" si="5"/>
        <v>#REF!</v>
      </c>
      <c r="K25" s="91"/>
      <c r="L25" s="88" t="e">
        <f t="shared" si="6"/>
        <v>#REF!</v>
      </c>
      <c r="M25" s="88" t="e">
        <f t="shared" si="7"/>
        <v>#REF!</v>
      </c>
      <c r="N25" s="88" t="e">
        <f t="shared" si="8"/>
        <v>#REF!</v>
      </c>
      <c r="O25" s="88"/>
    </row>
    <row r="26" spans="1:15" ht="15" x14ac:dyDescent="0.25">
      <c r="A26" s="13" t="s">
        <v>1786</v>
      </c>
      <c r="B26" s="99" t="s">
        <v>2206</v>
      </c>
      <c r="C26" s="15">
        <v>7.71</v>
      </c>
      <c r="D26" s="88">
        <v>0.9</v>
      </c>
      <c r="E26" s="89" t="e">
        <f>IFERROR(
_xlfn.XLOOKUP(
B26,#REF!,#REF!
),
_xlfn.XLOOKUP(
A26,#REF!,#REF!
)
)</f>
        <v>#REF!</v>
      </c>
      <c r="F26" s="88" t="str">
        <f>IFERROR(
VLOOKUP(
B26,#REF!,
6,
FALSE
),
""
)</f>
        <v/>
      </c>
      <c r="G26" s="88">
        <v>0</v>
      </c>
      <c r="H26" s="88">
        <v>24</v>
      </c>
      <c r="I26" s="90" t="e">
        <f t="shared" si="4"/>
        <v>#REF!</v>
      </c>
      <c r="J26" s="91" t="e">
        <f t="shared" si="5"/>
        <v>#REF!</v>
      </c>
      <c r="K26" s="91"/>
      <c r="L26" s="88" t="e">
        <f t="shared" si="6"/>
        <v>#REF!</v>
      </c>
      <c r="M26" s="88" t="e">
        <f t="shared" si="7"/>
        <v>#REF!</v>
      </c>
      <c r="N26" s="88" t="e">
        <f t="shared" si="8"/>
        <v>#REF!</v>
      </c>
      <c r="O26" s="88"/>
    </row>
    <row r="27" spans="1:15" ht="15" x14ac:dyDescent="0.25">
      <c r="A27" s="6" t="s">
        <v>1787</v>
      </c>
      <c r="B27" s="98" t="s">
        <v>1788</v>
      </c>
      <c r="C27" s="15">
        <v>4.41</v>
      </c>
      <c r="D27" s="88">
        <v>0.9</v>
      </c>
      <c r="E27" s="89" t="e">
        <f>IFERROR(
_xlfn.XLOOKUP(
B27,#REF!,#REF!
),
_xlfn.XLOOKUP(
A27,#REF!,#REF!
)
)</f>
        <v>#REF!</v>
      </c>
      <c r="F27" s="88" t="str">
        <f>IFERROR(
VLOOKUP(
B27,#REF!,
6,
FALSE
),
""
)</f>
        <v/>
      </c>
      <c r="G27" s="88">
        <v>0</v>
      </c>
      <c r="H27" s="88">
        <v>24</v>
      </c>
      <c r="I27" s="90" t="e">
        <f t="shared" si="4"/>
        <v>#REF!</v>
      </c>
      <c r="J27" s="91" t="e">
        <f t="shared" si="5"/>
        <v>#REF!</v>
      </c>
      <c r="K27" s="91"/>
      <c r="L27" s="88" t="e">
        <f t="shared" si="6"/>
        <v>#REF!</v>
      </c>
      <c r="M27" s="88" t="e">
        <f t="shared" si="7"/>
        <v>#REF!</v>
      </c>
      <c r="N27" s="88" t="e">
        <f t="shared" si="8"/>
        <v>#REF!</v>
      </c>
      <c r="O27" s="88"/>
    </row>
    <row r="28" spans="1:15" ht="15" x14ac:dyDescent="0.25">
      <c r="A28" s="13" t="s">
        <v>1789</v>
      </c>
      <c r="B28" s="99" t="s">
        <v>2207</v>
      </c>
      <c r="C28" s="15">
        <v>3.86</v>
      </c>
      <c r="D28" s="88">
        <v>0.9</v>
      </c>
      <c r="E28" s="89" t="e">
        <f>IFERROR(
_xlfn.XLOOKUP(
B28,#REF!,#REF!
),
_xlfn.XLOOKUP(
A28,#REF!,#REF!
)
)</f>
        <v>#REF!</v>
      </c>
      <c r="F28" s="88" t="str">
        <f>IFERROR(
VLOOKUP(
B28,#REF!,
6,
FALSE
),
""
)</f>
        <v/>
      </c>
      <c r="G28" s="88">
        <v>0</v>
      </c>
      <c r="H28" s="88">
        <v>24</v>
      </c>
      <c r="I28" s="90" t="e">
        <f t="shared" si="4"/>
        <v>#REF!</v>
      </c>
      <c r="J28" s="91" t="e">
        <f t="shared" si="5"/>
        <v>#REF!</v>
      </c>
      <c r="K28" s="91"/>
      <c r="L28" s="88" t="e">
        <f t="shared" si="6"/>
        <v>#REF!</v>
      </c>
      <c r="M28" s="88" t="e">
        <f t="shared" si="7"/>
        <v>#REF!</v>
      </c>
      <c r="N28" s="88" t="e">
        <f t="shared" si="8"/>
        <v>#REF!</v>
      </c>
      <c r="O28" s="88"/>
    </row>
    <row r="29" spans="1:15" ht="15" x14ac:dyDescent="0.25">
      <c r="A29" s="13" t="s">
        <v>1790</v>
      </c>
      <c r="B29" s="99" t="s">
        <v>2208</v>
      </c>
      <c r="C29" s="15">
        <v>3.22</v>
      </c>
      <c r="D29" s="88">
        <v>0.9</v>
      </c>
      <c r="E29" s="89" t="e">
        <f>IFERROR(
_xlfn.XLOOKUP(
B29,#REF!,#REF!
),
_xlfn.XLOOKUP(
A29,#REF!,#REF!
)
)</f>
        <v>#REF!</v>
      </c>
      <c r="F29" s="88" t="str">
        <f>IFERROR(
VLOOKUP(
B29,#REF!,
6,
FALSE
),
""
)</f>
        <v/>
      </c>
      <c r="G29" s="88">
        <v>0</v>
      </c>
      <c r="H29" s="88">
        <v>24</v>
      </c>
      <c r="I29" s="90" t="e">
        <f t="shared" si="4"/>
        <v>#REF!</v>
      </c>
      <c r="J29" s="91" t="e">
        <f t="shared" si="5"/>
        <v>#REF!</v>
      </c>
      <c r="K29" s="91"/>
      <c r="L29" s="88" t="e">
        <f t="shared" si="6"/>
        <v>#REF!</v>
      </c>
      <c r="M29" s="88" t="e">
        <f t="shared" si="7"/>
        <v>#REF!</v>
      </c>
      <c r="N29" s="88" t="e">
        <f t="shared" si="8"/>
        <v>#REF!</v>
      </c>
      <c r="O29" s="88"/>
    </row>
    <row r="30" spans="1:15" ht="15" x14ac:dyDescent="0.25">
      <c r="A30" s="13" t="s">
        <v>1791</v>
      </c>
      <c r="B30" s="99" t="s">
        <v>2209</v>
      </c>
      <c r="C30" s="15">
        <v>3.63</v>
      </c>
      <c r="D30" s="88">
        <v>0.9</v>
      </c>
      <c r="E30" s="89" t="e">
        <f>IFERROR(
_xlfn.XLOOKUP(
B30,#REF!,#REF!
),
_xlfn.XLOOKUP(
A30,#REF!,#REF!
)
)</f>
        <v>#REF!</v>
      </c>
      <c r="F30" s="88" t="str">
        <f>IFERROR(
VLOOKUP(
B30,#REF!,
6,
FALSE
),
""
)</f>
        <v/>
      </c>
      <c r="G30" s="88">
        <v>0</v>
      </c>
      <c r="H30" s="88">
        <v>24</v>
      </c>
      <c r="I30" s="90" t="e">
        <f t="shared" si="4"/>
        <v>#REF!</v>
      </c>
      <c r="J30" s="91" t="e">
        <f t="shared" si="5"/>
        <v>#REF!</v>
      </c>
      <c r="K30" s="91"/>
      <c r="L30" s="88" t="e">
        <f t="shared" si="6"/>
        <v>#REF!</v>
      </c>
      <c r="M30" s="88" t="e">
        <f t="shared" si="7"/>
        <v>#REF!</v>
      </c>
      <c r="N30" s="88" t="e">
        <f t="shared" si="8"/>
        <v>#REF!</v>
      </c>
      <c r="O30" s="88"/>
    </row>
    <row r="31" spans="1:15" ht="15" x14ac:dyDescent="0.25">
      <c r="A31" s="13" t="s">
        <v>1792</v>
      </c>
      <c r="B31" s="99" t="s">
        <v>2210</v>
      </c>
      <c r="C31" s="15">
        <v>3.65</v>
      </c>
      <c r="D31" s="88">
        <v>0.9</v>
      </c>
      <c r="E31" s="89" t="e">
        <f>IFERROR(
_xlfn.XLOOKUP(
B31,#REF!,#REF!
),
_xlfn.XLOOKUP(
A31,#REF!,#REF!
)
)</f>
        <v>#REF!</v>
      </c>
      <c r="F31" s="88" t="str">
        <f>IFERROR(
VLOOKUP(
B31,#REF!,
6,
FALSE
),
""
)</f>
        <v/>
      </c>
      <c r="G31" s="88">
        <v>0</v>
      </c>
      <c r="H31" s="88">
        <v>24</v>
      </c>
      <c r="I31" s="90" t="e">
        <f t="shared" si="4"/>
        <v>#REF!</v>
      </c>
      <c r="J31" s="91" t="e">
        <f t="shared" si="5"/>
        <v>#REF!</v>
      </c>
      <c r="K31" s="91"/>
      <c r="L31" s="88" t="e">
        <f t="shared" si="6"/>
        <v>#REF!</v>
      </c>
      <c r="M31" s="88" t="e">
        <f t="shared" si="7"/>
        <v>#REF!</v>
      </c>
      <c r="N31" s="88" t="e">
        <f t="shared" si="8"/>
        <v>#REF!</v>
      </c>
      <c r="O31" s="88"/>
    </row>
    <row r="32" spans="1:15" ht="15" x14ac:dyDescent="0.25">
      <c r="A32" s="13" t="s">
        <v>1793</v>
      </c>
      <c r="B32" s="99" t="s">
        <v>2211</v>
      </c>
      <c r="C32" s="15">
        <v>8.99</v>
      </c>
      <c r="D32" s="88">
        <v>0.9</v>
      </c>
      <c r="E32" s="89" t="e">
        <f>IFERROR(
_xlfn.XLOOKUP(
B32,#REF!,#REF!
),
_xlfn.XLOOKUP(
A32,#REF!,#REF!
)
)</f>
        <v>#REF!</v>
      </c>
      <c r="F32" s="88" t="str">
        <f>IFERROR(
VLOOKUP(
B32,#REF!,
6,
FALSE
),
""
)</f>
        <v/>
      </c>
      <c r="G32" s="88">
        <v>0</v>
      </c>
      <c r="H32" s="88">
        <v>24</v>
      </c>
      <c r="I32" s="90" t="e">
        <f t="shared" si="4"/>
        <v>#REF!</v>
      </c>
      <c r="J32" s="91" t="e">
        <f t="shared" si="5"/>
        <v>#REF!</v>
      </c>
      <c r="K32" s="91"/>
      <c r="L32" s="88" t="e">
        <f t="shared" si="6"/>
        <v>#REF!</v>
      </c>
      <c r="M32" s="88" t="e">
        <f t="shared" si="7"/>
        <v>#REF!</v>
      </c>
      <c r="N32" s="88" t="e">
        <f t="shared" si="8"/>
        <v>#REF!</v>
      </c>
      <c r="O32" s="88"/>
    </row>
    <row r="33" spans="1:15" ht="15" x14ac:dyDescent="0.25">
      <c r="A33" s="13" t="s">
        <v>1794</v>
      </c>
      <c r="B33" s="99" t="s">
        <v>2212</v>
      </c>
      <c r="C33" s="15">
        <v>7.34</v>
      </c>
      <c r="D33" s="88">
        <v>0.9</v>
      </c>
      <c r="E33" s="89" t="e">
        <f>IFERROR(
_xlfn.XLOOKUP(
B33,#REF!,#REF!
),
_xlfn.XLOOKUP(
A33,#REF!,#REF!
)
)</f>
        <v>#REF!</v>
      </c>
      <c r="F33" s="88" t="str">
        <f>IFERROR(
VLOOKUP(
B33,#REF!,
6,
FALSE
),
""
)</f>
        <v/>
      </c>
      <c r="G33" s="88">
        <v>0</v>
      </c>
      <c r="H33" s="88">
        <v>24</v>
      </c>
      <c r="I33" s="90" t="e">
        <f t="shared" si="4"/>
        <v>#REF!</v>
      </c>
      <c r="J33" s="91" t="e">
        <f t="shared" si="5"/>
        <v>#REF!</v>
      </c>
      <c r="K33" s="91"/>
      <c r="L33" s="88" t="e">
        <f t="shared" si="6"/>
        <v>#REF!</v>
      </c>
      <c r="M33" s="88" t="e">
        <f t="shared" si="7"/>
        <v>#REF!</v>
      </c>
      <c r="N33" s="88" t="e">
        <f t="shared" si="8"/>
        <v>#REF!</v>
      </c>
      <c r="O33" s="88"/>
    </row>
    <row r="34" spans="1:15" ht="15" x14ac:dyDescent="0.25">
      <c r="A34" s="12" t="s">
        <v>1795</v>
      </c>
      <c r="B34" s="100" t="s">
        <v>2213</v>
      </c>
      <c r="C34" s="12">
        <v>3.22</v>
      </c>
      <c r="D34" s="88">
        <v>0.9</v>
      </c>
      <c r="E34" s="89" t="e">
        <f>IFERROR(
_xlfn.XLOOKUP(
B34,#REF!,#REF!
),
_xlfn.XLOOKUP(
A34,#REF!,#REF!
)
)</f>
        <v>#REF!</v>
      </c>
      <c r="F34" s="88" t="str">
        <f>IFERROR(
VLOOKUP(
B34,#REF!,
6,
FALSE
),
""
)</f>
        <v/>
      </c>
      <c r="G34" s="88">
        <v>0</v>
      </c>
      <c r="H34" s="88">
        <v>24</v>
      </c>
      <c r="I34" s="90" t="e">
        <f t="shared" si="4"/>
        <v>#REF!</v>
      </c>
      <c r="J34" s="91" t="e">
        <f t="shared" si="5"/>
        <v>#REF!</v>
      </c>
      <c r="K34" s="91"/>
      <c r="L34" s="88" t="e">
        <f t="shared" si="6"/>
        <v>#REF!</v>
      </c>
      <c r="M34" s="88" t="e">
        <f t="shared" si="7"/>
        <v>#REF!</v>
      </c>
      <c r="N34" s="88" t="e">
        <f t="shared" si="8"/>
        <v>#REF!</v>
      </c>
      <c r="O34" s="88"/>
    </row>
    <row r="35" spans="1:15" ht="15" x14ac:dyDescent="0.25">
      <c r="A35" s="12" t="s">
        <v>1796</v>
      </c>
      <c r="B35" s="100" t="s">
        <v>2214</v>
      </c>
      <c r="C35" s="12">
        <v>6.04</v>
      </c>
      <c r="D35" s="88">
        <v>0.9</v>
      </c>
      <c r="E35" s="89" t="e">
        <f>IFERROR(
_xlfn.XLOOKUP(
B35,#REF!,#REF!
),
_xlfn.XLOOKUP(
A35,#REF!,#REF!
)
)</f>
        <v>#REF!</v>
      </c>
      <c r="F35" s="88" t="str">
        <f>IFERROR(
VLOOKUP(
B35,#REF!,
6,
FALSE
),
""
)</f>
        <v/>
      </c>
      <c r="G35" s="88">
        <v>0</v>
      </c>
      <c r="H35" s="88">
        <v>24</v>
      </c>
      <c r="I35" s="90" t="e">
        <f t="shared" si="4"/>
        <v>#REF!</v>
      </c>
      <c r="J35" s="91" t="e">
        <f t="shared" si="5"/>
        <v>#REF!</v>
      </c>
      <c r="K35" s="91"/>
      <c r="L35" s="88" t="e">
        <f t="shared" si="6"/>
        <v>#REF!</v>
      </c>
      <c r="M35" s="88" t="e">
        <f t="shared" si="7"/>
        <v>#REF!</v>
      </c>
      <c r="N35" s="88" t="e">
        <f t="shared" si="8"/>
        <v>#REF!</v>
      </c>
      <c r="O35" s="88"/>
    </row>
    <row r="36" spans="1:15" ht="15" x14ac:dyDescent="0.25">
      <c r="A36" s="12" t="s">
        <v>1797</v>
      </c>
      <c r="B36" s="100" t="s">
        <v>2215</v>
      </c>
      <c r="C36" s="12">
        <v>5.5</v>
      </c>
      <c r="D36" s="88">
        <v>0.9</v>
      </c>
      <c r="E36" s="89" t="e">
        <f>IFERROR(
_xlfn.XLOOKUP(
B36,#REF!,#REF!
),
_xlfn.XLOOKUP(
A36,#REF!,#REF!
)
)</f>
        <v>#REF!</v>
      </c>
      <c r="F36" s="88" t="str">
        <f>IFERROR(
VLOOKUP(
B36,#REF!,
6,
FALSE
),
""
)</f>
        <v/>
      </c>
      <c r="G36" s="88">
        <v>0</v>
      </c>
      <c r="H36" s="88">
        <v>24</v>
      </c>
      <c r="I36" s="90" t="e">
        <f t="shared" si="4"/>
        <v>#REF!</v>
      </c>
      <c r="J36" s="91" t="e">
        <f t="shared" si="5"/>
        <v>#REF!</v>
      </c>
      <c r="K36" s="91"/>
      <c r="L36" s="88" t="e">
        <f t="shared" si="6"/>
        <v>#REF!</v>
      </c>
      <c r="M36" s="88" t="e">
        <f t="shared" si="7"/>
        <v>#REF!</v>
      </c>
      <c r="N36" s="88" t="e">
        <f t="shared" si="8"/>
        <v>#REF!</v>
      </c>
      <c r="O36" s="88"/>
    </row>
    <row r="37" spans="1:15" ht="15" x14ac:dyDescent="0.25">
      <c r="A37" s="12" t="s">
        <v>1798</v>
      </c>
      <c r="B37" s="100" t="s">
        <v>2216</v>
      </c>
      <c r="C37" s="12">
        <v>11.17</v>
      </c>
      <c r="D37" s="88">
        <v>0.9</v>
      </c>
      <c r="E37" s="89" t="e">
        <f>IFERROR(
_xlfn.XLOOKUP(
B37,#REF!,#REF!
),
_xlfn.XLOOKUP(
A37,#REF!,#REF!
)
)</f>
        <v>#REF!</v>
      </c>
      <c r="F37" s="88" t="str">
        <f>IFERROR(
VLOOKUP(
B37,#REF!,
6,
FALSE
),
""
)</f>
        <v/>
      </c>
      <c r="G37" s="88">
        <v>0</v>
      </c>
      <c r="H37" s="88">
        <v>24</v>
      </c>
      <c r="I37" s="90" t="e">
        <f t="shared" si="4"/>
        <v>#REF!</v>
      </c>
      <c r="J37" s="91" t="e">
        <f t="shared" si="5"/>
        <v>#REF!</v>
      </c>
      <c r="K37" s="91"/>
      <c r="L37" s="88" t="e">
        <f t="shared" si="6"/>
        <v>#REF!</v>
      </c>
      <c r="M37" s="88" t="e">
        <f t="shared" si="7"/>
        <v>#REF!</v>
      </c>
      <c r="N37" s="88" t="e">
        <f t="shared" si="8"/>
        <v>#REF!</v>
      </c>
      <c r="O37" s="88"/>
    </row>
    <row r="38" spans="1:15" ht="15" x14ac:dyDescent="0.25">
      <c r="A38" s="12" t="s">
        <v>1799</v>
      </c>
      <c r="B38" s="100" t="s">
        <v>2217</v>
      </c>
      <c r="C38" s="12">
        <v>4.3099999999999996</v>
      </c>
      <c r="D38" s="88">
        <v>0.9</v>
      </c>
      <c r="E38" s="89" t="e">
        <f>IFERROR(
_xlfn.XLOOKUP(
B38,#REF!,#REF!
),
_xlfn.XLOOKUP(
A38,#REF!,#REF!
)
)</f>
        <v>#REF!</v>
      </c>
      <c r="F38" s="88" t="str">
        <f>IFERROR(
VLOOKUP(
B38,#REF!,
6,
FALSE
),
""
)</f>
        <v/>
      </c>
      <c r="G38" s="88">
        <v>0</v>
      </c>
      <c r="H38" s="88">
        <v>24</v>
      </c>
      <c r="I38" s="90" t="e">
        <f t="shared" si="4"/>
        <v>#REF!</v>
      </c>
      <c r="J38" s="91" t="e">
        <f t="shared" si="5"/>
        <v>#REF!</v>
      </c>
      <c r="K38" s="91"/>
      <c r="L38" s="88" t="e">
        <f t="shared" si="6"/>
        <v>#REF!</v>
      </c>
      <c r="M38" s="88" t="e">
        <f t="shared" si="7"/>
        <v>#REF!</v>
      </c>
      <c r="N38" s="88" t="e">
        <f t="shared" si="8"/>
        <v>#REF!</v>
      </c>
      <c r="O38" s="88"/>
    </row>
    <row r="39" spans="1:15" ht="15" x14ac:dyDescent="0.25">
      <c r="A39" s="12" t="s">
        <v>1800</v>
      </c>
      <c r="B39" s="100" t="s">
        <v>2218</v>
      </c>
      <c r="C39" s="12">
        <v>3.43</v>
      </c>
      <c r="D39" s="88">
        <v>0.9</v>
      </c>
      <c r="E39" s="89" t="e">
        <f>IFERROR(
_xlfn.XLOOKUP(
B39,#REF!,#REF!
),
_xlfn.XLOOKUP(
A39,#REF!,#REF!
)
)</f>
        <v>#REF!</v>
      </c>
      <c r="F39" s="88" t="str">
        <f>IFERROR(
VLOOKUP(
B39,#REF!,
6,
FALSE
),
""
)</f>
        <v/>
      </c>
      <c r="G39" s="88">
        <v>0</v>
      </c>
      <c r="H39" s="88">
        <v>24</v>
      </c>
      <c r="I39" s="90" t="e">
        <f t="shared" si="4"/>
        <v>#REF!</v>
      </c>
      <c r="J39" s="91" t="e">
        <f t="shared" si="5"/>
        <v>#REF!</v>
      </c>
      <c r="K39" s="91"/>
      <c r="L39" s="88" t="e">
        <f t="shared" si="6"/>
        <v>#REF!</v>
      </c>
      <c r="M39" s="88" t="e">
        <f t="shared" si="7"/>
        <v>#REF!</v>
      </c>
      <c r="N39" s="88" t="e">
        <f t="shared" si="8"/>
        <v>#REF!</v>
      </c>
      <c r="O39" s="88"/>
    </row>
    <row r="40" spans="1:15" ht="15" x14ac:dyDescent="0.25">
      <c r="A40" s="12" t="s">
        <v>1801</v>
      </c>
      <c r="B40" s="100" t="s">
        <v>2219</v>
      </c>
      <c r="C40" s="12">
        <v>7.67</v>
      </c>
      <c r="D40" s="88">
        <v>0.9</v>
      </c>
      <c r="E40" s="89" t="e">
        <f>IFERROR(
_xlfn.XLOOKUP(
B40,#REF!,#REF!
),
_xlfn.XLOOKUP(
A40,#REF!,#REF!
)
)</f>
        <v>#REF!</v>
      </c>
      <c r="F40" s="88" t="str">
        <f>IFERROR(
VLOOKUP(
B40,#REF!,
6,
FALSE
),
""
)</f>
        <v/>
      </c>
      <c r="G40" s="88">
        <v>0</v>
      </c>
      <c r="H40" s="88">
        <v>24</v>
      </c>
      <c r="I40" s="90" t="e">
        <f t="shared" si="4"/>
        <v>#REF!</v>
      </c>
      <c r="J40" s="91" t="e">
        <f t="shared" si="5"/>
        <v>#REF!</v>
      </c>
      <c r="K40" s="91"/>
      <c r="L40" s="88" t="e">
        <f t="shared" si="6"/>
        <v>#REF!</v>
      </c>
      <c r="M40" s="88" t="e">
        <f t="shared" si="7"/>
        <v>#REF!</v>
      </c>
      <c r="N40" s="88" t="e">
        <f t="shared" si="8"/>
        <v>#REF!</v>
      </c>
      <c r="O40" s="88"/>
    </row>
    <row r="41" spans="1:15" ht="15" x14ac:dyDescent="0.25">
      <c r="A41" s="12" t="s">
        <v>1802</v>
      </c>
      <c r="B41" s="100" t="s">
        <v>2220</v>
      </c>
      <c r="C41" s="12">
        <v>0.73</v>
      </c>
      <c r="D41" s="88">
        <v>0.9</v>
      </c>
      <c r="E41" s="89" t="e">
        <f>IFERROR(
_xlfn.XLOOKUP(
B41,#REF!,#REF!
),
_xlfn.XLOOKUP(
A41,#REF!,#REF!
)
)</f>
        <v>#REF!</v>
      </c>
      <c r="F41" s="88" t="str">
        <f>IFERROR(
VLOOKUP(
B41,#REF!,
6,
FALSE
),
""
)</f>
        <v/>
      </c>
      <c r="G41" s="88">
        <v>0</v>
      </c>
      <c r="H41" s="88">
        <v>24</v>
      </c>
      <c r="I41" s="90" t="e">
        <f t="shared" si="4"/>
        <v>#REF!</v>
      </c>
      <c r="J41" s="91" t="e">
        <f t="shared" si="5"/>
        <v>#REF!</v>
      </c>
      <c r="K41" s="91"/>
      <c r="L41" s="88" t="e">
        <f t="shared" si="6"/>
        <v>#REF!</v>
      </c>
      <c r="M41" s="88" t="e">
        <f t="shared" si="7"/>
        <v>#REF!</v>
      </c>
      <c r="N41" s="88" t="e">
        <f t="shared" si="8"/>
        <v>#REF!</v>
      </c>
      <c r="O41" s="88"/>
    </row>
    <row r="42" spans="1:15" ht="15" x14ac:dyDescent="0.25">
      <c r="A42" s="12" t="s">
        <v>1803</v>
      </c>
      <c r="B42" s="100" t="s">
        <v>2221</v>
      </c>
      <c r="C42" s="12">
        <v>3.22</v>
      </c>
      <c r="D42" s="88">
        <v>0.9</v>
      </c>
      <c r="E42" s="89" t="e">
        <f>IFERROR(
_xlfn.XLOOKUP(
B42,#REF!,#REF!
),
_xlfn.XLOOKUP(
A42,#REF!,#REF!
)
)</f>
        <v>#REF!</v>
      </c>
      <c r="F42" s="88" t="str">
        <f>IFERROR(
VLOOKUP(
B42,#REF!,
6,
FALSE
),
""
)</f>
        <v/>
      </c>
      <c r="G42" s="88">
        <v>0</v>
      </c>
      <c r="H42" s="88">
        <v>24</v>
      </c>
      <c r="I42" s="90" t="e">
        <f t="shared" si="4"/>
        <v>#REF!</v>
      </c>
      <c r="J42" s="91" t="e">
        <f t="shared" si="5"/>
        <v>#REF!</v>
      </c>
      <c r="K42" s="91"/>
      <c r="L42" s="88" t="e">
        <f t="shared" si="6"/>
        <v>#REF!</v>
      </c>
      <c r="M42" s="88" t="e">
        <f t="shared" si="7"/>
        <v>#REF!</v>
      </c>
      <c r="N42" s="88" t="e">
        <f t="shared" si="8"/>
        <v>#REF!</v>
      </c>
      <c r="O42" s="88"/>
    </row>
    <row r="43" spans="1:15" ht="15" x14ac:dyDescent="0.25">
      <c r="A43" s="6" t="s">
        <v>1804</v>
      </c>
      <c r="B43" s="71" t="s">
        <v>1805</v>
      </c>
      <c r="C43" s="12">
        <v>20.23</v>
      </c>
      <c r="D43" s="88">
        <v>0.9</v>
      </c>
      <c r="E43" s="89" t="e">
        <f>IFERROR(
_xlfn.XLOOKUP(
B43,#REF!,#REF!
),
_xlfn.XLOOKUP(
A43,#REF!,#REF!
)
)</f>
        <v>#REF!</v>
      </c>
      <c r="F43" s="88" t="str">
        <f>IFERROR(
VLOOKUP(
B43,#REF!,
6,
FALSE
),
""
)</f>
        <v/>
      </c>
      <c r="G43" s="88">
        <v>0</v>
      </c>
      <c r="H43" s="88">
        <v>24</v>
      </c>
      <c r="I43" s="90" t="e">
        <f t="shared" ref="I43:I69" si="9">C43+D43+E43</f>
        <v>#REF!</v>
      </c>
      <c r="J43" s="91" t="e">
        <f t="shared" ref="J43:J69" si="10">(I43+G43) / (1 - F43/100 - (1 - 1/(1 + H43/100)))</f>
        <v>#REF!</v>
      </c>
      <c r="K43" s="91"/>
      <c r="L43" s="88" t="e">
        <f t="shared" ref="L43:L69" si="11">J43 * F43 / 100</f>
        <v>#REF!</v>
      </c>
      <c r="M43" s="88" t="e">
        <f t="shared" ref="M43:M69" si="12">J43 - (J43 / (1 + H43/100))</f>
        <v>#REF!</v>
      </c>
      <c r="N43" s="88" t="e">
        <f t="shared" ref="N43:N69" si="13">J43 - L43 - M43</f>
        <v>#REF!</v>
      </c>
      <c r="O43" s="88"/>
    </row>
    <row r="44" spans="1:15" ht="15" x14ac:dyDescent="0.25">
      <c r="A44" s="6" t="s">
        <v>1806</v>
      </c>
      <c r="B44" s="71" t="s">
        <v>1807</v>
      </c>
      <c r="C44" s="12">
        <v>4.6900000000000004</v>
      </c>
      <c r="D44" s="88">
        <v>0.9</v>
      </c>
      <c r="E44" s="89" t="e">
        <f>IFERROR(
_xlfn.XLOOKUP(
B44,#REF!,#REF!
),
_xlfn.XLOOKUP(
A44,#REF!,#REF!
)
)</f>
        <v>#REF!</v>
      </c>
      <c r="F44" s="88" t="str">
        <f>IFERROR(
VLOOKUP(
B44,#REF!,
6,
FALSE
),
""
)</f>
        <v/>
      </c>
      <c r="G44" s="88">
        <v>0</v>
      </c>
      <c r="H44" s="88">
        <v>24</v>
      </c>
      <c r="I44" s="90" t="e">
        <f t="shared" si="9"/>
        <v>#REF!</v>
      </c>
      <c r="J44" s="91" t="e">
        <f t="shared" si="10"/>
        <v>#REF!</v>
      </c>
      <c r="K44" s="91"/>
      <c r="L44" s="88" t="e">
        <f t="shared" si="11"/>
        <v>#REF!</v>
      </c>
      <c r="M44" s="88" t="e">
        <f t="shared" si="12"/>
        <v>#REF!</v>
      </c>
      <c r="N44" s="88" t="e">
        <f t="shared" si="13"/>
        <v>#REF!</v>
      </c>
      <c r="O44" s="88"/>
    </row>
    <row r="45" spans="1:15" ht="15" x14ac:dyDescent="0.25">
      <c r="A45" s="6" t="s">
        <v>1808</v>
      </c>
      <c r="B45" s="71" t="s">
        <v>1809</v>
      </c>
      <c r="C45" s="12">
        <v>7.37</v>
      </c>
      <c r="D45" s="88">
        <v>0.9</v>
      </c>
      <c r="E45" s="89" t="e">
        <f>IFERROR(
_xlfn.XLOOKUP(
B45,#REF!,#REF!
),
_xlfn.XLOOKUP(
A45,#REF!,#REF!
)
)</f>
        <v>#REF!</v>
      </c>
      <c r="F45" s="88" t="str">
        <f>IFERROR(
VLOOKUP(
B45,#REF!,
6,
FALSE
),
""
)</f>
        <v/>
      </c>
      <c r="G45" s="88">
        <v>0</v>
      </c>
      <c r="H45" s="88">
        <v>24</v>
      </c>
      <c r="I45" s="90" t="e">
        <f t="shared" si="9"/>
        <v>#REF!</v>
      </c>
      <c r="J45" s="91" t="e">
        <f t="shared" si="10"/>
        <v>#REF!</v>
      </c>
      <c r="K45" s="91"/>
      <c r="L45" s="88" t="e">
        <f t="shared" si="11"/>
        <v>#REF!</v>
      </c>
      <c r="M45" s="88" t="e">
        <f t="shared" si="12"/>
        <v>#REF!</v>
      </c>
      <c r="N45" s="88" t="e">
        <f t="shared" si="13"/>
        <v>#REF!</v>
      </c>
      <c r="O45" s="88"/>
    </row>
    <row r="46" spans="1:15" ht="15" x14ac:dyDescent="0.25">
      <c r="A46" s="6" t="s">
        <v>1810</v>
      </c>
      <c r="B46" s="71" t="s">
        <v>1811</v>
      </c>
      <c r="C46" s="12">
        <v>6.45</v>
      </c>
      <c r="D46" s="88">
        <v>0.9</v>
      </c>
      <c r="E46" s="89" t="e">
        <f>IFERROR(
_xlfn.XLOOKUP(
B46,#REF!,#REF!
),
_xlfn.XLOOKUP(
A46,#REF!,#REF!
)
)</f>
        <v>#REF!</v>
      </c>
      <c r="F46" s="88" t="str">
        <f>IFERROR(
VLOOKUP(
B46,#REF!,
6,
FALSE
),
""
)</f>
        <v/>
      </c>
      <c r="G46" s="88">
        <v>0</v>
      </c>
      <c r="H46" s="88">
        <v>24</v>
      </c>
      <c r="I46" s="90" t="e">
        <f t="shared" si="9"/>
        <v>#REF!</v>
      </c>
      <c r="J46" s="91" t="e">
        <f t="shared" si="10"/>
        <v>#REF!</v>
      </c>
      <c r="K46" s="91"/>
      <c r="L46" s="88" t="e">
        <f t="shared" si="11"/>
        <v>#REF!</v>
      </c>
      <c r="M46" s="88" t="e">
        <f t="shared" si="12"/>
        <v>#REF!</v>
      </c>
      <c r="N46" s="88" t="e">
        <f t="shared" si="13"/>
        <v>#REF!</v>
      </c>
      <c r="O46" s="88"/>
    </row>
    <row r="47" spans="1:15" ht="15" x14ac:dyDescent="0.25">
      <c r="A47" s="6" t="s">
        <v>1812</v>
      </c>
      <c r="B47" s="71" t="s">
        <v>1813</v>
      </c>
      <c r="C47" s="12">
        <v>8.67</v>
      </c>
      <c r="D47" s="88">
        <v>0.9</v>
      </c>
      <c r="E47" s="89" t="e">
        <f>IFERROR(
_xlfn.XLOOKUP(
B47,#REF!,#REF!
),
_xlfn.XLOOKUP(
A47,#REF!,#REF!
)
)</f>
        <v>#REF!</v>
      </c>
      <c r="F47" s="88" t="str">
        <f>IFERROR(
VLOOKUP(
B47,#REF!,
6,
FALSE
),
""
)</f>
        <v/>
      </c>
      <c r="G47" s="88">
        <v>0</v>
      </c>
      <c r="H47" s="88">
        <v>24</v>
      </c>
      <c r="I47" s="90" t="e">
        <f t="shared" si="9"/>
        <v>#REF!</v>
      </c>
      <c r="J47" s="91" t="e">
        <f t="shared" si="10"/>
        <v>#REF!</v>
      </c>
      <c r="K47" s="91"/>
      <c r="L47" s="88" t="e">
        <f t="shared" si="11"/>
        <v>#REF!</v>
      </c>
      <c r="M47" s="88" t="e">
        <f t="shared" si="12"/>
        <v>#REF!</v>
      </c>
      <c r="N47" s="88" t="e">
        <f t="shared" si="13"/>
        <v>#REF!</v>
      </c>
      <c r="O47" s="88"/>
    </row>
    <row r="48" spans="1:15" ht="15" x14ac:dyDescent="0.25">
      <c r="A48" s="6" t="s">
        <v>1814</v>
      </c>
      <c r="B48" s="71" t="s">
        <v>1815</v>
      </c>
      <c r="C48" s="12">
        <v>11.75</v>
      </c>
      <c r="D48" s="88">
        <v>0.9</v>
      </c>
      <c r="E48" s="89" t="e">
        <f>IFERROR(
_xlfn.XLOOKUP(
B48,#REF!,#REF!
),
_xlfn.XLOOKUP(
A48,#REF!,#REF!
)
)</f>
        <v>#REF!</v>
      </c>
      <c r="F48" s="88" t="str">
        <f>IFERROR(
VLOOKUP(
B48,#REF!,
6,
FALSE
),
""
)</f>
        <v/>
      </c>
      <c r="G48" s="88">
        <v>0</v>
      </c>
      <c r="H48" s="88">
        <v>24</v>
      </c>
      <c r="I48" s="90" t="e">
        <f t="shared" si="9"/>
        <v>#REF!</v>
      </c>
      <c r="J48" s="91" t="e">
        <f t="shared" si="10"/>
        <v>#REF!</v>
      </c>
      <c r="K48" s="91"/>
      <c r="L48" s="88" t="e">
        <f t="shared" si="11"/>
        <v>#REF!</v>
      </c>
      <c r="M48" s="88" t="e">
        <f t="shared" si="12"/>
        <v>#REF!</v>
      </c>
      <c r="N48" s="88" t="e">
        <f t="shared" si="13"/>
        <v>#REF!</v>
      </c>
      <c r="O48" s="88"/>
    </row>
    <row r="49" spans="1:15" ht="15" x14ac:dyDescent="0.25">
      <c r="A49" s="6" t="s">
        <v>1816</v>
      </c>
      <c r="B49" s="71" t="s">
        <v>1817</v>
      </c>
      <c r="C49" s="12">
        <v>9.5399999999999991</v>
      </c>
      <c r="D49" s="88">
        <v>0.9</v>
      </c>
      <c r="E49" s="89" t="e">
        <f>IFERROR(
_xlfn.XLOOKUP(
B49,#REF!,#REF!
),
_xlfn.XLOOKUP(
A49,#REF!,#REF!
)
)</f>
        <v>#REF!</v>
      </c>
      <c r="F49" s="88" t="str">
        <f>IFERROR(
VLOOKUP(
B49,#REF!,
6,
FALSE
),
""
)</f>
        <v/>
      </c>
      <c r="G49" s="88">
        <v>0</v>
      </c>
      <c r="H49" s="88">
        <v>24</v>
      </c>
      <c r="I49" s="90" t="e">
        <f t="shared" si="9"/>
        <v>#REF!</v>
      </c>
      <c r="J49" s="91" t="e">
        <f t="shared" si="10"/>
        <v>#REF!</v>
      </c>
      <c r="K49" s="91"/>
      <c r="L49" s="88" t="e">
        <f t="shared" si="11"/>
        <v>#REF!</v>
      </c>
      <c r="M49" s="88" t="e">
        <f t="shared" si="12"/>
        <v>#REF!</v>
      </c>
      <c r="N49" s="88" t="e">
        <f t="shared" si="13"/>
        <v>#REF!</v>
      </c>
      <c r="O49" s="88"/>
    </row>
    <row r="50" spans="1:15" ht="15" x14ac:dyDescent="0.25">
      <c r="A50" s="6" t="s">
        <v>1818</v>
      </c>
      <c r="B50" s="71" t="s">
        <v>1819</v>
      </c>
      <c r="C50" s="12">
        <v>6.45</v>
      </c>
      <c r="D50" s="88">
        <v>0.9</v>
      </c>
      <c r="E50" s="89" t="e">
        <f>IFERROR(
_xlfn.XLOOKUP(
B50,#REF!,#REF!
),
_xlfn.XLOOKUP(
A50,#REF!,#REF!
)
)</f>
        <v>#REF!</v>
      </c>
      <c r="F50" s="88" t="str">
        <f>IFERROR(
VLOOKUP(
B50,#REF!,
6,
FALSE
),
""
)</f>
        <v/>
      </c>
      <c r="G50" s="88">
        <v>0</v>
      </c>
      <c r="H50" s="88">
        <v>24</v>
      </c>
      <c r="I50" s="90" t="e">
        <f t="shared" si="9"/>
        <v>#REF!</v>
      </c>
      <c r="J50" s="91" t="e">
        <f t="shared" si="10"/>
        <v>#REF!</v>
      </c>
      <c r="K50" s="91"/>
      <c r="L50" s="88" t="e">
        <f t="shared" si="11"/>
        <v>#REF!</v>
      </c>
      <c r="M50" s="88" t="e">
        <f t="shared" si="12"/>
        <v>#REF!</v>
      </c>
      <c r="N50" s="88" t="e">
        <f t="shared" si="13"/>
        <v>#REF!</v>
      </c>
      <c r="O50" s="88"/>
    </row>
    <row r="51" spans="1:15" ht="15" x14ac:dyDescent="0.25">
      <c r="A51" s="6" t="s">
        <v>1820</v>
      </c>
      <c r="B51" s="71" t="s">
        <v>1821</v>
      </c>
      <c r="C51" s="12">
        <v>5.94</v>
      </c>
      <c r="D51" s="88">
        <v>0.9</v>
      </c>
      <c r="E51" s="89" t="e">
        <f>IFERROR(
_xlfn.XLOOKUP(
B51,#REF!,#REF!
),
_xlfn.XLOOKUP(
A51,#REF!,#REF!
)
)</f>
        <v>#REF!</v>
      </c>
      <c r="F51" s="88" t="str">
        <f>IFERROR(
VLOOKUP(
B51,#REF!,
6,
FALSE
),
""
)</f>
        <v/>
      </c>
      <c r="G51" s="88">
        <v>0</v>
      </c>
      <c r="H51" s="88">
        <v>24</v>
      </c>
      <c r="I51" s="90" t="e">
        <f t="shared" si="9"/>
        <v>#REF!</v>
      </c>
      <c r="J51" s="91" t="e">
        <f t="shared" si="10"/>
        <v>#REF!</v>
      </c>
      <c r="K51" s="91"/>
      <c r="L51" s="88" t="e">
        <f t="shared" si="11"/>
        <v>#REF!</v>
      </c>
      <c r="M51" s="88" t="e">
        <f t="shared" si="12"/>
        <v>#REF!</v>
      </c>
      <c r="N51" s="88" t="e">
        <f t="shared" si="13"/>
        <v>#REF!</v>
      </c>
      <c r="O51" s="88"/>
    </row>
    <row r="52" spans="1:15" ht="15" x14ac:dyDescent="0.25">
      <c r="A52" s="12" t="s">
        <v>1822</v>
      </c>
      <c r="B52" s="100" t="s">
        <v>2222</v>
      </c>
      <c r="C52" s="12">
        <v>6.14</v>
      </c>
      <c r="D52" s="88">
        <v>0.9</v>
      </c>
      <c r="E52" s="89" t="e">
        <f>IFERROR(
_xlfn.XLOOKUP(
B52,#REF!,#REF!
),
_xlfn.XLOOKUP(
A52,#REF!,#REF!
)
)</f>
        <v>#REF!</v>
      </c>
      <c r="F52" s="88" t="str">
        <f>IFERROR(
VLOOKUP(
B52,#REF!,
6,
FALSE
),
""
)</f>
        <v/>
      </c>
      <c r="G52" s="88">
        <v>0</v>
      </c>
      <c r="H52" s="88">
        <v>24</v>
      </c>
      <c r="I52" s="90" t="e">
        <f t="shared" si="9"/>
        <v>#REF!</v>
      </c>
      <c r="J52" s="91" t="e">
        <f t="shared" si="10"/>
        <v>#REF!</v>
      </c>
      <c r="K52" s="91"/>
      <c r="L52" s="88" t="e">
        <f t="shared" si="11"/>
        <v>#REF!</v>
      </c>
      <c r="M52" s="88" t="e">
        <f t="shared" si="12"/>
        <v>#REF!</v>
      </c>
      <c r="N52" s="88" t="e">
        <f t="shared" si="13"/>
        <v>#REF!</v>
      </c>
      <c r="O52" s="88"/>
    </row>
    <row r="53" spans="1:15" ht="15" x14ac:dyDescent="0.25">
      <c r="A53" s="12" t="s">
        <v>1823</v>
      </c>
      <c r="B53" s="100" t="s">
        <v>2223</v>
      </c>
      <c r="C53" s="12">
        <v>6.42</v>
      </c>
      <c r="D53" s="88">
        <v>0.9</v>
      </c>
      <c r="E53" s="89" t="e">
        <f>IFERROR(
_xlfn.XLOOKUP(
B53,#REF!,#REF!
),
_xlfn.XLOOKUP(
A53,#REF!,#REF!
)
)</f>
        <v>#REF!</v>
      </c>
      <c r="F53" s="88" t="str">
        <f>IFERROR(
VLOOKUP(
B53,#REF!,
6,
FALSE
),
""
)</f>
        <v/>
      </c>
      <c r="G53" s="88">
        <v>0</v>
      </c>
      <c r="H53" s="88">
        <v>24</v>
      </c>
      <c r="I53" s="90" t="e">
        <f t="shared" si="9"/>
        <v>#REF!</v>
      </c>
      <c r="J53" s="91" t="e">
        <f t="shared" si="10"/>
        <v>#REF!</v>
      </c>
      <c r="K53" s="91"/>
      <c r="L53" s="88" t="e">
        <f t="shared" si="11"/>
        <v>#REF!</v>
      </c>
      <c r="M53" s="88" t="e">
        <f t="shared" si="12"/>
        <v>#REF!</v>
      </c>
      <c r="N53" s="88" t="e">
        <f t="shared" si="13"/>
        <v>#REF!</v>
      </c>
      <c r="O53" s="88"/>
    </row>
    <row r="54" spans="1:15" ht="15" x14ac:dyDescent="0.25">
      <c r="A54" s="12" t="s">
        <v>1824</v>
      </c>
      <c r="B54" s="100" t="s">
        <v>2224</v>
      </c>
      <c r="C54" s="12">
        <v>0.83</v>
      </c>
      <c r="D54" s="88">
        <v>0.9</v>
      </c>
      <c r="E54" s="89" t="e">
        <f>IFERROR(
_xlfn.XLOOKUP(
B54,#REF!,#REF!
),
_xlfn.XLOOKUP(
A54,#REF!,#REF!
)
)</f>
        <v>#REF!</v>
      </c>
      <c r="F54" s="88" t="str">
        <f>IFERROR(
VLOOKUP(
B54,#REF!,
6,
FALSE
),
""
)</f>
        <v/>
      </c>
      <c r="G54" s="88">
        <v>0</v>
      </c>
      <c r="H54" s="88">
        <v>24</v>
      </c>
      <c r="I54" s="90" t="e">
        <f t="shared" si="9"/>
        <v>#REF!</v>
      </c>
      <c r="J54" s="91" t="e">
        <f t="shared" si="10"/>
        <v>#REF!</v>
      </c>
      <c r="K54" s="91"/>
      <c r="L54" s="88" t="e">
        <f t="shared" si="11"/>
        <v>#REF!</v>
      </c>
      <c r="M54" s="88" t="e">
        <f t="shared" si="12"/>
        <v>#REF!</v>
      </c>
      <c r="N54" s="88" t="e">
        <f t="shared" si="13"/>
        <v>#REF!</v>
      </c>
      <c r="O54" s="88"/>
    </row>
    <row r="55" spans="1:15" ht="15" x14ac:dyDescent="0.25">
      <c r="A55" s="12" t="s">
        <v>1825</v>
      </c>
      <c r="B55" s="100" t="s">
        <v>2225</v>
      </c>
      <c r="C55" s="12">
        <v>1.83</v>
      </c>
      <c r="D55" s="88">
        <v>0.9</v>
      </c>
      <c r="E55" s="89" t="e">
        <f>IFERROR(
_xlfn.XLOOKUP(
B55,#REF!,#REF!
),
_xlfn.XLOOKUP(
A55,#REF!,#REF!
)
)</f>
        <v>#REF!</v>
      </c>
      <c r="F55" s="88" t="str">
        <f>IFERROR(
VLOOKUP(
B55,#REF!,
6,
FALSE
),
""
)</f>
        <v/>
      </c>
      <c r="G55" s="88">
        <v>0</v>
      </c>
      <c r="H55" s="88">
        <v>24</v>
      </c>
      <c r="I55" s="90" t="e">
        <f t="shared" si="9"/>
        <v>#REF!</v>
      </c>
      <c r="J55" s="91" t="e">
        <f t="shared" si="10"/>
        <v>#REF!</v>
      </c>
      <c r="K55" s="91"/>
      <c r="L55" s="88" t="e">
        <f t="shared" si="11"/>
        <v>#REF!</v>
      </c>
      <c r="M55" s="88" t="e">
        <f t="shared" si="12"/>
        <v>#REF!</v>
      </c>
      <c r="N55" s="88" t="e">
        <f t="shared" si="13"/>
        <v>#REF!</v>
      </c>
      <c r="O55" s="88"/>
    </row>
    <row r="56" spans="1:15" ht="15" x14ac:dyDescent="0.25">
      <c r="A56" s="12" t="s">
        <v>1826</v>
      </c>
      <c r="B56" s="100" t="s">
        <v>2226</v>
      </c>
      <c r="C56" s="12">
        <v>7.37</v>
      </c>
      <c r="D56" s="88">
        <v>0.9</v>
      </c>
      <c r="E56" s="89" t="e">
        <f>IFERROR(
_xlfn.XLOOKUP(
B56,#REF!,#REF!
),
_xlfn.XLOOKUP(
A56,#REF!,#REF!
)
)</f>
        <v>#REF!</v>
      </c>
      <c r="F56" s="88" t="str">
        <f>IFERROR(
VLOOKUP(
B56,#REF!,
6,
FALSE
),
""
)</f>
        <v/>
      </c>
      <c r="G56" s="88">
        <v>0</v>
      </c>
      <c r="H56" s="88">
        <v>24</v>
      </c>
      <c r="I56" s="90" t="e">
        <f t="shared" si="9"/>
        <v>#REF!</v>
      </c>
      <c r="J56" s="91" t="e">
        <f t="shared" si="10"/>
        <v>#REF!</v>
      </c>
      <c r="K56" s="91"/>
      <c r="L56" s="88" t="e">
        <f t="shared" si="11"/>
        <v>#REF!</v>
      </c>
      <c r="M56" s="88" t="e">
        <f t="shared" si="12"/>
        <v>#REF!</v>
      </c>
      <c r="N56" s="88" t="e">
        <f t="shared" si="13"/>
        <v>#REF!</v>
      </c>
      <c r="O56" s="88"/>
    </row>
    <row r="57" spans="1:15" ht="15" x14ac:dyDescent="0.25">
      <c r="C57" s="12">
        <v>18.399999999999999</v>
      </c>
      <c r="D57" s="88">
        <v>0.9</v>
      </c>
      <c r="E57" s="89" t="e">
        <f>IFERROR(
_xlfn.XLOOKUP(
B57,#REF!,#REF!
),
_xlfn.XLOOKUP(
A57,#REF!,#REF!
)
)</f>
        <v>#REF!</v>
      </c>
      <c r="F57" s="88" t="str">
        <f>IFERROR(
VLOOKUP(
B57,#REF!,
6,
FALSE
),
""
)</f>
        <v/>
      </c>
      <c r="G57" s="88">
        <v>0</v>
      </c>
      <c r="H57" s="88">
        <v>24</v>
      </c>
      <c r="I57" s="90" t="e">
        <f t="shared" si="9"/>
        <v>#REF!</v>
      </c>
      <c r="J57" s="91" t="e">
        <f t="shared" si="10"/>
        <v>#REF!</v>
      </c>
      <c r="K57" s="91"/>
      <c r="L57" s="88" t="e">
        <f t="shared" si="11"/>
        <v>#REF!</v>
      </c>
      <c r="M57" s="88" t="e">
        <f t="shared" si="12"/>
        <v>#REF!</v>
      </c>
      <c r="N57" s="88" t="e">
        <f t="shared" si="13"/>
        <v>#REF!</v>
      </c>
      <c r="O57" s="88"/>
    </row>
    <row r="58" spans="1:15" ht="15" x14ac:dyDescent="0.25">
      <c r="C58" s="12">
        <v>18.399999999999999</v>
      </c>
      <c r="D58" s="88">
        <v>0.9</v>
      </c>
      <c r="E58" s="89" t="e">
        <f>IFERROR(
_xlfn.XLOOKUP(
B58,#REF!,#REF!
),
_xlfn.XLOOKUP(
A58,#REF!,#REF!
)
)</f>
        <v>#REF!</v>
      </c>
      <c r="F58" s="88" t="str">
        <f>IFERROR(
VLOOKUP(
B58,#REF!,
6,
FALSE
),
""
)</f>
        <v/>
      </c>
      <c r="G58" s="88">
        <v>0</v>
      </c>
      <c r="H58" s="88">
        <v>24</v>
      </c>
      <c r="I58" s="90" t="e">
        <f t="shared" si="9"/>
        <v>#REF!</v>
      </c>
      <c r="J58" s="91" t="e">
        <f t="shared" si="10"/>
        <v>#REF!</v>
      </c>
      <c r="K58" s="91"/>
      <c r="L58" s="88" t="e">
        <f t="shared" si="11"/>
        <v>#REF!</v>
      </c>
      <c r="M58" s="88" t="e">
        <f t="shared" si="12"/>
        <v>#REF!</v>
      </c>
      <c r="N58" s="88" t="e">
        <f t="shared" si="13"/>
        <v>#REF!</v>
      </c>
      <c r="O58" s="88"/>
    </row>
    <row r="59" spans="1:15" ht="15" x14ac:dyDescent="0.25">
      <c r="C59" s="12">
        <v>18.399999999999999</v>
      </c>
      <c r="D59" s="88">
        <v>0.9</v>
      </c>
      <c r="E59" s="89" t="e">
        <f>IFERROR(
_xlfn.XLOOKUP(
B59,#REF!,#REF!
),
_xlfn.XLOOKUP(
A59,#REF!,#REF!
)
)</f>
        <v>#REF!</v>
      </c>
      <c r="F59" s="88" t="str">
        <f>IFERROR(
VLOOKUP(
B59,#REF!,
6,
FALSE
),
""
)</f>
        <v/>
      </c>
      <c r="G59" s="88">
        <v>0</v>
      </c>
      <c r="H59" s="88">
        <v>24</v>
      </c>
      <c r="I59" s="90" t="e">
        <f t="shared" si="9"/>
        <v>#REF!</v>
      </c>
      <c r="J59" s="91" t="e">
        <f t="shared" si="10"/>
        <v>#REF!</v>
      </c>
      <c r="K59" s="91"/>
      <c r="L59" s="88" t="e">
        <f t="shared" si="11"/>
        <v>#REF!</v>
      </c>
      <c r="M59" s="88" t="e">
        <f t="shared" si="12"/>
        <v>#REF!</v>
      </c>
      <c r="N59" s="88" t="e">
        <f t="shared" si="13"/>
        <v>#REF!</v>
      </c>
      <c r="O59" s="88"/>
    </row>
    <row r="60" spans="1:15" ht="15" x14ac:dyDescent="0.25">
      <c r="C60" s="12">
        <v>18.399999999999999</v>
      </c>
      <c r="D60" s="88">
        <v>0.9</v>
      </c>
      <c r="E60" s="89" t="e">
        <f>IFERROR(
_xlfn.XLOOKUP(
B60,#REF!,#REF!
),
_xlfn.XLOOKUP(
A60,#REF!,#REF!
)
)</f>
        <v>#REF!</v>
      </c>
      <c r="F60" s="88" t="str">
        <f>IFERROR(
VLOOKUP(
B60,#REF!,
6,
FALSE
),
""
)</f>
        <v/>
      </c>
      <c r="G60" s="88">
        <v>0</v>
      </c>
      <c r="H60" s="88">
        <v>24</v>
      </c>
      <c r="I60" s="90" t="e">
        <f t="shared" si="9"/>
        <v>#REF!</v>
      </c>
      <c r="J60" s="91" t="e">
        <f t="shared" si="10"/>
        <v>#REF!</v>
      </c>
      <c r="K60" s="91"/>
      <c r="L60" s="88" t="e">
        <f t="shared" si="11"/>
        <v>#REF!</v>
      </c>
      <c r="M60" s="88" t="e">
        <f t="shared" si="12"/>
        <v>#REF!</v>
      </c>
      <c r="N60" s="88" t="e">
        <f t="shared" si="13"/>
        <v>#REF!</v>
      </c>
      <c r="O60" s="88"/>
    </row>
    <row r="61" spans="1:15" ht="15" x14ac:dyDescent="0.25">
      <c r="C61" s="12">
        <v>18.399999999999999</v>
      </c>
      <c r="D61" s="88">
        <v>0.9</v>
      </c>
      <c r="E61" s="89" t="e">
        <f>IFERROR(
_xlfn.XLOOKUP(
B61,#REF!,#REF!
),
_xlfn.XLOOKUP(
A61,#REF!,#REF!
)
)</f>
        <v>#REF!</v>
      </c>
      <c r="F61" s="88" t="str">
        <f>IFERROR(
VLOOKUP(
B61,#REF!,
6,
FALSE
),
""
)</f>
        <v/>
      </c>
      <c r="G61" s="88">
        <v>0</v>
      </c>
      <c r="H61" s="88">
        <v>24</v>
      </c>
      <c r="I61" s="90" t="e">
        <f t="shared" si="9"/>
        <v>#REF!</v>
      </c>
      <c r="J61" s="91" t="e">
        <f t="shared" si="10"/>
        <v>#REF!</v>
      </c>
      <c r="K61" s="91"/>
      <c r="L61" s="88" t="e">
        <f t="shared" si="11"/>
        <v>#REF!</v>
      </c>
      <c r="M61" s="88" t="e">
        <f t="shared" si="12"/>
        <v>#REF!</v>
      </c>
      <c r="N61" s="88" t="e">
        <f t="shared" si="13"/>
        <v>#REF!</v>
      </c>
      <c r="O61" s="88"/>
    </row>
    <row r="62" spans="1:15" ht="15" x14ac:dyDescent="0.25">
      <c r="C62" s="12">
        <v>18.399999999999999</v>
      </c>
      <c r="D62" s="88">
        <v>0.9</v>
      </c>
      <c r="E62" s="89" t="e">
        <f>IFERROR(
_xlfn.XLOOKUP(
B62,#REF!,#REF!
),
_xlfn.XLOOKUP(
A62,#REF!,#REF!
)
)</f>
        <v>#REF!</v>
      </c>
      <c r="F62" s="88" t="str">
        <f>IFERROR(
VLOOKUP(
B62,#REF!,
6,
FALSE
),
""
)</f>
        <v/>
      </c>
      <c r="G62" s="88">
        <v>0</v>
      </c>
      <c r="H62" s="88">
        <v>24</v>
      </c>
      <c r="I62" s="90" t="e">
        <f t="shared" si="9"/>
        <v>#REF!</v>
      </c>
      <c r="J62" s="91" t="e">
        <f t="shared" si="10"/>
        <v>#REF!</v>
      </c>
      <c r="K62" s="91"/>
      <c r="L62" s="88" t="e">
        <f t="shared" si="11"/>
        <v>#REF!</v>
      </c>
      <c r="M62" s="88" t="e">
        <f t="shared" si="12"/>
        <v>#REF!</v>
      </c>
      <c r="N62" s="88" t="e">
        <f t="shared" si="13"/>
        <v>#REF!</v>
      </c>
      <c r="O62" s="88"/>
    </row>
    <row r="63" spans="1:15" ht="15" x14ac:dyDescent="0.25">
      <c r="C63" s="12">
        <v>18.399999999999999</v>
      </c>
      <c r="D63" s="88">
        <v>0.9</v>
      </c>
      <c r="E63" s="89" t="e">
        <f>IFERROR(
_xlfn.XLOOKUP(
B63,#REF!,#REF!
),
_xlfn.XLOOKUP(
A63,#REF!,#REF!
)
)</f>
        <v>#REF!</v>
      </c>
      <c r="F63" s="88" t="str">
        <f>IFERROR(
VLOOKUP(
B63,#REF!,
6,
FALSE
),
""
)</f>
        <v/>
      </c>
      <c r="G63" s="88">
        <v>0</v>
      </c>
      <c r="H63" s="88">
        <v>24</v>
      </c>
      <c r="I63" s="90" t="e">
        <f t="shared" si="9"/>
        <v>#REF!</v>
      </c>
      <c r="J63" s="91" t="e">
        <f t="shared" si="10"/>
        <v>#REF!</v>
      </c>
      <c r="K63" s="91"/>
      <c r="L63" s="88" t="e">
        <f t="shared" si="11"/>
        <v>#REF!</v>
      </c>
      <c r="M63" s="88" t="e">
        <f t="shared" si="12"/>
        <v>#REF!</v>
      </c>
      <c r="N63" s="88" t="e">
        <f t="shared" si="13"/>
        <v>#REF!</v>
      </c>
      <c r="O63" s="88"/>
    </row>
    <row r="64" spans="1:15" ht="15" x14ac:dyDescent="0.25">
      <c r="C64" s="12">
        <v>18.399999999999999</v>
      </c>
      <c r="D64" s="88">
        <v>0.9</v>
      </c>
      <c r="E64" s="89" t="e">
        <f>IFERROR(
_xlfn.XLOOKUP(
B64,#REF!,#REF!
),
_xlfn.XLOOKUP(
A64,#REF!,#REF!
)
)</f>
        <v>#REF!</v>
      </c>
      <c r="F64" s="88" t="str">
        <f>IFERROR(
VLOOKUP(
B64,#REF!,
6,
FALSE
),
""
)</f>
        <v/>
      </c>
      <c r="G64" s="88">
        <v>0</v>
      </c>
      <c r="H64" s="88">
        <v>24</v>
      </c>
      <c r="I64" s="90" t="e">
        <f t="shared" si="9"/>
        <v>#REF!</v>
      </c>
      <c r="J64" s="91" t="e">
        <f t="shared" si="10"/>
        <v>#REF!</v>
      </c>
      <c r="K64" s="91"/>
      <c r="L64" s="88" t="e">
        <f t="shared" si="11"/>
        <v>#REF!</v>
      </c>
      <c r="M64" s="88" t="e">
        <f t="shared" si="12"/>
        <v>#REF!</v>
      </c>
      <c r="N64" s="88" t="e">
        <f t="shared" si="13"/>
        <v>#REF!</v>
      </c>
      <c r="O64" s="88"/>
    </row>
    <row r="65" spans="3:15" ht="15" x14ac:dyDescent="0.25">
      <c r="C65" s="12">
        <v>18.399999999999999</v>
      </c>
      <c r="D65" s="88">
        <v>0.9</v>
      </c>
      <c r="E65" s="89" t="e">
        <f>IFERROR(
_xlfn.XLOOKUP(
B65,#REF!,#REF!
),
_xlfn.XLOOKUP(
A65,#REF!,#REF!
)
)</f>
        <v>#REF!</v>
      </c>
      <c r="F65" s="88" t="str">
        <f>IFERROR(
VLOOKUP(
B65,#REF!,
6,
FALSE
),
""
)</f>
        <v/>
      </c>
      <c r="G65" s="88">
        <v>0</v>
      </c>
      <c r="H65" s="88">
        <v>24</v>
      </c>
      <c r="I65" s="90" t="e">
        <f t="shared" si="9"/>
        <v>#REF!</v>
      </c>
      <c r="J65" s="91" t="e">
        <f t="shared" si="10"/>
        <v>#REF!</v>
      </c>
      <c r="K65" s="91"/>
      <c r="L65" s="88" t="e">
        <f t="shared" si="11"/>
        <v>#REF!</v>
      </c>
      <c r="M65" s="88" t="e">
        <f t="shared" si="12"/>
        <v>#REF!</v>
      </c>
      <c r="N65" s="88" t="e">
        <f t="shared" si="13"/>
        <v>#REF!</v>
      </c>
      <c r="O65" s="88"/>
    </row>
    <row r="66" spans="3:15" ht="15" x14ac:dyDescent="0.25">
      <c r="C66" s="12">
        <v>18.399999999999999</v>
      </c>
      <c r="D66" s="88">
        <v>0.9</v>
      </c>
      <c r="E66" s="89" t="e">
        <f>IFERROR(
_xlfn.XLOOKUP(
B66,#REF!,#REF!
),
_xlfn.XLOOKUP(
A66,#REF!,#REF!
)
)</f>
        <v>#REF!</v>
      </c>
      <c r="F66" s="88" t="str">
        <f>IFERROR(
VLOOKUP(
B66,#REF!,
6,
FALSE
),
""
)</f>
        <v/>
      </c>
      <c r="G66" s="88">
        <v>0</v>
      </c>
      <c r="H66" s="88">
        <v>24</v>
      </c>
      <c r="I66" s="90" t="e">
        <f t="shared" si="9"/>
        <v>#REF!</v>
      </c>
      <c r="J66" s="91" t="e">
        <f t="shared" si="10"/>
        <v>#REF!</v>
      </c>
      <c r="K66" s="91"/>
      <c r="L66" s="88" t="e">
        <f t="shared" si="11"/>
        <v>#REF!</v>
      </c>
      <c r="M66" s="88" t="e">
        <f t="shared" si="12"/>
        <v>#REF!</v>
      </c>
      <c r="N66" s="88" t="e">
        <f t="shared" si="13"/>
        <v>#REF!</v>
      </c>
      <c r="O66" s="88"/>
    </row>
    <row r="67" spans="3:15" ht="15" x14ac:dyDescent="0.25">
      <c r="C67" s="12">
        <v>18.399999999999999</v>
      </c>
      <c r="D67" s="88">
        <v>0.9</v>
      </c>
      <c r="E67" s="89" t="e">
        <f>IFERROR(
_xlfn.XLOOKUP(
B67,#REF!,#REF!
),
_xlfn.XLOOKUP(
A67,#REF!,#REF!
)
)</f>
        <v>#REF!</v>
      </c>
      <c r="F67" s="88" t="str">
        <f>IFERROR(
VLOOKUP(
B67,#REF!,
6,
FALSE
),
""
)</f>
        <v/>
      </c>
      <c r="G67" s="88">
        <v>0</v>
      </c>
      <c r="H67" s="88">
        <v>24</v>
      </c>
      <c r="I67" s="90" t="e">
        <f t="shared" si="9"/>
        <v>#REF!</v>
      </c>
      <c r="J67" s="91" t="e">
        <f t="shared" si="10"/>
        <v>#REF!</v>
      </c>
      <c r="K67" s="91"/>
      <c r="L67" s="88" t="e">
        <f t="shared" si="11"/>
        <v>#REF!</v>
      </c>
      <c r="M67" s="88" t="e">
        <f t="shared" si="12"/>
        <v>#REF!</v>
      </c>
      <c r="N67" s="88" t="e">
        <f t="shared" si="13"/>
        <v>#REF!</v>
      </c>
      <c r="O67" s="88"/>
    </row>
    <row r="68" spans="3:15" ht="15" x14ac:dyDescent="0.25">
      <c r="C68" s="12">
        <v>18.399999999999999</v>
      </c>
      <c r="D68" s="88">
        <v>0.9</v>
      </c>
      <c r="E68" s="89" t="e">
        <f>IFERROR(
_xlfn.XLOOKUP(
B68,#REF!,#REF!
),
_xlfn.XLOOKUP(
A68,#REF!,#REF!
)
)</f>
        <v>#REF!</v>
      </c>
      <c r="F68" s="88" t="str">
        <f>IFERROR(
VLOOKUP(
B68,#REF!,
6,
FALSE
),
""
)</f>
        <v/>
      </c>
      <c r="G68" s="88">
        <v>0</v>
      </c>
      <c r="H68" s="88">
        <v>24</v>
      </c>
      <c r="I68" s="90" t="e">
        <f t="shared" si="9"/>
        <v>#REF!</v>
      </c>
      <c r="J68" s="91" t="e">
        <f t="shared" si="10"/>
        <v>#REF!</v>
      </c>
      <c r="K68" s="91"/>
      <c r="L68" s="88" t="e">
        <f t="shared" si="11"/>
        <v>#REF!</v>
      </c>
      <c r="M68" s="88" t="e">
        <f t="shared" si="12"/>
        <v>#REF!</v>
      </c>
      <c r="N68" s="88" t="e">
        <f t="shared" si="13"/>
        <v>#REF!</v>
      </c>
      <c r="O68" s="88"/>
    </row>
    <row r="69" spans="3:15" ht="15" x14ac:dyDescent="0.25">
      <c r="C69" s="12">
        <v>18.399999999999999</v>
      </c>
      <c r="D69" s="88">
        <v>0.9</v>
      </c>
      <c r="E69" s="89" t="e">
        <f>IFERROR(
_xlfn.XLOOKUP(
B69,#REF!,#REF!
),
_xlfn.XLOOKUP(
A69,#REF!,#REF!
)
)</f>
        <v>#REF!</v>
      </c>
      <c r="F69" s="88" t="str">
        <f>IFERROR(
VLOOKUP(
B69,#REF!,
6,
FALSE
),
""
)</f>
        <v/>
      </c>
      <c r="G69" s="88">
        <v>0</v>
      </c>
      <c r="H69" s="88">
        <v>24</v>
      </c>
      <c r="I69" s="90" t="e">
        <f t="shared" si="9"/>
        <v>#REF!</v>
      </c>
      <c r="J69" s="91" t="e">
        <f t="shared" si="10"/>
        <v>#REF!</v>
      </c>
      <c r="K69" s="91"/>
      <c r="L69" s="88" t="e">
        <f t="shared" si="11"/>
        <v>#REF!</v>
      </c>
      <c r="M69" s="88" t="e">
        <f t="shared" si="12"/>
        <v>#REF!</v>
      </c>
      <c r="N69" s="88" t="e">
        <f t="shared" si="13"/>
        <v>#REF!</v>
      </c>
      <c r="O69" s="88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2:M34"/>
  <sheetViews>
    <sheetView topLeftCell="A10" workbookViewId="0">
      <selection activeCell="I22" sqref="I22"/>
    </sheetView>
  </sheetViews>
  <sheetFormatPr defaultColWidth="12.5703125" defaultRowHeight="15.75" customHeight="1" x14ac:dyDescent="0.2"/>
  <cols>
    <col min="1" max="1" width="15.28515625" customWidth="1"/>
    <col min="2" max="2" width="18.7109375" customWidth="1"/>
    <col min="4" max="4" width="6.85546875" customWidth="1"/>
  </cols>
  <sheetData>
    <row r="2" spans="1:12" ht="12.75" x14ac:dyDescent="0.2">
      <c r="A2" s="22" t="s">
        <v>1827</v>
      </c>
      <c r="B2" s="22" t="s">
        <v>1828</v>
      </c>
      <c r="C2" s="23">
        <v>10.48</v>
      </c>
      <c r="D2" s="23">
        <v>0.9</v>
      </c>
      <c r="E2" s="23">
        <f t="shared" ref="E2:E9" si="0">SUM(C2)+D2</f>
        <v>11.38</v>
      </c>
      <c r="F2" s="23">
        <v>1.24</v>
      </c>
      <c r="G2" s="23">
        <f t="shared" ref="G2:G9" si="1">SUM(E2)*F2</f>
        <v>14.1112</v>
      </c>
      <c r="H2" s="23">
        <v>1.1214999999999999</v>
      </c>
      <c r="I2" s="23">
        <f t="shared" ref="I2:I9" si="2">SUM(G2)*H2</f>
        <v>15.8257108</v>
      </c>
      <c r="J2" s="24">
        <v>1.42</v>
      </c>
      <c r="K2" s="23">
        <f t="shared" ref="K2:K9" si="3">SUM(I2)+J2</f>
        <v>17.245710799999998</v>
      </c>
      <c r="L2" s="23">
        <v>11</v>
      </c>
    </row>
    <row r="3" spans="1:12" ht="12.75" x14ac:dyDescent="0.2">
      <c r="A3" s="6" t="s">
        <v>1829</v>
      </c>
      <c r="B3" s="6" t="s">
        <v>1830</v>
      </c>
      <c r="C3" s="12">
        <v>11.25</v>
      </c>
      <c r="D3" s="12">
        <v>0.9</v>
      </c>
      <c r="E3" s="12">
        <f t="shared" si="0"/>
        <v>12.15</v>
      </c>
      <c r="F3" s="12">
        <v>1.24</v>
      </c>
      <c r="G3" s="12">
        <f t="shared" si="1"/>
        <v>15.066000000000001</v>
      </c>
      <c r="H3" s="12">
        <v>1.1214999999999999</v>
      </c>
      <c r="I3" s="12">
        <f t="shared" si="2"/>
        <v>16.896519000000001</v>
      </c>
      <c r="J3" s="21">
        <v>0.7</v>
      </c>
      <c r="K3" s="12">
        <f t="shared" si="3"/>
        <v>17.596519000000001</v>
      </c>
    </row>
    <row r="4" spans="1:12" ht="12.75" x14ac:dyDescent="0.2">
      <c r="A4" s="6" t="s">
        <v>1831</v>
      </c>
      <c r="B4" s="6" t="s">
        <v>1832</v>
      </c>
      <c r="C4" s="12">
        <v>8.93</v>
      </c>
      <c r="D4" s="12">
        <v>0.9</v>
      </c>
      <c r="E4" s="12">
        <f t="shared" si="0"/>
        <v>9.83</v>
      </c>
      <c r="F4" s="12">
        <v>1.24</v>
      </c>
      <c r="G4" s="12">
        <f t="shared" si="1"/>
        <v>12.1892</v>
      </c>
      <c r="H4" s="12">
        <v>1.1214999999999999</v>
      </c>
      <c r="I4" s="12">
        <f t="shared" si="2"/>
        <v>13.670187799999999</v>
      </c>
      <c r="J4" s="21">
        <v>0.7</v>
      </c>
      <c r="K4" s="12">
        <f t="shared" si="3"/>
        <v>14.370187799999998</v>
      </c>
    </row>
    <row r="5" spans="1:12" ht="12.75" x14ac:dyDescent="0.2">
      <c r="C5" s="12">
        <v>0</v>
      </c>
      <c r="D5" s="12">
        <v>0.9</v>
      </c>
      <c r="E5" s="12">
        <f t="shared" si="0"/>
        <v>0.9</v>
      </c>
      <c r="F5" s="12">
        <v>1.24</v>
      </c>
      <c r="G5" s="12">
        <f t="shared" si="1"/>
        <v>1.1160000000000001</v>
      </c>
      <c r="H5" s="12">
        <v>1.1214999999999999</v>
      </c>
      <c r="I5" s="12">
        <f t="shared" si="2"/>
        <v>1.2515940000000001</v>
      </c>
      <c r="J5" s="12">
        <v>0.73999999999999899</v>
      </c>
      <c r="K5" s="12">
        <f t="shared" si="3"/>
        <v>1.9915939999999992</v>
      </c>
    </row>
    <row r="6" spans="1:12" ht="12.75" x14ac:dyDescent="0.2">
      <c r="C6" s="12">
        <v>0</v>
      </c>
      <c r="D6" s="12">
        <v>0.9</v>
      </c>
      <c r="E6" s="12">
        <f t="shared" si="0"/>
        <v>0.9</v>
      </c>
      <c r="F6" s="12">
        <v>1.24</v>
      </c>
      <c r="G6" s="12">
        <f t="shared" si="1"/>
        <v>1.1160000000000001</v>
      </c>
      <c r="H6" s="12">
        <v>1.1214999999999999</v>
      </c>
      <c r="I6" s="12">
        <f t="shared" si="2"/>
        <v>1.2515940000000001</v>
      </c>
      <c r="J6" s="12">
        <v>0.73999999999999899</v>
      </c>
      <c r="K6" s="12">
        <f t="shared" si="3"/>
        <v>1.9915939999999992</v>
      </c>
    </row>
    <row r="7" spans="1:12" ht="12.75" x14ac:dyDescent="0.2">
      <c r="C7" s="12">
        <v>0</v>
      </c>
      <c r="D7" s="12">
        <v>0.9</v>
      </c>
      <c r="E7" s="12">
        <f t="shared" si="0"/>
        <v>0.9</v>
      </c>
      <c r="F7" s="12">
        <v>1.24</v>
      </c>
      <c r="G7" s="12">
        <f t="shared" si="1"/>
        <v>1.1160000000000001</v>
      </c>
      <c r="H7" s="12">
        <v>1.1214999999999999</v>
      </c>
      <c r="I7" s="12">
        <f t="shared" si="2"/>
        <v>1.2515940000000001</v>
      </c>
      <c r="J7" s="12">
        <v>0.73999999999999899</v>
      </c>
      <c r="K7" s="12">
        <f t="shared" si="3"/>
        <v>1.9915939999999992</v>
      </c>
    </row>
    <row r="8" spans="1:12" ht="12.75" x14ac:dyDescent="0.2">
      <c r="C8" s="12">
        <v>0</v>
      </c>
      <c r="D8" s="12">
        <v>0.9</v>
      </c>
      <c r="E8" s="12">
        <f t="shared" si="0"/>
        <v>0.9</v>
      </c>
      <c r="F8" s="12">
        <v>1.24</v>
      </c>
      <c r="G8" s="12">
        <f t="shared" si="1"/>
        <v>1.1160000000000001</v>
      </c>
      <c r="H8" s="12">
        <v>1.1214999999999999</v>
      </c>
      <c r="I8" s="12">
        <f t="shared" si="2"/>
        <v>1.2515940000000001</v>
      </c>
      <c r="J8" s="12">
        <v>0.73999999999999899</v>
      </c>
      <c r="K8" s="12">
        <f t="shared" si="3"/>
        <v>1.9915939999999992</v>
      </c>
    </row>
    <row r="9" spans="1:12" ht="12.75" x14ac:dyDescent="0.2">
      <c r="C9" s="12">
        <v>0</v>
      </c>
      <c r="D9" s="12">
        <v>0.9</v>
      </c>
      <c r="E9" s="12">
        <f t="shared" si="0"/>
        <v>0.9</v>
      </c>
      <c r="F9" s="12">
        <v>1.24</v>
      </c>
      <c r="G9" s="12">
        <f t="shared" si="1"/>
        <v>1.1160000000000001</v>
      </c>
      <c r="H9" s="12">
        <v>1.1214999999999999</v>
      </c>
      <c r="I9" s="12">
        <f t="shared" si="2"/>
        <v>1.2515940000000001</v>
      </c>
      <c r="J9" s="12">
        <v>0.73999999999999899</v>
      </c>
      <c r="K9" s="12">
        <f t="shared" si="3"/>
        <v>1.9915939999999992</v>
      </c>
    </row>
    <row r="11" spans="1:12" ht="15.75" customHeight="1" x14ac:dyDescent="0.25">
      <c r="A11" s="6" t="s">
        <v>1833</v>
      </c>
      <c r="B11" s="6" t="s">
        <v>1834</v>
      </c>
      <c r="C11" s="9">
        <v>8.15</v>
      </c>
      <c r="D11" s="9">
        <v>0.9</v>
      </c>
      <c r="E11" s="21">
        <v>0.63</v>
      </c>
      <c r="F11" s="9">
        <v>8.1999999999999993</v>
      </c>
      <c r="G11" s="9">
        <v>24</v>
      </c>
      <c r="H11" s="9">
        <f t="shared" ref="H11:H34" si="4">C11+D11+E11</f>
        <v>9.6800000000000015</v>
      </c>
      <c r="I11" s="9">
        <f t="shared" ref="I11:I34" si="5">H11 / (1 - F11/100 - (1 - 1/(1 + G11/100)))</f>
        <v>13.361830973372518</v>
      </c>
      <c r="J11" s="9">
        <f t="shared" ref="J11:J34" si="6">I11 * F11 / 100</f>
        <v>1.0956701398165465</v>
      </c>
      <c r="K11" s="9">
        <f t="shared" ref="K11:K34" si="7">I11 - (I11 / (1 + G11/100))</f>
        <v>2.5861608335559705</v>
      </c>
      <c r="L11" s="9">
        <f t="shared" ref="L11:L34" si="8">I11 - J11 - K11</f>
        <v>9.6800000000000015</v>
      </c>
    </row>
    <row r="12" spans="1:12" ht="15.75" customHeight="1" x14ac:dyDescent="0.25">
      <c r="A12" s="6" t="s">
        <v>1835</v>
      </c>
      <c r="B12" s="6" t="s">
        <v>1836</v>
      </c>
      <c r="C12" s="9">
        <v>12.65</v>
      </c>
      <c r="D12" s="9">
        <v>1.1000000000000001</v>
      </c>
      <c r="E12" s="21">
        <v>0.63</v>
      </c>
      <c r="F12" s="9">
        <v>8.1999999999999993</v>
      </c>
      <c r="G12" s="9">
        <v>24</v>
      </c>
      <c r="H12" s="9">
        <f t="shared" si="4"/>
        <v>14.38</v>
      </c>
      <c r="I12" s="9">
        <f t="shared" si="5"/>
        <v>19.849496838543057</v>
      </c>
      <c r="J12" s="9">
        <f t="shared" si="6"/>
        <v>1.6276587407605305</v>
      </c>
      <c r="K12" s="9">
        <f t="shared" si="7"/>
        <v>3.8418380977825279</v>
      </c>
      <c r="L12" s="9">
        <f t="shared" si="8"/>
        <v>14.379999999999999</v>
      </c>
    </row>
    <row r="13" spans="1:12" ht="15.75" customHeight="1" x14ac:dyDescent="0.25">
      <c r="A13" s="6" t="s">
        <v>1837</v>
      </c>
      <c r="B13" s="6" t="s">
        <v>1838</v>
      </c>
      <c r="C13" s="9">
        <v>6.29</v>
      </c>
      <c r="D13" s="9">
        <v>0.5</v>
      </c>
      <c r="E13" s="21">
        <v>0.43</v>
      </c>
      <c r="F13" s="9">
        <v>8.1999999999999993</v>
      </c>
      <c r="G13" s="9">
        <v>24</v>
      </c>
      <c r="H13" s="9">
        <f t="shared" si="4"/>
        <v>7.22</v>
      </c>
      <c r="I13" s="9">
        <f t="shared" si="5"/>
        <v>9.9661590524534667</v>
      </c>
      <c r="J13" s="9">
        <f t="shared" si="6"/>
        <v>0.8172250423011842</v>
      </c>
      <c r="K13" s="9">
        <f t="shared" si="7"/>
        <v>1.9289340101522843</v>
      </c>
      <c r="L13" s="9">
        <f t="shared" si="8"/>
        <v>7.2199999999999989</v>
      </c>
    </row>
    <row r="14" spans="1:12" ht="15.75" customHeight="1" x14ac:dyDescent="0.25">
      <c r="A14" s="6" t="s">
        <v>1839</v>
      </c>
      <c r="B14" s="6" t="s">
        <v>1840</v>
      </c>
      <c r="C14" s="9">
        <v>9.39</v>
      </c>
      <c r="D14" s="9">
        <v>0.9</v>
      </c>
      <c r="E14" s="21">
        <v>0.63</v>
      </c>
      <c r="F14" s="9">
        <v>8.1999999999999993</v>
      </c>
      <c r="G14" s="9">
        <v>24</v>
      </c>
      <c r="H14" s="9">
        <f t="shared" si="4"/>
        <v>10.920000000000002</v>
      </c>
      <c r="I14" s="9">
        <f t="shared" si="5"/>
        <v>15.073470478226023</v>
      </c>
      <c r="J14" s="9">
        <f t="shared" si="6"/>
        <v>1.2360245792145337</v>
      </c>
      <c r="K14" s="9">
        <f t="shared" si="7"/>
        <v>2.9174458990114882</v>
      </c>
      <c r="L14" s="9">
        <f t="shared" si="8"/>
        <v>10.92</v>
      </c>
    </row>
    <row r="15" spans="1:12" ht="15.75" customHeight="1" x14ac:dyDescent="0.25">
      <c r="A15" s="6" t="s">
        <v>1841</v>
      </c>
      <c r="B15" s="6" t="s">
        <v>1842</v>
      </c>
      <c r="C15" s="9">
        <v>5.66</v>
      </c>
      <c r="D15" s="9">
        <v>0.9</v>
      </c>
      <c r="E15" s="21">
        <v>0.43</v>
      </c>
      <c r="F15" s="9">
        <v>8.1999999999999993</v>
      </c>
      <c r="G15" s="9">
        <v>24</v>
      </c>
      <c r="H15" s="9">
        <f t="shared" si="4"/>
        <v>6.99</v>
      </c>
      <c r="I15" s="9">
        <f t="shared" si="5"/>
        <v>9.6486775313919306</v>
      </c>
      <c r="J15" s="9">
        <f t="shared" si="6"/>
        <v>0.79119155757413817</v>
      </c>
      <c r="K15" s="9">
        <f t="shared" si="7"/>
        <v>1.8674859738177929</v>
      </c>
      <c r="L15" s="9">
        <f t="shared" si="8"/>
        <v>6.99</v>
      </c>
    </row>
    <row r="16" spans="1:12" ht="15.75" customHeight="1" x14ac:dyDescent="0.25">
      <c r="A16" s="6" t="s">
        <v>1843</v>
      </c>
      <c r="B16" s="6" t="s">
        <v>1844</v>
      </c>
      <c r="C16" s="9">
        <v>7.61</v>
      </c>
      <c r="D16" s="9">
        <v>0.9</v>
      </c>
      <c r="E16" s="21">
        <v>0.63</v>
      </c>
      <c r="F16" s="9">
        <v>8.1999999999999993</v>
      </c>
      <c r="G16" s="9">
        <v>24</v>
      </c>
      <c r="H16" s="9">
        <f t="shared" si="4"/>
        <v>9.14</v>
      </c>
      <c r="I16" s="9">
        <f t="shared" si="5"/>
        <v>12.616439576097603</v>
      </c>
      <c r="J16" s="9">
        <f t="shared" si="6"/>
        <v>1.0345480452400033</v>
      </c>
      <c r="K16" s="9">
        <f t="shared" si="7"/>
        <v>2.4418915308575997</v>
      </c>
      <c r="L16" s="9">
        <f t="shared" si="8"/>
        <v>9.14</v>
      </c>
    </row>
    <row r="17" spans="1:13" ht="15.75" customHeight="1" x14ac:dyDescent="0.25">
      <c r="A17" s="6" t="s">
        <v>1845</v>
      </c>
      <c r="B17" s="6" t="s">
        <v>1846</v>
      </c>
      <c r="C17" s="9">
        <v>7.29</v>
      </c>
      <c r="D17" s="9">
        <v>0.9</v>
      </c>
      <c r="E17" s="21">
        <v>0.63</v>
      </c>
      <c r="F17" s="9">
        <v>8.1999999999999993</v>
      </c>
      <c r="G17" s="9">
        <v>24</v>
      </c>
      <c r="H17" s="9">
        <f t="shared" si="4"/>
        <v>8.82</v>
      </c>
      <c r="I17" s="9">
        <f t="shared" si="5"/>
        <v>12.174726155490248</v>
      </c>
      <c r="J17" s="9">
        <f t="shared" si="6"/>
        <v>0.99832754475020025</v>
      </c>
      <c r="K17" s="9">
        <f t="shared" si="7"/>
        <v>2.3563986107400474</v>
      </c>
      <c r="L17" s="9">
        <f t="shared" si="8"/>
        <v>8.82</v>
      </c>
    </row>
    <row r="18" spans="1:13" ht="15.75" customHeight="1" x14ac:dyDescent="0.25">
      <c r="A18" s="6" t="s">
        <v>1847</v>
      </c>
      <c r="B18" s="6" t="s">
        <v>1848</v>
      </c>
      <c r="C18" s="9">
        <v>5.56</v>
      </c>
      <c r="D18" s="9">
        <v>0.9</v>
      </c>
      <c r="E18" s="21">
        <v>0.43</v>
      </c>
      <c r="F18" s="9">
        <v>8.1999999999999993</v>
      </c>
      <c r="G18" s="9">
        <v>24</v>
      </c>
      <c r="H18" s="9">
        <f t="shared" si="4"/>
        <v>6.89</v>
      </c>
      <c r="I18" s="9">
        <f t="shared" si="5"/>
        <v>9.5106420874521316</v>
      </c>
      <c r="J18" s="9">
        <f t="shared" si="6"/>
        <v>0.77987265117107474</v>
      </c>
      <c r="K18" s="9">
        <f t="shared" si="7"/>
        <v>1.8407694362810574</v>
      </c>
      <c r="L18" s="9">
        <f t="shared" si="8"/>
        <v>6.8899999999999988</v>
      </c>
    </row>
    <row r="19" spans="1:13" ht="15.75" customHeight="1" x14ac:dyDescent="0.25">
      <c r="A19" s="6" t="s">
        <v>1849</v>
      </c>
      <c r="B19" s="6" t="s">
        <v>1850</v>
      </c>
      <c r="C19" s="9">
        <v>5.15</v>
      </c>
      <c r="D19" s="9">
        <v>0.9</v>
      </c>
      <c r="E19" s="21">
        <v>0.63</v>
      </c>
      <c r="F19" s="9">
        <v>8.1999999999999993</v>
      </c>
      <c r="G19" s="9">
        <v>24</v>
      </c>
      <c r="H19" s="9">
        <f t="shared" si="4"/>
        <v>6.6800000000000006</v>
      </c>
      <c r="I19" s="9">
        <f t="shared" si="5"/>
        <v>9.2207676551785553</v>
      </c>
      <c r="J19" s="9">
        <f t="shared" si="6"/>
        <v>0.75610294772464148</v>
      </c>
      <c r="K19" s="9">
        <f t="shared" si="7"/>
        <v>1.7846647074539135</v>
      </c>
      <c r="L19" s="9">
        <f t="shared" si="8"/>
        <v>6.68</v>
      </c>
      <c r="M19" s="12" t="s">
        <v>1851</v>
      </c>
    </row>
    <row r="20" spans="1:13" ht="15.75" customHeight="1" x14ac:dyDescent="0.25">
      <c r="A20" s="6" t="s">
        <v>1852</v>
      </c>
      <c r="B20" s="6" t="s">
        <v>1853</v>
      </c>
      <c r="C20" s="9">
        <v>10.24</v>
      </c>
      <c r="D20" s="9">
        <v>0.9</v>
      </c>
      <c r="E20" s="21">
        <v>0.63</v>
      </c>
      <c r="F20" s="9">
        <v>8.1999999999999993</v>
      </c>
      <c r="G20" s="9">
        <v>24</v>
      </c>
      <c r="H20" s="9">
        <f t="shared" si="4"/>
        <v>11.770000000000001</v>
      </c>
      <c r="I20" s="9">
        <f t="shared" si="5"/>
        <v>16.246771751714309</v>
      </c>
      <c r="J20" s="9">
        <f t="shared" si="6"/>
        <v>1.3322352836405733</v>
      </c>
      <c r="K20" s="9">
        <f t="shared" si="7"/>
        <v>3.1445364680737367</v>
      </c>
      <c r="L20" s="9">
        <f t="shared" si="8"/>
        <v>11.77</v>
      </c>
    </row>
    <row r="21" spans="1:13" ht="15.75" customHeight="1" x14ac:dyDescent="0.25">
      <c r="A21" s="6" t="s">
        <v>1854</v>
      </c>
      <c r="B21" s="6" t="s">
        <v>1855</v>
      </c>
      <c r="C21" s="9">
        <v>10.24</v>
      </c>
      <c r="D21" s="9">
        <v>0.9</v>
      </c>
      <c r="E21" s="21">
        <v>0.63</v>
      </c>
      <c r="F21" s="9">
        <v>8.1999999999999993</v>
      </c>
      <c r="G21" s="9">
        <v>24</v>
      </c>
      <c r="H21" s="9">
        <f t="shared" si="4"/>
        <v>11.770000000000001</v>
      </c>
      <c r="I21" s="9">
        <f t="shared" si="5"/>
        <v>16.246771751714309</v>
      </c>
      <c r="J21" s="9">
        <f t="shared" si="6"/>
        <v>1.3322352836405733</v>
      </c>
      <c r="K21" s="9">
        <f t="shared" si="7"/>
        <v>3.1445364680737367</v>
      </c>
      <c r="L21" s="9">
        <f t="shared" si="8"/>
        <v>11.77</v>
      </c>
    </row>
    <row r="22" spans="1:13" ht="15.75" customHeight="1" x14ac:dyDescent="0.25">
      <c r="A22" s="6" t="s">
        <v>1856</v>
      </c>
      <c r="B22" s="6" t="s">
        <v>1857</v>
      </c>
      <c r="C22" s="9">
        <v>4.01</v>
      </c>
      <c r="D22" s="9">
        <v>0.4</v>
      </c>
      <c r="E22" s="21">
        <v>0.43</v>
      </c>
      <c r="F22" s="9">
        <v>8.1999999999999993</v>
      </c>
      <c r="G22" s="9">
        <v>24</v>
      </c>
      <c r="H22" s="9">
        <f t="shared" si="4"/>
        <v>4.84</v>
      </c>
      <c r="I22" s="9">
        <f t="shared" si="5"/>
        <v>6.6809154866862581</v>
      </c>
      <c r="J22" s="9">
        <f t="shared" si="6"/>
        <v>0.54783506990827313</v>
      </c>
      <c r="K22" s="9">
        <f t="shared" si="7"/>
        <v>1.2930804167779852</v>
      </c>
      <c r="L22" s="9">
        <f t="shared" si="8"/>
        <v>4.84</v>
      </c>
    </row>
    <row r="23" spans="1:13" ht="15.75" customHeight="1" x14ac:dyDescent="0.25">
      <c r="C23" s="9">
        <v>1</v>
      </c>
      <c r="D23" s="9">
        <v>0.9</v>
      </c>
      <c r="E23" s="9">
        <v>0.7</v>
      </c>
      <c r="F23" s="9">
        <v>8.1999999999999993</v>
      </c>
      <c r="G23" s="9">
        <v>24</v>
      </c>
      <c r="H23" s="9">
        <f t="shared" si="4"/>
        <v>2.5999999999999996</v>
      </c>
      <c r="I23" s="9">
        <f t="shared" si="5"/>
        <v>3.588921542434766</v>
      </c>
      <c r="J23" s="9">
        <f t="shared" si="6"/>
        <v>0.29429156647965082</v>
      </c>
      <c r="K23" s="9">
        <f t="shared" si="7"/>
        <v>0.69462997595511577</v>
      </c>
      <c r="L23" s="9">
        <f t="shared" si="8"/>
        <v>2.5999999999999996</v>
      </c>
    </row>
    <row r="24" spans="1:13" ht="15.75" customHeight="1" x14ac:dyDescent="0.25">
      <c r="C24" s="9">
        <v>1</v>
      </c>
      <c r="D24" s="9">
        <v>0.9</v>
      </c>
      <c r="E24" s="9">
        <v>0.53</v>
      </c>
      <c r="F24" s="9">
        <v>8.1999999999999993</v>
      </c>
      <c r="G24" s="9">
        <v>6</v>
      </c>
      <c r="H24" s="9">
        <f t="shared" si="4"/>
        <v>2.4299999999999997</v>
      </c>
      <c r="I24" s="9">
        <f t="shared" si="5"/>
        <v>2.8210014456564592</v>
      </c>
      <c r="J24" s="9">
        <f t="shared" si="6"/>
        <v>0.23132211854382961</v>
      </c>
      <c r="K24" s="9">
        <f t="shared" si="7"/>
        <v>0.15967932711263</v>
      </c>
      <c r="L24" s="9">
        <f t="shared" si="8"/>
        <v>2.4299999999999997</v>
      </c>
    </row>
    <row r="25" spans="1:13" ht="15.75" customHeight="1" x14ac:dyDescent="0.25">
      <c r="C25" s="9">
        <v>1</v>
      </c>
      <c r="D25" s="9">
        <v>0.9</v>
      </c>
      <c r="E25" s="9">
        <v>0.7</v>
      </c>
      <c r="F25" s="9">
        <v>8.1999999999999993</v>
      </c>
      <c r="G25" s="9">
        <v>24</v>
      </c>
      <c r="H25" s="9">
        <f t="shared" si="4"/>
        <v>2.5999999999999996</v>
      </c>
      <c r="I25" s="9">
        <f t="shared" si="5"/>
        <v>3.588921542434766</v>
      </c>
      <c r="J25" s="9">
        <f t="shared" si="6"/>
        <v>0.29429156647965082</v>
      </c>
      <c r="K25" s="9">
        <f t="shared" si="7"/>
        <v>0.69462997595511577</v>
      </c>
      <c r="L25" s="9">
        <f t="shared" si="8"/>
        <v>2.5999999999999996</v>
      </c>
    </row>
    <row r="26" spans="1:13" ht="15.75" customHeight="1" x14ac:dyDescent="0.25">
      <c r="C26" s="9">
        <v>1</v>
      </c>
      <c r="D26" s="9">
        <v>0.9</v>
      </c>
      <c r="E26" s="9">
        <v>0.7</v>
      </c>
      <c r="F26" s="9">
        <v>8.1999999999999993</v>
      </c>
      <c r="G26" s="9">
        <v>24</v>
      </c>
      <c r="H26" s="9">
        <f t="shared" si="4"/>
        <v>2.5999999999999996</v>
      </c>
      <c r="I26" s="9">
        <f t="shared" si="5"/>
        <v>3.588921542434766</v>
      </c>
      <c r="J26" s="9">
        <f t="shared" si="6"/>
        <v>0.29429156647965082</v>
      </c>
      <c r="K26" s="9">
        <f t="shared" si="7"/>
        <v>0.69462997595511577</v>
      </c>
      <c r="L26" s="9">
        <f t="shared" si="8"/>
        <v>2.5999999999999996</v>
      </c>
    </row>
    <row r="27" spans="1:13" ht="15.75" customHeight="1" x14ac:dyDescent="0.25">
      <c r="C27" s="9">
        <v>1</v>
      </c>
      <c r="D27" s="9">
        <v>0.9</v>
      </c>
      <c r="E27" s="9">
        <v>0.53</v>
      </c>
      <c r="F27" s="9">
        <v>8.1999999999999993</v>
      </c>
      <c r="G27" s="9">
        <v>6</v>
      </c>
      <c r="H27" s="9">
        <f t="shared" si="4"/>
        <v>2.4299999999999997</v>
      </c>
      <c r="I27" s="9">
        <f t="shared" si="5"/>
        <v>2.8210014456564592</v>
      </c>
      <c r="J27" s="9">
        <f t="shared" si="6"/>
        <v>0.23132211854382961</v>
      </c>
      <c r="K27" s="9">
        <f t="shared" si="7"/>
        <v>0.15967932711263</v>
      </c>
      <c r="L27" s="9">
        <f t="shared" si="8"/>
        <v>2.4299999999999997</v>
      </c>
    </row>
    <row r="28" spans="1:13" ht="15.75" customHeight="1" x14ac:dyDescent="0.25">
      <c r="C28" s="9">
        <v>1</v>
      </c>
      <c r="D28" s="9">
        <v>0.9</v>
      </c>
      <c r="E28" s="9">
        <v>0.7</v>
      </c>
      <c r="F28" s="9">
        <v>8.1999999999999993</v>
      </c>
      <c r="G28" s="9">
        <v>24</v>
      </c>
      <c r="H28" s="9">
        <f t="shared" si="4"/>
        <v>2.5999999999999996</v>
      </c>
      <c r="I28" s="9">
        <f t="shared" si="5"/>
        <v>3.588921542434766</v>
      </c>
      <c r="J28" s="9">
        <f t="shared" si="6"/>
        <v>0.29429156647965082</v>
      </c>
      <c r="K28" s="9">
        <f t="shared" si="7"/>
        <v>0.69462997595511577</v>
      </c>
      <c r="L28" s="9">
        <f t="shared" si="8"/>
        <v>2.5999999999999996</v>
      </c>
    </row>
    <row r="29" spans="1:13" ht="15.75" customHeight="1" x14ac:dyDescent="0.25">
      <c r="C29" s="9">
        <v>1</v>
      </c>
      <c r="D29" s="9">
        <v>0.9</v>
      </c>
      <c r="E29" s="9">
        <v>0.7</v>
      </c>
      <c r="F29" s="9">
        <v>8.1999999999999993</v>
      </c>
      <c r="G29" s="9">
        <v>24</v>
      </c>
      <c r="H29" s="9">
        <f t="shared" si="4"/>
        <v>2.5999999999999996</v>
      </c>
      <c r="I29" s="9">
        <f t="shared" si="5"/>
        <v>3.588921542434766</v>
      </c>
      <c r="J29" s="9">
        <f t="shared" si="6"/>
        <v>0.29429156647965082</v>
      </c>
      <c r="K29" s="9">
        <f t="shared" si="7"/>
        <v>0.69462997595511577</v>
      </c>
      <c r="L29" s="9">
        <f t="shared" si="8"/>
        <v>2.5999999999999996</v>
      </c>
    </row>
    <row r="30" spans="1:13" ht="15.75" customHeight="1" x14ac:dyDescent="0.25">
      <c r="C30" s="9">
        <v>1</v>
      </c>
      <c r="D30" s="9">
        <v>0.9</v>
      </c>
      <c r="E30" s="9">
        <v>0.53</v>
      </c>
      <c r="F30" s="9">
        <v>8.1999999999999993</v>
      </c>
      <c r="G30" s="9">
        <v>6</v>
      </c>
      <c r="H30" s="9">
        <f t="shared" si="4"/>
        <v>2.4299999999999997</v>
      </c>
      <c r="I30" s="9">
        <f t="shared" si="5"/>
        <v>2.8210014456564592</v>
      </c>
      <c r="J30" s="9">
        <f t="shared" si="6"/>
        <v>0.23132211854382961</v>
      </c>
      <c r="K30" s="9">
        <f t="shared" si="7"/>
        <v>0.15967932711263</v>
      </c>
      <c r="L30" s="9">
        <f t="shared" si="8"/>
        <v>2.4299999999999997</v>
      </c>
    </row>
    <row r="31" spans="1:13" ht="15.75" customHeight="1" x14ac:dyDescent="0.25">
      <c r="C31" s="9">
        <v>1</v>
      </c>
      <c r="D31" s="9">
        <v>0.9</v>
      </c>
      <c r="E31" s="9">
        <v>0.7</v>
      </c>
      <c r="F31" s="9">
        <v>8.1999999999999993</v>
      </c>
      <c r="G31" s="9">
        <v>24</v>
      </c>
      <c r="H31" s="9">
        <f t="shared" si="4"/>
        <v>2.5999999999999996</v>
      </c>
      <c r="I31" s="9">
        <f t="shared" si="5"/>
        <v>3.588921542434766</v>
      </c>
      <c r="J31" s="9">
        <f t="shared" si="6"/>
        <v>0.29429156647965082</v>
      </c>
      <c r="K31" s="9">
        <f t="shared" si="7"/>
        <v>0.69462997595511577</v>
      </c>
      <c r="L31" s="9">
        <f t="shared" si="8"/>
        <v>2.5999999999999996</v>
      </c>
    </row>
    <row r="32" spans="1:13" ht="15.75" customHeight="1" x14ac:dyDescent="0.25">
      <c r="C32" s="9">
        <v>1</v>
      </c>
      <c r="D32" s="9">
        <v>0.9</v>
      </c>
      <c r="E32" s="9">
        <v>0.7</v>
      </c>
      <c r="F32" s="9">
        <v>8.1999999999999993</v>
      </c>
      <c r="G32" s="9">
        <v>24</v>
      </c>
      <c r="H32" s="9">
        <f t="shared" si="4"/>
        <v>2.5999999999999996</v>
      </c>
      <c r="I32" s="9">
        <f t="shared" si="5"/>
        <v>3.588921542434766</v>
      </c>
      <c r="J32" s="9">
        <f t="shared" si="6"/>
        <v>0.29429156647965082</v>
      </c>
      <c r="K32" s="9">
        <f t="shared" si="7"/>
        <v>0.69462997595511577</v>
      </c>
      <c r="L32" s="9">
        <f t="shared" si="8"/>
        <v>2.5999999999999996</v>
      </c>
    </row>
    <row r="33" spans="3:12" ht="15.75" customHeight="1" x14ac:dyDescent="0.25">
      <c r="C33" s="9">
        <v>1</v>
      </c>
      <c r="D33" s="9">
        <v>0.9</v>
      </c>
      <c r="E33" s="9">
        <v>0.53</v>
      </c>
      <c r="F33" s="9">
        <v>8.1999999999999993</v>
      </c>
      <c r="G33" s="9">
        <v>6</v>
      </c>
      <c r="H33" s="9">
        <f t="shared" si="4"/>
        <v>2.4299999999999997</v>
      </c>
      <c r="I33" s="9">
        <f t="shared" si="5"/>
        <v>2.8210014456564592</v>
      </c>
      <c r="J33" s="9">
        <f t="shared" si="6"/>
        <v>0.23132211854382961</v>
      </c>
      <c r="K33" s="9">
        <f t="shared" si="7"/>
        <v>0.15967932711263</v>
      </c>
      <c r="L33" s="9">
        <f t="shared" si="8"/>
        <v>2.4299999999999997</v>
      </c>
    </row>
    <row r="34" spans="3:12" ht="15.75" customHeight="1" x14ac:dyDescent="0.25">
      <c r="C34" s="9">
        <v>19.260000000000002</v>
      </c>
      <c r="D34" s="9">
        <v>0.9</v>
      </c>
      <c r="E34" s="9">
        <v>0.7</v>
      </c>
      <c r="F34" s="9">
        <v>8.1999999999999993</v>
      </c>
      <c r="G34" s="9">
        <v>24</v>
      </c>
      <c r="H34" s="9">
        <f t="shared" si="4"/>
        <v>20.86</v>
      </c>
      <c r="I34" s="9">
        <f t="shared" si="5"/>
        <v>28.794193605842011</v>
      </c>
      <c r="J34" s="9">
        <f t="shared" si="6"/>
        <v>2.3611238756790449</v>
      </c>
      <c r="K34" s="9">
        <f t="shared" si="7"/>
        <v>5.5730697301629704</v>
      </c>
      <c r="L34" s="9">
        <f t="shared" si="8"/>
        <v>20.859999999999996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2:K22"/>
  <sheetViews>
    <sheetView workbookViewId="0"/>
  </sheetViews>
  <sheetFormatPr defaultColWidth="12.5703125" defaultRowHeight="15.75" customHeight="1" x14ac:dyDescent="0.2"/>
  <cols>
    <col min="1" max="1" width="27.5703125" customWidth="1"/>
    <col min="2" max="2" width="14.85546875" customWidth="1"/>
  </cols>
  <sheetData>
    <row r="2" spans="1:11" x14ac:dyDescent="0.2">
      <c r="A2" s="6" t="s">
        <v>1858</v>
      </c>
      <c r="B2" s="6" t="s">
        <v>1859</v>
      </c>
      <c r="C2" s="12">
        <v>6.4</v>
      </c>
      <c r="D2" s="12">
        <v>0.9</v>
      </c>
      <c r="E2" s="12">
        <f t="shared" ref="E2:E22" si="0">SUM(C2)+D2</f>
        <v>7.3000000000000007</v>
      </c>
      <c r="F2" s="12">
        <v>1.24</v>
      </c>
      <c r="G2" s="12">
        <f t="shared" ref="G2:G22" si="1">SUM(E2)*F2</f>
        <v>9.0520000000000014</v>
      </c>
      <c r="H2" s="12">
        <v>1.1214999999999999</v>
      </c>
      <c r="I2" s="12">
        <f t="shared" ref="I2:I22" si="2">SUM(G2)*H2</f>
        <v>10.151818</v>
      </c>
      <c r="J2" s="12">
        <v>0.73999999999999899</v>
      </c>
      <c r="K2" s="12">
        <f t="shared" ref="K2:K22" si="3">SUM(I2)+J2</f>
        <v>10.891817999999999</v>
      </c>
    </row>
    <row r="3" spans="1:11" x14ac:dyDescent="0.2">
      <c r="A3" s="6" t="s">
        <v>1860</v>
      </c>
      <c r="B3" s="6" t="s">
        <v>1861</v>
      </c>
      <c r="C3" s="12">
        <v>3.2</v>
      </c>
      <c r="D3" s="12">
        <v>0.9</v>
      </c>
      <c r="E3" s="12">
        <f t="shared" si="0"/>
        <v>4.1000000000000005</v>
      </c>
      <c r="F3" s="12">
        <v>1.24</v>
      </c>
      <c r="G3" s="12">
        <f t="shared" si="1"/>
        <v>5.0840000000000005</v>
      </c>
      <c r="H3" s="12">
        <v>1.1214999999999999</v>
      </c>
      <c r="I3" s="12">
        <f t="shared" si="2"/>
        <v>5.7017060000000006</v>
      </c>
      <c r="J3" s="12">
        <v>0.25</v>
      </c>
      <c r="K3" s="12">
        <f t="shared" si="3"/>
        <v>5.9517060000000006</v>
      </c>
    </row>
    <row r="4" spans="1:11" x14ac:dyDescent="0.2">
      <c r="A4" s="6" t="s">
        <v>1862</v>
      </c>
      <c r="B4" s="6" t="s">
        <v>1863</v>
      </c>
      <c r="C4" s="12">
        <v>12.31</v>
      </c>
      <c r="D4" s="12">
        <v>0.9</v>
      </c>
      <c r="E4" s="12">
        <f t="shared" si="0"/>
        <v>13.21</v>
      </c>
      <c r="F4" s="12">
        <v>1.24</v>
      </c>
      <c r="G4" s="12">
        <f t="shared" si="1"/>
        <v>16.380400000000002</v>
      </c>
      <c r="H4" s="12">
        <v>1.1214999999999999</v>
      </c>
      <c r="I4" s="12">
        <f t="shared" si="2"/>
        <v>18.3706186</v>
      </c>
      <c r="J4" s="12">
        <v>0.73999999999999899</v>
      </c>
      <c r="K4" s="12">
        <f t="shared" si="3"/>
        <v>19.110618599999999</v>
      </c>
    </row>
    <row r="5" spans="1:11" x14ac:dyDescent="0.2">
      <c r="A5" s="6" t="s">
        <v>1864</v>
      </c>
      <c r="B5" s="6" t="s">
        <v>1865</v>
      </c>
      <c r="C5" s="12">
        <v>6.42</v>
      </c>
      <c r="D5" s="12">
        <v>0.9</v>
      </c>
      <c r="E5" s="12">
        <f t="shared" si="0"/>
        <v>7.32</v>
      </c>
      <c r="F5" s="12">
        <v>1.24</v>
      </c>
      <c r="G5" s="12">
        <f t="shared" si="1"/>
        <v>9.0768000000000004</v>
      </c>
      <c r="H5" s="12">
        <v>1.1214999999999999</v>
      </c>
      <c r="I5" s="12">
        <f t="shared" si="2"/>
        <v>10.179631199999999</v>
      </c>
      <c r="J5" s="12">
        <v>0.73999999999999899</v>
      </c>
      <c r="K5" s="12">
        <f t="shared" si="3"/>
        <v>10.919631199999998</v>
      </c>
    </row>
    <row r="6" spans="1:11" x14ac:dyDescent="0.2">
      <c r="A6" s="6" t="s">
        <v>1866</v>
      </c>
      <c r="B6" s="6" t="s">
        <v>1867</v>
      </c>
      <c r="C6" s="12">
        <v>13.44</v>
      </c>
      <c r="D6" s="12">
        <v>0.9</v>
      </c>
      <c r="E6" s="12">
        <f t="shared" si="0"/>
        <v>14.34</v>
      </c>
      <c r="F6" s="12">
        <v>1.24</v>
      </c>
      <c r="G6" s="12">
        <f t="shared" si="1"/>
        <v>17.781600000000001</v>
      </c>
      <c r="H6" s="12">
        <v>1.1214999999999999</v>
      </c>
      <c r="I6" s="12">
        <f t="shared" si="2"/>
        <v>19.9420644</v>
      </c>
      <c r="J6" s="12">
        <v>0.73999999999999899</v>
      </c>
      <c r="K6" s="12">
        <f t="shared" si="3"/>
        <v>20.682064399999998</v>
      </c>
    </row>
    <row r="7" spans="1:11" x14ac:dyDescent="0.2">
      <c r="C7" s="12">
        <v>0</v>
      </c>
      <c r="D7" s="12">
        <v>0.9</v>
      </c>
      <c r="E7" s="12">
        <f t="shared" si="0"/>
        <v>0.9</v>
      </c>
      <c r="F7" s="12">
        <v>1.24</v>
      </c>
      <c r="G7" s="12">
        <f t="shared" si="1"/>
        <v>1.1160000000000001</v>
      </c>
      <c r="H7" s="12">
        <v>1.1214999999999999</v>
      </c>
      <c r="I7" s="12">
        <f t="shared" si="2"/>
        <v>1.2515940000000001</v>
      </c>
      <c r="J7" s="12">
        <v>0.73999999999999899</v>
      </c>
      <c r="K7" s="12">
        <f t="shared" si="3"/>
        <v>1.9915939999999992</v>
      </c>
    </row>
    <row r="8" spans="1:11" x14ac:dyDescent="0.2">
      <c r="C8" s="12">
        <v>0</v>
      </c>
      <c r="D8" s="12">
        <v>0.9</v>
      </c>
      <c r="E8" s="12">
        <f t="shared" si="0"/>
        <v>0.9</v>
      </c>
      <c r="F8" s="12">
        <v>1.24</v>
      </c>
      <c r="G8" s="12">
        <f t="shared" si="1"/>
        <v>1.1160000000000001</v>
      </c>
      <c r="H8" s="12">
        <v>1.1214999999999999</v>
      </c>
      <c r="I8" s="12">
        <f t="shared" si="2"/>
        <v>1.2515940000000001</v>
      </c>
      <c r="J8" s="12">
        <v>0.73999999999999899</v>
      </c>
      <c r="K8" s="12">
        <f t="shared" si="3"/>
        <v>1.9915939999999992</v>
      </c>
    </row>
    <row r="9" spans="1:11" x14ac:dyDescent="0.2">
      <c r="C9" s="12">
        <v>0</v>
      </c>
      <c r="D9" s="12">
        <v>0.9</v>
      </c>
      <c r="E9" s="12">
        <f t="shared" si="0"/>
        <v>0.9</v>
      </c>
      <c r="F9" s="12">
        <v>1.24</v>
      </c>
      <c r="G9" s="12">
        <f t="shared" si="1"/>
        <v>1.1160000000000001</v>
      </c>
      <c r="H9" s="12">
        <v>1.1214999999999999</v>
      </c>
      <c r="I9" s="12">
        <f t="shared" si="2"/>
        <v>1.2515940000000001</v>
      </c>
      <c r="J9" s="12">
        <v>0.73999999999999899</v>
      </c>
      <c r="K9" s="12">
        <f t="shared" si="3"/>
        <v>1.9915939999999992</v>
      </c>
    </row>
    <row r="10" spans="1:11" x14ac:dyDescent="0.2">
      <c r="C10" s="12">
        <v>0</v>
      </c>
      <c r="D10" s="12">
        <v>0.9</v>
      </c>
      <c r="E10" s="12">
        <f t="shared" si="0"/>
        <v>0.9</v>
      </c>
      <c r="F10" s="12">
        <v>1.24</v>
      </c>
      <c r="G10" s="12">
        <f t="shared" si="1"/>
        <v>1.1160000000000001</v>
      </c>
      <c r="H10" s="12">
        <v>1.1214999999999999</v>
      </c>
      <c r="I10" s="12">
        <f t="shared" si="2"/>
        <v>1.2515940000000001</v>
      </c>
      <c r="J10" s="12">
        <v>0.73999999999999899</v>
      </c>
      <c r="K10" s="12">
        <f t="shared" si="3"/>
        <v>1.9915939999999992</v>
      </c>
    </row>
    <row r="11" spans="1:11" x14ac:dyDescent="0.2">
      <c r="C11" s="12">
        <v>0</v>
      </c>
      <c r="D11" s="12">
        <v>0.9</v>
      </c>
      <c r="E11" s="12">
        <f t="shared" si="0"/>
        <v>0.9</v>
      </c>
      <c r="F11" s="12">
        <v>1.24</v>
      </c>
      <c r="G11" s="12">
        <f t="shared" si="1"/>
        <v>1.1160000000000001</v>
      </c>
      <c r="H11" s="12">
        <v>1.1214999999999999</v>
      </c>
      <c r="I11" s="12">
        <f t="shared" si="2"/>
        <v>1.2515940000000001</v>
      </c>
      <c r="J11" s="12">
        <v>0.73999999999999899</v>
      </c>
      <c r="K11" s="12">
        <f t="shared" si="3"/>
        <v>1.9915939999999992</v>
      </c>
    </row>
    <row r="12" spans="1:11" x14ac:dyDescent="0.2">
      <c r="C12" s="12">
        <v>0</v>
      </c>
      <c r="D12" s="12">
        <v>0.9</v>
      </c>
      <c r="E12" s="12">
        <f t="shared" si="0"/>
        <v>0.9</v>
      </c>
      <c r="F12" s="12">
        <v>1.24</v>
      </c>
      <c r="G12" s="12">
        <f t="shared" si="1"/>
        <v>1.1160000000000001</v>
      </c>
      <c r="H12" s="12">
        <v>1.1214999999999999</v>
      </c>
      <c r="I12" s="12">
        <f t="shared" si="2"/>
        <v>1.2515940000000001</v>
      </c>
      <c r="J12" s="12">
        <v>0.73999999999999899</v>
      </c>
      <c r="K12" s="12">
        <f t="shared" si="3"/>
        <v>1.9915939999999992</v>
      </c>
    </row>
    <row r="13" spans="1:11" x14ac:dyDescent="0.2">
      <c r="C13" s="12">
        <v>0</v>
      </c>
      <c r="D13" s="12">
        <v>0.9</v>
      </c>
      <c r="E13" s="12">
        <f t="shared" si="0"/>
        <v>0.9</v>
      </c>
      <c r="F13" s="12">
        <v>1.24</v>
      </c>
      <c r="G13" s="12">
        <f t="shared" si="1"/>
        <v>1.1160000000000001</v>
      </c>
      <c r="H13" s="12">
        <v>1.1214999999999999</v>
      </c>
      <c r="I13" s="12">
        <f t="shared" si="2"/>
        <v>1.2515940000000001</v>
      </c>
      <c r="J13" s="12">
        <v>0.73999999999999899</v>
      </c>
      <c r="K13" s="12">
        <f t="shared" si="3"/>
        <v>1.9915939999999992</v>
      </c>
    </row>
    <row r="14" spans="1:11" x14ac:dyDescent="0.2">
      <c r="C14" s="12">
        <v>0</v>
      </c>
      <c r="D14" s="12">
        <v>0.9</v>
      </c>
      <c r="E14" s="12">
        <f t="shared" si="0"/>
        <v>0.9</v>
      </c>
      <c r="F14" s="12">
        <v>1.24</v>
      </c>
      <c r="G14" s="12">
        <f t="shared" si="1"/>
        <v>1.1160000000000001</v>
      </c>
      <c r="H14" s="12">
        <v>1.1214999999999999</v>
      </c>
      <c r="I14" s="12">
        <f t="shared" si="2"/>
        <v>1.2515940000000001</v>
      </c>
      <c r="J14" s="12">
        <v>0.73999999999999899</v>
      </c>
      <c r="K14" s="12">
        <f t="shared" si="3"/>
        <v>1.9915939999999992</v>
      </c>
    </row>
    <row r="15" spans="1:11" x14ac:dyDescent="0.2">
      <c r="C15" s="12">
        <v>0</v>
      </c>
      <c r="D15" s="12">
        <v>0.9</v>
      </c>
      <c r="E15" s="12">
        <f t="shared" si="0"/>
        <v>0.9</v>
      </c>
      <c r="F15" s="12">
        <v>1.24</v>
      </c>
      <c r="G15" s="12">
        <f t="shared" si="1"/>
        <v>1.1160000000000001</v>
      </c>
      <c r="H15" s="12">
        <v>1.1214999999999999</v>
      </c>
      <c r="I15" s="12">
        <f t="shared" si="2"/>
        <v>1.2515940000000001</v>
      </c>
      <c r="J15" s="12">
        <v>0.73999999999999899</v>
      </c>
      <c r="K15" s="12">
        <f t="shared" si="3"/>
        <v>1.9915939999999992</v>
      </c>
    </row>
    <row r="16" spans="1:11" x14ac:dyDescent="0.2">
      <c r="C16" s="12">
        <v>0</v>
      </c>
      <c r="D16" s="12">
        <v>0.9</v>
      </c>
      <c r="E16" s="12">
        <f t="shared" si="0"/>
        <v>0.9</v>
      </c>
      <c r="F16" s="12">
        <v>1.24</v>
      </c>
      <c r="G16" s="12">
        <f t="shared" si="1"/>
        <v>1.1160000000000001</v>
      </c>
      <c r="H16" s="12">
        <v>1.1214999999999999</v>
      </c>
      <c r="I16" s="12">
        <f t="shared" si="2"/>
        <v>1.2515940000000001</v>
      </c>
      <c r="J16" s="12">
        <v>0.73999999999999899</v>
      </c>
      <c r="K16" s="12">
        <f t="shared" si="3"/>
        <v>1.9915939999999992</v>
      </c>
    </row>
    <row r="17" spans="3:11" x14ac:dyDescent="0.2">
      <c r="C17" s="12">
        <v>0</v>
      </c>
      <c r="D17" s="12">
        <v>0.9</v>
      </c>
      <c r="E17" s="12">
        <f t="shared" si="0"/>
        <v>0.9</v>
      </c>
      <c r="F17" s="12">
        <v>1.24</v>
      </c>
      <c r="G17" s="12">
        <f t="shared" si="1"/>
        <v>1.1160000000000001</v>
      </c>
      <c r="H17" s="12">
        <v>1.1214999999999999</v>
      </c>
      <c r="I17" s="12">
        <f t="shared" si="2"/>
        <v>1.2515940000000001</v>
      </c>
      <c r="J17" s="12">
        <v>0.73999999999999899</v>
      </c>
      <c r="K17" s="12">
        <f t="shared" si="3"/>
        <v>1.9915939999999992</v>
      </c>
    </row>
    <row r="18" spans="3:11" x14ac:dyDescent="0.2">
      <c r="C18" s="12">
        <v>0</v>
      </c>
      <c r="D18" s="12">
        <v>0.9</v>
      </c>
      <c r="E18" s="12">
        <f t="shared" si="0"/>
        <v>0.9</v>
      </c>
      <c r="F18" s="12">
        <v>1.24</v>
      </c>
      <c r="G18" s="12">
        <f t="shared" si="1"/>
        <v>1.1160000000000001</v>
      </c>
      <c r="H18" s="12">
        <v>1.1214999999999999</v>
      </c>
      <c r="I18" s="12">
        <f t="shared" si="2"/>
        <v>1.2515940000000001</v>
      </c>
      <c r="J18" s="12">
        <v>0.73999999999999899</v>
      </c>
      <c r="K18" s="12">
        <f t="shared" si="3"/>
        <v>1.9915939999999992</v>
      </c>
    </row>
    <row r="19" spans="3:11" x14ac:dyDescent="0.2">
      <c r="C19" s="12">
        <v>0</v>
      </c>
      <c r="D19" s="12">
        <v>0.9</v>
      </c>
      <c r="E19" s="12">
        <f t="shared" si="0"/>
        <v>0.9</v>
      </c>
      <c r="F19" s="12">
        <v>1.24</v>
      </c>
      <c r="G19" s="12">
        <f t="shared" si="1"/>
        <v>1.1160000000000001</v>
      </c>
      <c r="H19" s="12">
        <v>1.1214999999999999</v>
      </c>
      <c r="I19" s="12">
        <f t="shared" si="2"/>
        <v>1.2515940000000001</v>
      </c>
      <c r="J19" s="12">
        <v>0.73999999999999899</v>
      </c>
      <c r="K19" s="12">
        <f t="shared" si="3"/>
        <v>1.9915939999999992</v>
      </c>
    </row>
    <row r="20" spans="3:11" x14ac:dyDescent="0.2">
      <c r="C20" s="12">
        <v>0</v>
      </c>
      <c r="D20" s="12">
        <v>0.9</v>
      </c>
      <c r="E20" s="12">
        <f t="shared" si="0"/>
        <v>0.9</v>
      </c>
      <c r="F20" s="12">
        <v>1.24</v>
      </c>
      <c r="G20" s="12">
        <f t="shared" si="1"/>
        <v>1.1160000000000001</v>
      </c>
      <c r="H20" s="12">
        <v>1.1214999999999999</v>
      </c>
      <c r="I20" s="12">
        <f t="shared" si="2"/>
        <v>1.2515940000000001</v>
      </c>
      <c r="J20" s="12">
        <v>0.73999999999999899</v>
      </c>
      <c r="K20" s="12">
        <f t="shared" si="3"/>
        <v>1.9915939999999992</v>
      </c>
    </row>
    <row r="21" spans="3:11" x14ac:dyDescent="0.2">
      <c r="C21" s="12">
        <v>0</v>
      </c>
      <c r="D21" s="12">
        <v>0.9</v>
      </c>
      <c r="E21" s="12">
        <f t="shared" si="0"/>
        <v>0.9</v>
      </c>
      <c r="F21" s="12">
        <v>1.24</v>
      </c>
      <c r="G21" s="12">
        <f t="shared" si="1"/>
        <v>1.1160000000000001</v>
      </c>
      <c r="H21" s="12">
        <v>1.1214999999999999</v>
      </c>
      <c r="I21" s="12">
        <f t="shared" si="2"/>
        <v>1.2515940000000001</v>
      </c>
      <c r="J21" s="12">
        <v>0.73999999999999899</v>
      </c>
      <c r="K21" s="12">
        <f t="shared" si="3"/>
        <v>1.9915939999999992</v>
      </c>
    </row>
    <row r="22" spans="3:11" x14ac:dyDescent="0.2">
      <c r="C22" s="12">
        <v>0</v>
      </c>
      <c r="D22" s="12">
        <v>0.9</v>
      </c>
      <c r="E22" s="12">
        <f t="shared" si="0"/>
        <v>0.9</v>
      </c>
      <c r="F22" s="12">
        <v>1.24</v>
      </c>
      <c r="G22" s="12">
        <f t="shared" si="1"/>
        <v>1.1160000000000001</v>
      </c>
      <c r="H22" s="12">
        <v>1.1214999999999999</v>
      </c>
      <c r="I22" s="12">
        <f t="shared" si="2"/>
        <v>1.2515940000000001</v>
      </c>
      <c r="J22" s="12">
        <v>0.73999999999999899</v>
      </c>
      <c r="K22" s="12">
        <f t="shared" si="3"/>
        <v>1.9915939999999992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AB1026"/>
  <sheetViews>
    <sheetView topLeftCell="A7" workbookViewId="0">
      <selection activeCell="C9" sqref="C9"/>
    </sheetView>
  </sheetViews>
  <sheetFormatPr defaultColWidth="12.5703125" defaultRowHeight="15.75" customHeight="1" x14ac:dyDescent="0.2"/>
  <cols>
    <col min="1" max="1" width="45.140625" customWidth="1"/>
    <col min="2" max="2" width="16.42578125" style="53" customWidth="1"/>
    <col min="3" max="3" width="16.42578125" customWidth="1"/>
  </cols>
  <sheetData>
    <row r="1" spans="1:28" s="59" customFormat="1" ht="25.5" customHeight="1" x14ac:dyDescent="0.35">
      <c r="A1" s="55"/>
      <c r="B1" s="56"/>
      <c r="C1" s="55" t="s">
        <v>314</v>
      </c>
      <c r="D1" s="55" t="s">
        <v>315</v>
      </c>
      <c r="E1" s="57" t="s">
        <v>316</v>
      </c>
      <c r="F1" s="55" t="s">
        <v>317</v>
      </c>
      <c r="G1" s="55" t="s">
        <v>2086</v>
      </c>
      <c r="H1" s="55" t="s">
        <v>318</v>
      </c>
      <c r="I1" s="55" t="s">
        <v>319</v>
      </c>
      <c r="J1" s="58" t="s">
        <v>320</v>
      </c>
      <c r="K1" s="58" t="s">
        <v>2087</v>
      </c>
      <c r="L1" s="55" t="s">
        <v>321</v>
      </c>
      <c r="M1" s="55" t="s">
        <v>322</v>
      </c>
      <c r="N1" s="55" t="s">
        <v>323</v>
      </c>
      <c r="O1" s="55"/>
    </row>
    <row r="2" spans="1:28" ht="15.75" customHeight="1" x14ac:dyDescent="0.25">
      <c r="A2" s="70" t="s">
        <v>1868</v>
      </c>
      <c r="B2" s="60" t="s">
        <v>2088</v>
      </c>
      <c r="C2" s="11">
        <v>15.45</v>
      </c>
      <c r="D2" s="11">
        <v>0.9</v>
      </c>
      <c r="E2" s="45" t="e">
        <f>IFERROR(
_xlfn.XLOOKUP(
B2,#REF!,#REF!
),
_xlfn.XLOOKUP(
A2,#REF!,#REF!
)
)</f>
        <v>#REF!</v>
      </c>
      <c r="F2" s="11" t="str">
        <f>IFERROR(
VLOOKUP(
B2,#REF!,
6,
FALSE
),
""
)</f>
        <v/>
      </c>
      <c r="G2" s="11">
        <v>0</v>
      </c>
      <c r="H2" s="11">
        <v>24</v>
      </c>
      <c r="I2" s="46" t="e">
        <f t="shared" ref="I2:I67" si="0">C2+D2+E2</f>
        <v>#REF!</v>
      </c>
      <c r="J2" s="10" t="e">
        <f>(I2+G2) / (1 - F2/100 - (1 - 1/(1 + H2/100)))</f>
        <v>#REF!</v>
      </c>
      <c r="K2" s="10"/>
      <c r="L2" s="11" t="e">
        <f t="shared" ref="L2:L33" si="1">J2 * F2 / 100</f>
        <v>#REF!</v>
      </c>
      <c r="M2" s="11" t="e">
        <f t="shared" ref="M2:M33" si="2">J2 - (J2 / (1 + H2/100))</f>
        <v>#REF!</v>
      </c>
      <c r="N2" s="11" t="e">
        <f t="shared" ref="N2:N19" si="3">J2 - L2 - M2</f>
        <v>#REF!</v>
      </c>
      <c r="O2" s="11"/>
      <c r="AB2" s="12" t="str">
        <f ca="1">IFERROR(__xludf.DUMMYFUNCTION("IMPORTRANGE(
 ""1D_CmSzVx3VeSr6aCEc08gIcbymI8WBHIJQTtXKz-U"",
 ""Sheet1!A1""
)
"),"#REF!")</f>
        <v>#REF!</v>
      </c>
    </row>
    <row r="3" spans="1:28" ht="15.75" customHeight="1" x14ac:dyDescent="0.25">
      <c r="A3" s="6" t="s">
        <v>1869</v>
      </c>
      <c r="B3" s="49" t="s">
        <v>1870</v>
      </c>
      <c r="C3" s="9">
        <v>26.94</v>
      </c>
      <c r="D3" s="9">
        <v>0.9</v>
      </c>
      <c r="E3" s="45" t="e">
        <f>IFERROR(
_xlfn.XLOOKUP(
B3,#REF!,#REF!
),
_xlfn.XLOOKUP(
A3,#REF!,#REF!
)
)</f>
        <v>#REF!</v>
      </c>
      <c r="F3" s="11" t="str">
        <f>IFERROR(
VLOOKUP(
B3,#REF!,
6,
FALSE
),
""
)</f>
        <v/>
      </c>
      <c r="G3" s="11">
        <v>0</v>
      </c>
      <c r="H3" s="9">
        <v>24</v>
      </c>
      <c r="I3" s="47" t="e">
        <f t="shared" si="0"/>
        <v>#REF!</v>
      </c>
      <c r="J3" s="10" t="e">
        <f t="shared" ref="J3:J50" si="4">(I3+G3) / (1 - F3/100 - (1 - 1/(1 + H3/100)))</f>
        <v>#REF!</v>
      </c>
      <c r="K3" s="10">
        <v>40.36</v>
      </c>
      <c r="L3" s="9" t="e">
        <f t="shared" si="1"/>
        <v>#REF!</v>
      </c>
      <c r="M3" s="9" t="e">
        <f t="shared" si="2"/>
        <v>#REF!</v>
      </c>
      <c r="N3" s="9" t="e">
        <f t="shared" si="3"/>
        <v>#REF!</v>
      </c>
      <c r="O3" s="9"/>
    </row>
    <row r="4" spans="1:28" ht="15.75" customHeight="1" x14ac:dyDescent="0.25">
      <c r="A4" s="6" t="s">
        <v>1871</v>
      </c>
      <c r="B4" s="49" t="s">
        <v>1872</v>
      </c>
      <c r="C4" s="11">
        <v>18.89</v>
      </c>
      <c r="D4" s="11">
        <v>0.9</v>
      </c>
      <c r="E4" s="45" t="e">
        <f>IFERROR(
_xlfn.XLOOKUP(
B4,#REF!,#REF!
),
_xlfn.XLOOKUP(
A4,#REF!,#REF!
)
)</f>
        <v>#REF!</v>
      </c>
      <c r="F4" s="11" t="str">
        <f>IFERROR(
VLOOKUP(
B4,#REF!,
6,
FALSE
),
""
)</f>
        <v/>
      </c>
      <c r="G4" s="11"/>
      <c r="H4" s="11">
        <v>24</v>
      </c>
      <c r="I4" s="46" t="e">
        <f t="shared" si="0"/>
        <v>#REF!</v>
      </c>
      <c r="J4" s="10" t="e">
        <f t="shared" si="4"/>
        <v>#REF!</v>
      </c>
      <c r="K4" s="10">
        <v>29.25</v>
      </c>
      <c r="L4" s="11" t="e">
        <f t="shared" si="1"/>
        <v>#REF!</v>
      </c>
      <c r="M4" s="11" t="e">
        <f t="shared" si="2"/>
        <v>#REF!</v>
      </c>
      <c r="N4" s="11" t="e">
        <f t="shared" si="3"/>
        <v>#REF!</v>
      </c>
      <c r="O4" s="11"/>
      <c r="AB4" s="12"/>
    </row>
    <row r="5" spans="1:28" ht="15.75" customHeight="1" x14ac:dyDescent="0.25">
      <c r="A5" s="6" t="s">
        <v>1873</v>
      </c>
      <c r="B5" s="49" t="s">
        <v>1874</v>
      </c>
      <c r="C5" s="9">
        <v>29.3</v>
      </c>
      <c r="D5" s="9">
        <v>0.9</v>
      </c>
      <c r="E5" s="45" t="e">
        <f>IFERROR(
_xlfn.XLOOKUP(
B5,#REF!,#REF!
),
_xlfn.XLOOKUP(
A5,#REF!,#REF!
)
)</f>
        <v>#REF!</v>
      </c>
      <c r="F5" s="11" t="str">
        <f>IFERROR(
VLOOKUP(
B5,#REF!,
6,
FALSE
),
""
)</f>
        <v/>
      </c>
      <c r="G5" s="11"/>
      <c r="H5" s="9">
        <v>24</v>
      </c>
      <c r="I5" s="47" t="e">
        <f t="shared" si="0"/>
        <v>#REF!</v>
      </c>
      <c r="J5" s="10" t="e">
        <f t="shared" si="4"/>
        <v>#REF!</v>
      </c>
      <c r="K5" s="10">
        <v>43.61</v>
      </c>
      <c r="L5" s="9" t="e">
        <f t="shared" si="1"/>
        <v>#REF!</v>
      </c>
      <c r="M5" s="9" t="e">
        <f t="shared" si="2"/>
        <v>#REF!</v>
      </c>
      <c r="N5" s="9" t="e">
        <f t="shared" si="3"/>
        <v>#REF!</v>
      </c>
      <c r="O5" s="9"/>
    </row>
    <row r="6" spans="1:28" ht="15.75" customHeight="1" x14ac:dyDescent="0.25">
      <c r="A6" s="6" t="s">
        <v>1875</v>
      </c>
      <c r="B6" s="49" t="s">
        <v>1876</v>
      </c>
      <c r="C6" s="11">
        <v>22.5</v>
      </c>
      <c r="D6" s="11">
        <v>0.9</v>
      </c>
      <c r="E6" s="45" t="e">
        <f>IFERROR(
_xlfn.XLOOKUP(
B6,#REF!,#REF!
),
_xlfn.XLOOKUP(
A6,#REF!,#REF!
)
)</f>
        <v>#REF!</v>
      </c>
      <c r="F6" s="11" t="str">
        <f>IFERROR(
VLOOKUP(
B6,#REF!,
6,
FALSE
),
""
)</f>
        <v/>
      </c>
      <c r="G6" s="11"/>
      <c r="H6" s="11">
        <v>24</v>
      </c>
      <c r="I6" s="46" t="e">
        <f t="shared" si="0"/>
        <v>#REF!</v>
      </c>
      <c r="J6" s="10" t="e">
        <f t="shared" si="4"/>
        <v>#REF!</v>
      </c>
      <c r="K6" s="10"/>
      <c r="L6" s="11" t="e">
        <f t="shared" si="1"/>
        <v>#REF!</v>
      </c>
      <c r="M6" s="11" t="e">
        <f t="shared" si="2"/>
        <v>#REF!</v>
      </c>
      <c r="N6" s="11" t="e">
        <f t="shared" si="3"/>
        <v>#REF!</v>
      </c>
      <c r="O6" s="11"/>
    </row>
    <row r="7" spans="1:28" ht="15.75" customHeight="1" x14ac:dyDescent="0.25">
      <c r="A7" s="6" t="s">
        <v>1877</v>
      </c>
      <c r="B7" s="49" t="s">
        <v>1878</v>
      </c>
      <c r="C7" s="9">
        <v>24.73</v>
      </c>
      <c r="D7" s="9">
        <v>0.9</v>
      </c>
      <c r="E7" s="45" t="e">
        <f>IFERROR(
_xlfn.XLOOKUP(
B7,#REF!,#REF!
),
_xlfn.XLOOKUP(
A7,#REF!,#REF!
)
)</f>
        <v>#REF!</v>
      </c>
      <c r="F7" s="11" t="str">
        <f>IFERROR(
VLOOKUP(
B7,#REF!,
6,
FALSE
),
""
)</f>
        <v/>
      </c>
      <c r="G7" s="11"/>
      <c r="H7" s="9">
        <v>24</v>
      </c>
      <c r="I7" s="47" t="e">
        <f t="shared" si="0"/>
        <v>#REF!</v>
      </c>
      <c r="J7" s="10" t="e">
        <f t="shared" si="4"/>
        <v>#REF!</v>
      </c>
      <c r="K7" s="10"/>
      <c r="L7" s="9" t="e">
        <f t="shared" si="1"/>
        <v>#REF!</v>
      </c>
      <c r="M7" s="9" t="e">
        <f t="shared" si="2"/>
        <v>#REF!</v>
      </c>
      <c r="N7" s="9" t="e">
        <f t="shared" si="3"/>
        <v>#REF!</v>
      </c>
      <c r="O7" s="9"/>
    </row>
    <row r="8" spans="1:28" ht="15.75" customHeight="1" x14ac:dyDescent="0.25">
      <c r="A8" s="6" t="s">
        <v>1879</v>
      </c>
      <c r="B8" s="49" t="s">
        <v>1880</v>
      </c>
      <c r="C8" s="11">
        <v>13.46</v>
      </c>
      <c r="D8" s="11">
        <v>0.9</v>
      </c>
      <c r="E8" s="45" t="e">
        <f>IFERROR(
_xlfn.XLOOKUP(
B8,#REF!,#REF!
),
_xlfn.XLOOKUP(
A8,#REF!,#REF!
)
)</f>
        <v>#REF!</v>
      </c>
      <c r="F8" s="11" t="str">
        <f>IFERROR(
VLOOKUP(
B8,#REF!,
6,
FALSE
),
""
)</f>
        <v/>
      </c>
      <c r="G8" s="11"/>
      <c r="H8" s="11">
        <v>24</v>
      </c>
      <c r="I8" s="46" t="e">
        <f t="shared" si="0"/>
        <v>#REF!</v>
      </c>
      <c r="J8" s="10" t="e">
        <f t="shared" si="4"/>
        <v>#REF!</v>
      </c>
      <c r="K8" s="10"/>
      <c r="L8" s="11" t="e">
        <f t="shared" si="1"/>
        <v>#REF!</v>
      </c>
      <c r="M8" s="11" t="e">
        <f t="shared" si="2"/>
        <v>#REF!</v>
      </c>
      <c r="N8" s="11" t="e">
        <f t="shared" si="3"/>
        <v>#REF!</v>
      </c>
      <c r="O8" s="11"/>
    </row>
    <row r="9" spans="1:28" ht="15.75" customHeight="1" x14ac:dyDescent="0.25">
      <c r="A9" s="6" t="s">
        <v>1881</v>
      </c>
      <c r="B9" s="49" t="s">
        <v>1882</v>
      </c>
      <c r="C9" s="9">
        <v>19.649999999999999</v>
      </c>
      <c r="D9" s="9">
        <v>0.9</v>
      </c>
      <c r="E9" s="45" t="e">
        <f>IFERROR(
_xlfn.XLOOKUP(
B9,#REF!,#REF!
),
_xlfn.XLOOKUP(
A9,#REF!,#REF!
)
)</f>
        <v>#REF!</v>
      </c>
      <c r="F9" s="11" t="str">
        <f>IFERROR(
VLOOKUP(
B9,#REF!,
6,
FALSE
),
""
)</f>
        <v/>
      </c>
      <c r="G9" s="11"/>
      <c r="H9" s="9">
        <v>24</v>
      </c>
      <c r="I9" s="47" t="e">
        <f t="shared" si="0"/>
        <v>#REF!</v>
      </c>
      <c r="J9" s="10" t="e">
        <f t="shared" si="4"/>
        <v>#REF!</v>
      </c>
      <c r="K9" s="10"/>
      <c r="L9" s="9" t="e">
        <f t="shared" si="1"/>
        <v>#REF!</v>
      </c>
      <c r="M9" s="9" t="e">
        <f t="shared" si="2"/>
        <v>#REF!</v>
      </c>
      <c r="N9" s="9" t="e">
        <f t="shared" si="3"/>
        <v>#REF!</v>
      </c>
      <c r="O9" s="9"/>
    </row>
    <row r="10" spans="1:28" ht="15.75" customHeight="1" x14ac:dyDescent="0.25">
      <c r="A10" s="6" t="s">
        <v>1883</v>
      </c>
      <c r="B10" s="49" t="s">
        <v>1884</v>
      </c>
      <c r="C10" s="11">
        <v>32.35</v>
      </c>
      <c r="D10" s="11">
        <v>0.9</v>
      </c>
      <c r="E10" s="45" t="e">
        <f>IFERROR(
_xlfn.XLOOKUP(
B10,#REF!,#REF!
),
_xlfn.XLOOKUP(
A10,#REF!,#REF!
)
)</f>
        <v>#REF!</v>
      </c>
      <c r="F10" s="11" t="str">
        <f>IFERROR(
VLOOKUP(
B10,#REF!,
6,
FALSE
),
""
)</f>
        <v/>
      </c>
      <c r="G10" s="11"/>
      <c r="H10" s="11">
        <v>24</v>
      </c>
      <c r="I10" s="46" t="e">
        <f t="shared" si="0"/>
        <v>#REF!</v>
      </c>
      <c r="J10" s="10" t="e">
        <f t="shared" si="4"/>
        <v>#REF!</v>
      </c>
      <c r="K10" s="10"/>
      <c r="L10" s="11" t="e">
        <f t="shared" si="1"/>
        <v>#REF!</v>
      </c>
      <c r="M10" s="11" t="e">
        <f t="shared" si="2"/>
        <v>#REF!</v>
      </c>
      <c r="N10" s="11" t="e">
        <f t="shared" si="3"/>
        <v>#REF!</v>
      </c>
      <c r="O10" s="11"/>
    </row>
    <row r="11" spans="1:28" ht="15.75" customHeight="1" x14ac:dyDescent="0.25">
      <c r="A11" s="6" t="s">
        <v>1885</v>
      </c>
      <c r="B11" s="60" t="s">
        <v>1886</v>
      </c>
      <c r="C11" s="9">
        <v>27.26</v>
      </c>
      <c r="D11" s="9">
        <v>0.9</v>
      </c>
      <c r="E11" s="45" t="e">
        <f>IFERROR(
_xlfn.XLOOKUP(
B11,#REF!,#REF!
),
_xlfn.XLOOKUP(
A11,#REF!,#REF!
)
)</f>
        <v>#REF!</v>
      </c>
      <c r="F11" s="11" t="str">
        <f>IFERROR(
VLOOKUP(
B11,#REF!,
6,
FALSE
),
""
)</f>
        <v/>
      </c>
      <c r="G11" s="11"/>
      <c r="H11" s="9">
        <v>24</v>
      </c>
      <c r="I11" s="47" t="e">
        <f t="shared" si="0"/>
        <v>#REF!</v>
      </c>
      <c r="J11" s="10" t="e">
        <f t="shared" si="4"/>
        <v>#REF!</v>
      </c>
      <c r="K11" s="10"/>
      <c r="L11" s="9" t="e">
        <f t="shared" si="1"/>
        <v>#REF!</v>
      </c>
      <c r="M11" s="9" t="e">
        <f t="shared" si="2"/>
        <v>#REF!</v>
      </c>
      <c r="N11" s="9" t="e">
        <f t="shared" si="3"/>
        <v>#REF!</v>
      </c>
      <c r="O11" s="9"/>
    </row>
    <row r="12" spans="1:28" ht="15.75" customHeight="1" x14ac:dyDescent="0.25">
      <c r="A12" s="6" t="s">
        <v>1887</v>
      </c>
      <c r="B12" s="49" t="s">
        <v>2084</v>
      </c>
      <c r="C12" s="11">
        <v>10.14</v>
      </c>
      <c r="D12" s="11">
        <v>0.9</v>
      </c>
      <c r="E12" s="45" t="e">
        <f>IFERROR(
_xlfn.XLOOKUP(
B12,#REF!,#REF!
),
_xlfn.XLOOKUP(
A12,#REF!,#REF!
)
)</f>
        <v>#REF!</v>
      </c>
      <c r="F12" s="11" t="str">
        <f>IFERROR(
VLOOKUP(
B12,#REF!,
6,
FALSE
),
""
)</f>
        <v/>
      </c>
      <c r="G12" s="11"/>
      <c r="H12" s="11">
        <v>24</v>
      </c>
      <c r="I12" s="46" t="e">
        <f t="shared" si="0"/>
        <v>#REF!</v>
      </c>
      <c r="J12" s="10" t="e">
        <f t="shared" si="4"/>
        <v>#REF!</v>
      </c>
      <c r="K12" s="10">
        <v>16.2</v>
      </c>
      <c r="L12" s="11" t="e">
        <f t="shared" si="1"/>
        <v>#REF!</v>
      </c>
      <c r="M12" s="11" t="e">
        <f t="shared" si="2"/>
        <v>#REF!</v>
      </c>
      <c r="N12" s="11" t="e">
        <f t="shared" si="3"/>
        <v>#REF!</v>
      </c>
      <c r="O12" s="11"/>
    </row>
    <row r="13" spans="1:28" ht="15.75" customHeight="1" x14ac:dyDescent="0.25">
      <c r="A13" s="6" t="s">
        <v>1888</v>
      </c>
      <c r="B13" s="49" t="s">
        <v>2085</v>
      </c>
      <c r="C13" s="9">
        <v>16.329999999999998</v>
      </c>
      <c r="D13" s="9">
        <v>0.9</v>
      </c>
      <c r="E13" s="45" t="e">
        <f>IFERROR(
_xlfn.XLOOKUP(
B13,#REF!,#REF!
),
_xlfn.XLOOKUP(
A13,#REF!,#REF!
)
)</f>
        <v>#REF!</v>
      </c>
      <c r="F13" s="11" t="str">
        <f>IFERROR(
VLOOKUP(
B13,#REF!,
6,
FALSE
),
""
)</f>
        <v/>
      </c>
      <c r="G13" s="11"/>
      <c r="H13" s="9">
        <v>24</v>
      </c>
      <c r="I13" s="47" t="e">
        <f t="shared" si="0"/>
        <v>#REF!</v>
      </c>
      <c r="J13" s="10" t="e">
        <f t="shared" si="4"/>
        <v>#REF!</v>
      </c>
      <c r="K13" s="10">
        <v>24.74</v>
      </c>
      <c r="L13" s="9" t="e">
        <f t="shared" si="1"/>
        <v>#REF!</v>
      </c>
      <c r="M13" s="9" t="e">
        <f t="shared" si="2"/>
        <v>#REF!</v>
      </c>
      <c r="N13" s="9" t="e">
        <f t="shared" si="3"/>
        <v>#REF!</v>
      </c>
      <c r="O13" s="9"/>
    </row>
    <row r="14" spans="1:28" ht="15.75" customHeight="1" x14ac:dyDescent="0.25">
      <c r="A14" s="12" t="s">
        <v>1889</v>
      </c>
      <c r="B14" s="54" t="s">
        <v>2079</v>
      </c>
      <c r="C14" s="11">
        <v>9.4</v>
      </c>
      <c r="D14" s="11">
        <v>0.9</v>
      </c>
      <c r="E14" s="45" t="e">
        <f>IFERROR(
_xlfn.XLOOKUP(
B14,#REF!,#REF!
),
_xlfn.XLOOKUP(
A14,#REF!,#REF!
)
)</f>
        <v>#REF!</v>
      </c>
      <c r="F14" s="11" t="str">
        <f>IFERROR(
VLOOKUP(
B14,#REF!,
6,
FALSE
),
""
)</f>
        <v/>
      </c>
      <c r="G14" s="11"/>
      <c r="H14" s="11">
        <v>24</v>
      </c>
      <c r="I14" s="46" t="e">
        <f t="shared" si="0"/>
        <v>#REF!</v>
      </c>
      <c r="J14" s="10" t="e">
        <f t="shared" si="4"/>
        <v>#REF!</v>
      </c>
      <c r="K14" s="10">
        <v>15.18</v>
      </c>
      <c r="L14" s="11" t="e">
        <f t="shared" si="1"/>
        <v>#REF!</v>
      </c>
      <c r="M14" s="11" t="e">
        <f t="shared" si="2"/>
        <v>#REF!</v>
      </c>
      <c r="N14" s="11" t="e">
        <f t="shared" si="3"/>
        <v>#REF!</v>
      </c>
      <c r="O14" s="11"/>
    </row>
    <row r="15" spans="1:28" ht="15.75" customHeight="1" x14ac:dyDescent="0.25">
      <c r="A15" s="63" t="s">
        <v>1890</v>
      </c>
      <c r="B15" s="64" t="s">
        <v>2080</v>
      </c>
      <c r="C15" s="63">
        <v>8.9600000000000009</v>
      </c>
      <c r="D15" s="63">
        <v>0.9</v>
      </c>
      <c r="E15" s="65" t="e">
        <f>IFERROR(
_xlfn.XLOOKUP(
B15,#REF!,#REF!
),
_xlfn.XLOOKUP(
A15,#REF!,#REF!
)
)</f>
        <v>#REF!</v>
      </c>
      <c r="F15" s="66" t="str">
        <f>IFERROR(
VLOOKUP(
B15,#REF!,
6,
FALSE
),
""
)</f>
        <v/>
      </c>
      <c r="G15" s="66"/>
      <c r="H15" s="63">
        <v>24</v>
      </c>
      <c r="I15" s="67" t="e">
        <f t="shared" si="0"/>
        <v>#REF!</v>
      </c>
      <c r="J15" s="10" t="e">
        <f t="shared" si="4"/>
        <v>#REF!</v>
      </c>
      <c r="K15" s="10"/>
      <c r="L15" s="9" t="e">
        <f t="shared" si="1"/>
        <v>#REF!</v>
      </c>
      <c r="M15" s="9" t="e">
        <f t="shared" si="2"/>
        <v>#REF!</v>
      </c>
      <c r="N15" s="9" t="e">
        <f t="shared" si="3"/>
        <v>#REF!</v>
      </c>
      <c r="O15" s="9"/>
    </row>
    <row r="16" spans="1:28" ht="15.75" customHeight="1" x14ac:dyDescent="0.25">
      <c r="A16" s="66" t="s">
        <v>1891</v>
      </c>
      <c r="B16" s="68" t="s">
        <v>2081</v>
      </c>
      <c r="C16" s="66">
        <v>16.52</v>
      </c>
      <c r="D16" s="66">
        <v>0.9</v>
      </c>
      <c r="E16" s="65" t="e">
        <f>IFERROR(
_xlfn.XLOOKUP(
B16,#REF!,#REF!
),
_xlfn.XLOOKUP(
A16,#REF!,#REF!
)
)</f>
        <v>#REF!</v>
      </c>
      <c r="F16" s="66" t="str">
        <f>IFERROR(
VLOOKUP(
B16,#REF!,
6,
FALSE
),
""
)</f>
        <v/>
      </c>
      <c r="G16" s="66"/>
      <c r="H16" s="66">
        <v>24</v>
      </c>
      <c r="I16" s="69" t="e">
        <f t="shared" si="0"/>
        <v>#REF!</v>
      </c>
      <c r="J16" s="10" t="e">
        <f t="shared" si="4"/>
        <v>#REF!</v>
      </c>
      <c r="K16" s="10">
        <v>35</v>
      </c>
      <c r="L16" s="11" t="e">
        <f t="shared" si="1"/>
        <v>#REF!</v>
      </c>
      <c r="M16" s="11" t="e">
        <f t="shared" si="2"/>
        <v>#REF!</v>
      </c>
      <c r="N16" s="11" t="e">
        <f t="shared" si="3"/>
        <v>#REF!</v>
      </c>
      <c r="O16" s="11"/>
    </row>
    <row r="17" spans="1:15" ht="15.75" customHeight="1" x14ac:dyDescent="0.25">
      <c r="A17" s="9" t="s">
        <v>1892</v>
      </c>
      <c r="B17" s="51" t="s">
        <v>2082</v>
      </c>
      <c r="C17" s="9">
        <v>12.18</v>
      </c>
      <c r="D17" s="9">
        <v>0.9</v>
      </c>
      <c r="E17" s="45" t="e">
        <f>IFERROR(
_xlfn.XLOOKUP(
B17,#REF!,#REF!
),
_xlfn.XLOOKUP(
A17,#REF!,#REF!
)
)</f>
        <v>#REF!</v>
      </c>
      <c r="F17" s="11" t="str">
        <f>IFERROR(
VLOOKUP(
B17,#REF!,
6,
FALSE
),
""
)</f>
        <v/>
      </c>
      <c r="G17" s="11"/>
      <c r="H17" s="9">
        <v>24</v>
      </c>
      <c r="I17" s="47" t="e">
        <f t="shared" si="0"/>
        <v>#REF!</v>
      </c>
      <c r="J17" s="10" t="e">
        <f t="shared" si="4"/>
        <v>#REF!</v>
      </c>
      <c r="K17" s="10">
        <v>19.02</v>
      </c>
      <c r="L17" s="9" t="e">
        <f t="shared" si="1"/>
        <v>#REF!</v>
      </c>
      <c r="M17" s="9" t="e">
        <f t="shared" si="2"/>
        <v>#REF!</v>
      </c>
      <c r="N17" s="9" t="e">
        <f t="shared" si="3"/>
        <v>#REF!</v>
      </c>
      <c r="O17" s="9"/>
    </row>
    <row r="18" spans="1:15" ht="15.75" customHeight="1" x14ac:dyDescent="0.25">
      <c r="A18" s="11" t="s">
        <v>1893</v>
      </c>
      <c r="B18" s="61" t="s">
        <v>2083</v>
      </c>
      <c r="C18" s="11">
        <v>15.95</v>
      </c>
      <c r="D18" s="11">
        <v>0.9</v>
      </c>
      <c r="E18" s="45" t="e">
        <f>IFERROR(
_xlfn.XLOOKUP(
B18,#REF!,#REF!
),
_xlfn.XLOOKUP(
A18,#REF!,#REF!
)
)</f>
        <v>#REF!</v>
      </c>
      <c r="F18" s="11" t="str">
        <f>IFERROR(
VLOOKUP(
B18,#REF!,
6,
FALSE
),
""
)</f>
        <v/>
      </c>
      <c r="G18" s="11"/>
      <c r="H18" s="11">
        <v>24</v>
      </c>
      <c r="I18" s="46" t="e">
        <f t="shared" si="0"/>
        <v>#REF!</v>
      </c>
      <c r="J18" s="10" t="e">
        <f t="shared" si="4"/>
        <v>#REF!</v>
      </c>
      <c r="K18" s="10">
        <v>24.22</v>
      </c>
      <c r="L18" s="11" t="e">
        <f t="shared" si="1"/>
        <v>#REF!</v>
      </c>
      <c r="M18" s="11" t="e">
        <f t="shared" si="2"/>
        <v>#REF!</v>
      </c>
      <c r="N18" s="11" t="e">
        <f t="shared" si="3"/>
        <v>#REF!</v>
      </c>
      <c r="O18" s="11"/>
    </row>
    <row r="19" spans="1:15" ht="15.75" customHeight="1" x14ac:dyDescent="0.25">
      <c r="A19" s="9"/>
      <c r="B19" s="51"/>
      <c r="C19" s="9">
        <v>23.92</v>
      </c>
      <c r="D19" s="9">
        <v>0.9</v>
      </c>
      <c r="E19" s="45" t="e">
        <f>IFERROR(
_xlfn.XLOOKUP(
B19,#REF!,#REF!
),
_xlfn.XLOOKUP(
A19,#REF!,#REF!
)
)</f>
        <v>#REF!</v>
      </c>
      <c r="F19" s="11" t="str">
        <f>IFERROR(
VLOOKUP(
B19,#REF!,
6,
FALSE
),
""
)</f>
        <v/>
      </c>
      <c r="G19" s="11"/>
      <c r="H19" s="9">
        <v>24</v>
      </c>
      <c r="I19" s="47" t="e">
        <f t="shared" si="0"/>
        <v>#REF!</v>
      </c>
      <c r="J19" s="10" t="e">
        <f t="shared" si="4"/>
        <v>#REF!</v>
      </c>
      <c r="K19" s="10"/>
      <c r="L19" s="9" t="e">
        <f t="shared" si="1"/>
        <v>#REF!</v>
      </c>
      <c r="M19" s="9" t="e">
        <f t="shared" si="2"/>
        <v>#REF!</v>
      </c>
      <c r="N19" s="9" t="e">
        <f t="shared" si="3"/>
        <v>#REF!</v>
      </c>
      <c r="O19" s="9"/>
    </row>
    <row r="20" spans="1:15" ht="15.75" customHeight="1" x14ac:dyDescent="0.25">
      <c r="A20" s="11"/>
      <c r="B20" s="52"/>
      <c r="C20" s="9">
        <v>23.92</v>
      </c>
      <c r="D20" s="9">
        <v>0.9</v>
      </c>
      <c r="E20" s="45" t="e">
        <f>IFERROR(
_xlfn.XLOOKUP(
B20,#REF!,#REF!
),
_xlfn.XLOOKUP(
A20,#REF!,#REF!
)
)</f>
        <v>#REF!</v>
      </c>
      <c r="F20" s="11" t="str">
        <f>IFERROR(
VLOOKUP(
B20,#REF!,
6,
FALSE
),
""
)</f>
        <v/>
      </c>
      <c r="G20" s="11"/>
      <c r="H20" s="9">
        <v>24</v>
      </c>
      <c r="I20" s="47" t="e">
        <f t="shared" ref="I20:I50" si="5">C20+D20+E20</f>
        <v>#REF!</v>
      </c>
      <c r="J20" s="10" t="e">
        <f t="shared" si="4"/>
        <v>#REF!</v>
      </c>
      <c r="K20" s="10"/>
      <c r="L20" s="9" t="e">
        <f t="shared" si="1"/>
        <v>#REF!</v>
      </c>
      <c r="M20" s="9" t="e">
        <f t="shared" si="2"/>
        <v>#REF!</v>
      </c>
      <c r="N20" s="9" t="e">
        <f t="shared" ref="N20:N50" si="6">J20 - L20 - M20</f>
        <v>#REF!</v>
      </c>
      <c r="O20" s="11"/>
    </row>
    <row r="21" spans="1:15" ht="15.75" customHeight="1" x14ac:dyDescent="0.25">
      <c r="A21" s="9"/>
      <c r="B21" s="62"/>
      <c r="C21" s="9">
        <v>23.92</v>
      </c>
      <c r="D21" s="9">
        <v>0.9</v>
      </c>
      <c r="E21" s="45" t="e">
        <f>IFERROR(
_xlfn.XLOOKUP(
B21,#REF!,#REF!
),
_xlfn.XLOOKUP(
A21,#REF!,#REF!
)
)</f>
        <v>#REF!</v>
      </c>
      <c r="F21" s="11" t="str">
        <f>IFERROR(
VLOOKUP(
B21,#REF!,
6,
FALSE
),
""
)</f>
        <v/>
      </c>
      <c r="G21" s="11"/>
      <c r="H21" s="9">
        <v>24</v>
      </c>
      <c r="I21" s="47" t="e">
        <f t="shared" si="5"/>
        <v>#REF!</v>
      </c>
      <c r="J21" s="10" t="e">
        <f t="shared" si="4"/>
        <v>#REF!</v>
      </c>
      <c r="K21" s="10"/>
      <c r="L21" s="9" t="e">
        <f t="shared" si="1"/>
        <v>#REF!</v>
      </c>
      <c r="M21" s="9" t="e">
        <f t="shared" si="2"/>
        <v>#REF!</v>
      </c>
      <c r="N21" s="9" t="e">
        <f t="shared" si="6"/>
        <v>#REF!</v>
      </c>
      <c r="O21" s="9"/>
    </row>
    <row r="22" spans="1:15" ht="15.75" customHeight="1" x14ac:dyDescent="0.25">
      <c r="A22" s="11"/>
      <c r="B22" s="61"/>
      <c r="C22" s="9">
        <v>23.92</v>
      </c>
      <c r="D22" s="9">
        <v>0.9</v>
      </c>
      <c r="E22" s="45" t="e">
        <f>IFERROR(
_xlfn.XLOOKUP(
B22,#REF!,#REF!
),
_xlfn.XLOOKUP(
A22,#REF!,#REF!
)
)</f>
        <v>#REF!</v>
      </c>
      <c r="F22" s="11" t="str">
        <f>IFERROR(
VLOOKUP(
B22,#REF!,
6,
FALSE
),
""
)</f>
        <v/>
      </c>
      <c r="G22" s="11"/>
      <c r="H22" s="9">
        <v>24</v>
      </c>
      <c r="I22" s="47" t="e">
        <f t="shared" si="5"/>
        <v>#REF!</v>
      </c>
      <c r="J22" s="10" t="e">
        <f t="shared" si="4"/>
        <v>#REF!</v>
      </c>
      <c r="K22" s="10"/>
      <c r="L22" s="9" t="e">
        <f t="shared" si="1"/>
        <v>#REF!</v>
      </c>
      <c r="M22" s="9" t="e">
        <f t="shared" si="2"/>
        <v>#REF!</v>
      </c>
      <c r="N22" s="9" t="e">
        <f t="shared" si="6"/>
        <v>#REF!</v>
      </c>
      <c r="O22" s="11"/>
    </row>
    <row r="23" spans="1:15" ht="15.75" customHeight="1" x14ac:dyDescent="0.25">
      <c r="A23" s="9"/>
      <c r="B23" s="51"/>
      <c r="C23" s="9">
        <v>23.92</v>
      </c>
      <c r="D23" s="9">
        <v>0.9</v>
      </c>
      <c r="E23" s="45" t="e">
        <f>IFERROR(
_xlfn.XLOOKUP(
B23,#REF!,#REF!
),
_xlfn.XLOOKUP(
A23,#REF!,#REF!
)
)</f>
        <v>#REF!</v>
      </c>
      <c r="F23" s="11" t="str">
        <f>IFERROR(
VLOOKUP(
B23,#REF!,
6,
FALSE
),
""
)</f>
        <v/>
      </c>
      <c r="G23" s="11"/>
      <c r="H23" s="9">
        <v>24</v>
      </c>
      <c r="I23" s="47" t="e">
        <f t="shared" si="5"/>
        <v>#REF!</v>
      </c>
      <c r="J23" s="10" t="e">
        <f t="shared" si="4"/>
        <v>#REF!</v>
      </c>
      <c r="K23" s="10"/>
      <c r="L23" s="9" t="e">
        <f t="shared" si="1"/>
        <v>#REF!</v>
      </c>
      <c r="M23" s="9" t="e">
        <f t="shared" si="2"/>
        <v>#REF!</v>
      </c>
      <c r="N23" s="9" t="e">
        <f t="shared" si="6"/>
        <v>#REF!</v>
      </c>
      <c r="O23" s="9"/>
    </row>
    <row r="24" spans="1:15" ht="15.75" customHeight="1" x14ac:dyDescent="0.25">
      <c r="A24" s="11"/>
      <c r="B24" s="52"/>
      <c r="C24" s="9">
        <v>23.92</v>
      </c>
      <c r="D24" s="9">
        <v>0.9</v>
      </c>
      <c r="E24" s="45" t="e">
        <f>IFERROR(
_xlfn.XLOOKUP(
B24,#REF!,#REF!
),
_xlfn.XLOOKUP(
A24,#REF!,#REF!
)
)</f>
        <v>#REF!</v>
      </c>
      <c r="F24" s="11" t="str">
        <f>IFERROR(
VLOOKUP(
B24,#REF!,
6,
FALSE
),
""
)</f>
        <v/>
      </c>
      <c r="G24" s="11"/>
      <c r="H24" s="9">
        <v>24</v>
      </c>
      <c r="I24" s="47" t="e">
        <f t="shared" si="5"/>
        <v>#REF!</v>
      </c>
      <c r="J24" s="10" t="e">
        <f t="shared" si="4"/>
        <v>#REF!</v>
      </c>
      <c r="K24" s="10"/>
      <c r="L24" s="9" t="e">
        <f t="shared" si="1"/>
        <v>#REF!</v>
      </c>
      <c r="M24" s="9" t="e">
        <f t="shared" si="2"/>
        <v>#REF!</v>
      </c>
      <c r="N24" s="9" t="e">
        <f t="shared" si="6"/>
        <v>#REF!</v>
      </c>
      <c r="O24" s="11"/>
    </row>
    <row r="25" spans="1:15" ht="15.75" customHeight="1" x14ac:dyDescent="0.25">
      <c r="A25" s="11"/>
      <c r="B25" s="52"/>
      <c r="C25" s="9">
        <v>23.92</v>
      </c>
      <c r="D25" s="9">
        <v>0.9</v>
      </c>
      <c r="E25" s="45" t="e">
        <f>IFERROR(
_xlfn.XLOOKUP(
B25,#REF!,#REF!
),
_xlfn.XLOOKUP(
A25,#REF!,#REF!
)
)</f>
        <v>#REF!</v>
      </c>
      <c r="F25" s="11" t="str">
        <f>IFERROR(
VLOOKUP(
B25,#REF!,
6,
FALSE
),
""
)</f>
        <v/>
      </c>
      <c r="G25" s="11"/>
      <c r="H25" s="9">
        <v>24</v>
      </c>
      <c r="I25" s="47" t="e">
        <f t="shared" si="5"/>
        <v>#REF!</v>
      </c>
      <c r="J25" s="10" t="e">
        <f t="shared" si="4"/>
        <v>#REF!</v>
      </c>
      <c r="K25" s="10"/>
      <c r="L25" s="9" t="e">
        <f t="shared" si="1"/>
        <v>#REF!</v>
      </c>
      <c r="M25" s="9" t="e">
        <f t="shared" si="2"/>
        <v>#REF!</v>
      </c>
      <c r="N25" s="9" t="e">
        <f t="shared" si="6"/>
        <v>#REF!</v>
      </c>
      <c r="O25" s="11"/>
    </row>
    <row r="26" spans="1:15" ht="15.75" customHeight="1" x14ac:dyDescent="0.25">
      <c r="A26" s="11"/>
      <c r="B26" s="52"/>
      <c r="C26" s="9">
        <v>23.92</v>
      </c>
      <c r="D26" s="9">
        <v>0.9</v>
      </c>
      <c r="E26" s="45" t="e">
        <f>IFERROR(
_xlfn.XLOOKUP(
B26,#REF!,#REF!
),
_xlfn.XLOOKUP(
A26,#REF!,#REF!
)
)</f>
        <v>#REF!</v>
      </c>
      <c r="F26" s="11" t="str">
        <f>IFERROR(
VLOOKUP(
B26,#REF!,
6,
FALSE
),
""
)</f>
        <v/>
      </c>
      <c r="G26" s="11"/>
      <c r="H26" s="9">
        <v>24</v>
      </c>
      <c r="I26" s="47" t="e">
        <f t="shared" si="5"/>
        <v>#REF!</v>
      </c>
      <c r="J26" s="10" t="e">
        <f t="shared" si="4"/>
        <v>#REF!</v>
      </c>
      <c r="K26" s="10"/>
      <c r="L26" s="9" t="e">
        <f t="shared" si="1"/>
        <v>#REF!</v>
      </c>
      <c r="M26" s="9" t="e">
        <f t="shared" si="2"/>
        <v>#REF!</v>
      </c>
      <c r="N26" s="9" t="e">
        <f t="shared" si="6"/>
        <v>#REF!</v>
      </c>
      <c r="O26" s="11"/>
    </row>
    <row r="27" spans="1:15" ht="15.75" customHeight="1" x14ac:dyDescent="0.25">
      <c r="A27" s="11"/>
      <c r="B27" s="52"/>
      <c r="C27" s="9">
        <v>23.92</v>
      </c>
      <c r="D27" s="9">
        <v>0.9</v>
      </c>
      <c r="E27" s="45" t="e">
        <f>IFERROR(
_xlfn.XLOOKUP(
B27,#REF!,#REF!
),
_xlfn.XLOOKUP(
A27,#REF!,#REF!
)
)</f>
        <v>#REF!</v>
      </c>
      <c r="F27" s="11" t="str">
        <f>IFERROR(
VLOOKUP(
B27,#REF!,
6,
FALSE
),
""
)</f>
        <v/>
      </c>
      <c r="G27" s="11"/>
      <c r="H27" s="9">
        <v>24</v>
      </c>
      <c r="I27" s="47" t="e">
        <f t="shared" si="5"/>
        <v>#REF!</v>
      </c>
      <c r="J27" s="10" t="e">
        <f t="shared" si="4"/>
        <v>#REF!</v>
      </c>
      <c r="K27" s="10"/>
      <c r="L27" s="9" t="e">
        <f t="shared" si="1"/>
        <v>#REF!</v>
      </c>
      <c r="M27" s="9" t="e">
        <f t="shared" si="2"/>
        <v>#REF!</v>
      </c>
      <c r="N27" s="9" t="e">
        <f t="shared" si="6"/>
        <v>#REF!</v>
      </c>
      <c r="O27" s="11"/>
    </row>
    <row r="28" spans="1:15" ht="15.75" customHeight="1" x14ac:dyDescent="0.25">
      <c r="A28" s="11"/>
      <c r="B28" s="52"/>
      <c r="C28" s="9">
        <v>23.92</v>
      </c>
      <c r="D28" s="9">
        <v>0.9</v>
      </c>
      <c r="E28" s="45" t="e">
        <f>IFERROR(
_xlfn.XLOOKUP(
B28,#REF!,#REF!
),
_xlfn.XLOOKUP(
A28,#REF!,#REF!
)
)</f>
        <v>#REF!</v>
      </c>
      <c r="F28" s="11" t="str">
        <f>IFERROR(
VLOOKUP(
B28,#REF!,
6,
FALSE
),
""
)</f>
        <v/>
      </c>
      <c r="G28" s="11"/>
      <c r="H28" s="9">
        <v>24</v>
      </c>
      <c r="I28" s="47" t="e">
        <f t="shared" si="5"/>
        <v>#REF!</v>
      </c>
      <c r="J28" s="10" t="e">
        <f t="shared" si="4"/>
        <v>#REF!</v>
      </c>
      <c r="K28" s="10"/>
      <c r="L28" s="9" t="e">
        <f t="shared" si="1"/>
        <v>#REF!</v>
      </c>
      <c r="M28" s="9" t="e">
        <f t="shared" si="2"/>
        <v>#REF!</v>
      </c>
      <c r="N28" s="9" t="e">
        <f t="shared" si="6"/>
        <v>#REF!</v>
      </c>
      <c r="O28" s="11"/>
    </row>
    <row r="29" spans="1:15" ht="15.75" customHeight="1" x14ac:dyDescent="0.25">
      <c r="A29" s="11"/>
      <c r="B29" s="52"/>
      <c r="C29" s="9">
        <v>23.92</v>
      </c>
      <c r="D29" s="9">
        <v>0.9</v>
      </c>
      <c r="E29" s="45" t="e">
        <f>IFERROR(
_xlfn.XLOOKUP(
B29,#REF!,#REF!
),
_xlfn.XLOOKUP(
A29,#REF!,#REF!
)
)</f>
        <v>#REF!</v>
      </c>
      <c r="F29" s="11" t="str">
        <f>IFERROR(
VLOOKUP(
B29,#REF!,
6,
FALSE
),
""
)</f>
        <v/>
      </c>
      <c r="G29" s="11"/>
      <c r="H29" s="9">
        <v>24</v>
      </c>
      <c r="I29" s="47" t="e">
        <f t="shared" si="5"/>
        <v>#REF!</v>
      </c>
      <c r="J29" s="10" t="e">
        <f t="shared" si="4"/>
        <v>#REF!</v>
      </c>
      <c r="K29" s="10"/>
      <c r="L29" s="9" t="e">
        <f t="shared" si="1"/>
        <v>#REF!</v>
      </c>
      <c r="M29" s="9" t="e">
        <f t="shared" si="2"/>
        <v>#REF!</v>
      </c>
      <c r="N29" s="9" t="e">
        <f t="shared" si="6"/>
        <v>#REF!</v>
      </c>
      <c r="O29" s="11"/>
    </row>
    <row r="30" spans="1:15" ht="15.75" customHeight="1" x14ac:dyDescent="0.25">
      <c r="A30" s="11"/>
      <c r="B30" s="52"/>
      <c r="C30" s="9">
        <v>23.92</v>
      </c>
      <c r="D30" s="9">
        <v>0.9</v>
      </c>
      <c r="E30" s="45" t="e">
        <f>IFERROR(
_xlfn.XLOOKUP(
B30,#REF!,#REF!
),
_xlfn.XLOOKUP(
A30,#REF!,#REF!
)
)</f>
        <v>#REF!</v>
      </c>
      <c r="F30" s="11" t="str">
        <f>IFERROR(
VLOOKUP(
B30,#REF!,
6,
FALSE
),
""
)</f>
        <v/>
      </c>
      <c r="G30" s="11"/>
      <c r="H30" s="9">
        <v>24</v>
      </c>
      <c r="I30" s="47" t="e">
        <f t="shared" si="5"/>
        <v>#REF!</v>
      </c>
      <c r="J30" s="10" t="e">
        <f t="shared" si="4"/>
        <v>#REF!</v>
      </c>
      <c r="K30" s="10"/>
      <c r="L30" s="9" t="e">
        <f t="shared" si="1"/>
        <v>#REF!</v>
      </c>
      <c r="M30" s="9" t="e">
        <f t="shared" si="2"/>
        <v>#REF!</v>
      </c>
      <c r="N30" s="9" t="e">
        <f t="shared" si="6"/>
        <v>#REF!</v>
      </c>
      <c r="O30" s="11"/>
    </row>
    <row r="31" spans="1:15" ht="15.75" customHeight="1" x14ac:dyDescent="0.25">
      <c r="A31" s="11"/>
      <c r="B31" s="52"/>
      <c r="C31" s="9">
        <v>23.92</v>
      </c>
      <c r="D31" s="9">
        <v>0.9</v>
      </c>
      <c r="E31" s="45" t="e">
        <f>IFERROR(
_xlfn.XLOOKUP(
B31,#REF!,#REF!
),
_xlfn.XLOOKUP(
A31,#REF!,#REF!
)
)</f>
        <v>#REF!</v>
      </c>
      <c r="F31" s="11" t="str">
        <f>IFERROR(
VLOOKUP(
B31,#REF!,
6,
FALSE
),
""
)</f>
        <v/>
      </c>
      <c r="G31" s="11"/>
      <c r="H31" s="9">
        <v>24</v>
      </c>
      <c r="I31" s="47" t="e">
        <f t="shared" si="5"/>
        <v>#REF!</v>
      </c>
      <c r="J31" s="10" t="e">
        <f t="shared" si="4"/>
        <v>#REF!</v>
      </c>
      <c r="K31" s="10"/>
      <c r="L31" s="9" t="e">
        <f t="shared" si="1"/>
        <v>#REF!</v>
      </c>
      <c r="M31" s="9" t="e">
        <f t="shared" si="2"/>
        <v>#REF!</v>
      </c>
      <c r="N31" s="9" t="e">
        <f t="shared" si="6"/>
        <v>#REF!</v>
      </c>
      <c r="O31" s="11"/>
    </row>
    <row r="32" spans="1:15" ht="15.75" customHeight="1" x14ac:dyDescent="0.25">
      <c r="A32" s="11"/>
      <c r="B32" s="52"/>
      <c r="C32" s="9">
        <v>23.92</v>
      </c>
      <c r="D32" s="9">
        <v>0.9</v>
      </c>
      <c r="E32" s="45" t="e">
        <f>IFERROR(
_xlfn.XLOOKUP(
B32,#REF!,#REF!
),
_xlfn.XLOOKUP(
A32,#REF!,#REF!
)
)</f>
        <v>#REF!</v>
      </c>
      <c r="F32" s="11" t="str">
        <f>IFERROR(
VLOOKUP(
B32,#REF!,
6,
FALSE
),
""
)</f>
        <v/>
      </c>
      <c r="G32" s="11"/>
      <c r="H32" s="9">
        <v>24</v>
      </c>
      <c r="I32" s="47" t="e">
        <f t="shared" si="5"/>
        <v>#REF!</v>
      </c>
      <c r="J32" s="10" t="e">
        <f t="shared" si="4"/>
        <v>#REF!</v>
      </c>
      <c r="K32" s="10"/>
      <c r="L32" s="9" t="e">
        <f t="shared" si="1"/>
        <v>#REF!</v>
      </c>
      <c r="M32" s="9" t="e">
        <f t="shared" si="2"/>
        <v>#REF!</v>
      </c>
      <c r="N32" s="9" t="e">
        <f t="shared" si="6"/>
        <v>#REF!</v>
      </c>
      <c r="O32" s="11"/>
    </row>
    <row r="33" spans="1:15" ht="15.75" customHeight="1" x14ac:dyDescent="0.25">
      <c r="A33" s="11"/>
      <c r="B33" s="52"/>
      <c r="C33" s="9">
        <v>23.92</v>
      </c>
      <c r="D33" s="9">
        <v>0.9</v>
      </c>
      <c r="E33" s="45" t="e">
        <f>IFERROR(
_xlfn.XLOOKUP(
B33,#REF!,#REF!
),
_xlfn.XLOOKUP(
A33,#REF!,#REF!
)
)</f>
        <v>#REF!</v>
      </c>
      <c r="F33" s="11" t="str">
        <f>IFERROR(
VLOOKUP(
B33,#REF!,
6,
FALSE
),
""
)</f>
        <v/>
      </c>
      <c r="G33" s="11"/>
      <c r="H33" s="9">
        <v>24</v>
      </c>
      <c r="I33" s="47" t="e">
        <f t="shared" si="5"/>
        <v>#REF!</v>
      </c>
      <c r="J33" s="10" t="e">
        <f t="shared" si="4"/>
        <v>#REF!</v>
      </c>
      <c r="K33" s="10"/>
      <c r="L33" s="9" t="e">
        <f t="shared" si="1"/>
        <v>#REF!</v>
      </c>
      <c r="M33" s="9" t="e">
        <f t="shared" si="2"/>
        <v>#REF!</v>
      </c>
      <c r="N33" s="9" t="e">
        <f t="shared" si="6"/>
        <v>#REF!</v>
      </c>
      <c r="O33" s="11"/>
    </row>
    <row r="34" spans="1:15" ht="15.75" customHeight="1" x14ac:dyDescent="0.25">
      <c r="A34" s="11"/>
      <c r="B34" s="52"/>
      <c r="C34" s="9">
        <v>23.92</v>
      </c>
      <c r="D34" s="9">
        <v>0.9</v>
      </c>
      <c r="E34" s="45" t="e">
        <f>IFERROR(
_xlfn.XLOOKUP(
B34,#REF!,#REF!
),
_xlfn.XLOOKUP(
A34,#REF!,#REF!
)
)</f>
        <v>#REF!</v>
      </c>
      <c r="F34" s="11" t="str">
        <f>IFERROR(
VLOOKUP(
B34,#REF!,
6,
FALSE
),
""
)</f>
        <v/>
      </c>
      <c r="G34" s="11"/>
      <c r="H34" s="9">
        <v>24</v>
      </c>
      <c r="I34" s="47" t="e">
        <f t="shared" si="5"/>
        <v>#REF!</v>
      </c>
      <c r="J34" s="10" t="e">
        <f t="shared" si="4"/>
        <v>#REF!</v>
      </c>
      <c r="K34" s="10"/>
      <c r="L34" s="9" t="e">
        <f t="shared" ref="L34:L67" si="7">J34 * F34 / 100</f>
        <v>#REF!</v>
      </c>
      <c r="M34" s="9" t="e">
        <f t="shared" ref="M34:M67" si="8">J34 - (J34 / (1 + H34/100))</f>
        <v>#REF!</v>
      </c>
      <c r="N34" s="9" t="e">
        <f t="shared" si="6"/>
        <v>#REF!</v>
      </c>
      <c r="O34" s="11"/>
    </row>
    <row r="35" spans="1:15" ht="15.75" customHeight="1" x14ac:dyDescent="0.25">
      <c r="A35" s="11"/>
      <c r="B35" s="52"/>
      <c r="C35" s="9">
        <v>23.92</v>
      </c>
      <c r="D35" s="9">
        <v>0.9</v>
      </c>
      <c r="E35" s="45" t="e">
        <f>IFERROR(
_xlfn.XLOOKUP(
B35,#REF!,#REF!
),
_xlfn.XLOOKUP(
A35,#REF!,#REF!
)
)</f>
        <v>#REF!</v>
      </c>
      <c r="F35" s="11" t="str">
        <f>IFERROR(
VLOOKUP(
B35,#REF!,
6,
FALSE
),
""
)</f>
        <v/>
      </c>
      <c r="G35" s="11"/>
      <c r="H35" s="9">
        <v>24</v>
      </c>
      <c r="I35" s="47" t="e">
        <f t="shared" si="5"/>
        <v>#REF!</v>
      </c>
      <c r="J35" s="10" t="e">
        <f t="shared" si="4"/>
        <v>#REF!</v>
      </c>
      <c r="K35" s="10"/>
      <c r="L35" s="9" t="e">
        <f t="shared" si="7"/>
        <v>#REF!</v>
      </c>
      <c r="M35" s="9" t="e">
        <f t="shared" si="8"/>
        <v>#REF!</v>
      </c>
      <c r="N35" s="9" t="e">
        <f t="shared" si="6"/>
        <v>#REF!</v>
      </c>
      <c r="O35" s="11"/>
    </row>
    <row r="36" spans="1:15" ht="15.75" customHeight="1" x14ac:dyDescent="0.25">
      <c r="A36" s="11"/>
      <c r="B36" s="52"/>
      <c r="C36" s="9">
        <v>23.92</v>
      </c>
      <c r="D36" s="9">
        <v>0.9</v>
      </c>
      <c r="E36" s="45" t="e">
        <f>IFERROR(
_xlfn.XLOOKUP(
B36,#REF!,#REF!
),
_xlfn.XLOOKUP(
A36,#REF!,#REF!
)
)</f>
        <v>#REF!</v>
      </c>
      <c r="F36" s="11" t="str">
        <f>IFERROR(
VLOOKUP(
B36,#REF!,
6,
FALSE
),
""
)</f>
        <v/>
      </c>
      <c r="G36" s="11"/>
      <c r="H36" s="9">
        <v>24</v>
      </c>
      <c r="I36" s="47" t="e">
        <f t="shared" si="5"/>
        <v>#REF!</v>
      </c>
      <c r="J36" s="10" t="e">
        <f t="shared" si="4"/>
        <v>#REF!</v>
      </c>
      <c r="K36" s="10"/>
      <c r="L36" s="9" t="e">
        <f t="shared" si="7"/>
        <v>#REF!</v>
      </c>
      <c r="M36" s="9" t="e">
        <f t="shared" si="8"/>
        <v>#REF!</v>
      </c>
      <c r="N36" s="9" t="e">
        <f t="shared" si="6"/>
        <v>#REF!</v>
      </c>
      <c r="O36" s="11"/>
    </row>
    <row r="37" spans="1:15" ht="15" x14ac:dyDescent="0.25">
      <c r="A37" s="11"/>
      <c r="B37" s="52"/>
      <c r="C37" s="9">
        <v>23.92</v>
      </c>
      <c r="D37" s="9">
        <v>0.9</v>
      </c>
      <c r="E37" s="45" t="e">
        <f>IFERROR(
_xlfn.XLOOKUP(
B37,#REF!,#REF!
),
_xlfn.XLOOKUP(
A37,#REF!,#REF!
)
)</f>
        <v>#REF!</v>
      </c>
      <c r="F37" s="11" t="str">
        <f>IFERROR(
VLOOKUP(
B37,#REF!,
6,
FALSE
),
""
)</f>
        <v/>
      </c>
      <c r="G37" s="11"/>
      <c r="H37" s="9">
        <v>24</v>
      </c>
      <c r="I37" s="47" t="e">
        <f t="shared" si="5"/>
        <v>#REF!</v>
      </c>
      <c r="J37" s="10" t="e">
        <f t="shared" si="4"/>
        <v>#REF!</v>
      </c>
      <c r="K37" s="10"/>
      <c r="L37" s="9" t="e">
        <f t="shared" si="7"/>
        <v>#REF!</v>
      </c>
      <c r="M37" s="9" t="e">
        <f t="shared" si="8"/>
        <v>#REF!</v>
      </c>
      <c r="N37" s="9" t="e">
        <f t="shared" si="6"/>
        <v>#REF!</v>
      </c>
      <c r="O37" s="11"/>
    </row>
    <row r="38" spans="1:15" ht="15" x14ac:dyDescent="0.25">
      <c r="A38" s="11"/>
      <c r="B38" s="52"/>
      <c r="C38" s="9">
        <v>23.92</v>
      </c>
      <c r="D38" s="9">
        <v>0.9</v>
      </c>
      <c r="E38" s="45" t="e">
        <f>IFERROR(
_xlfn.XLOOKUP(
B38,#REF!,#REF!
),
_xlfn.XLOOKUP(
A38,#REF!,#REF!
)
)</f>
        <v>#REF!</v>
      </c>
      <c r="F38" s="11" t="str">
        <f>IFERROR(
VLOOKUP(
B38,#REF!,
6,
FALSE
),
""
)</f>
        <v/>
      </c>
      <c r="G38" s="11"/>
      <c r="H38" s="9">
        <v>24</v>
      </c>
      <c r="I38" s="47" t="e">
        <f t="shared" si="5"/>
        <v>#REF!</v>
      </c>
      <c r="J38" s="10" t="e">
        <f t="shared" si="4"/>
        <v>#REF!</v>
      </c>
      <c r="K38" s="10"/>
      <c r="L38" s="9" t="e">
        <f t="shared" si="7"/>
        <v>#REF!</v>
      </c>
      <c r="M38" s="9" t="e">
        <f t="shared" si="8"/>
        <v>#REF!</v>
      </c>
      <c r="N38" s="9" t="e">
        <f t="shared" si="6"/>
        <v>#REF!</v>
      </c>
      <c r="O38" s="11"/>
    </row>
    <row r="39" spans="1:15" ht="15" x14ac:dyDescent="0.25">
      <c r="A39" s="11"/>
      <c r="B39" s="52"/>
      <c r="C39" s="9">
        <v>23.92</v>
      </c>
      <c r="D39" s="9">
        <v>0.9</v>
      </c>
      <c r="E39" s="45" t="e">
        <f>IFERROR(
_xlfn.XLOOKUP(
B39,#REF!,#REF!
),
_xlfn.XLOOKUP(
A39,#REF!,#REF!
)
)</f>
        <v>#REF!</v>
      </c>
      <c r="F39" s="11" t="str">
        <f>IFERROR(
VLOOKUP(
B39,#REF!,
6,
FALSE
),
""
)</f>
        <v/>
      </c>
      <c r="G39" s="11"/>
      <c r="H39" s="9">
        <v>24</v>
      </c>
      <c r="I39" s="47" t="e">
        <f t="shared" si="5"/>
        <v>#REF!</v>
      </c>
      <c r="J39" s="10" t="e">
        <f t="shared" si="4"/>
        <v>#REF!</v>
      </c>
      <c r="K39" s="10"/>
      <c r="L39" s="9" t="e">
        <f t="shared" si="7"/>
        <v>#REF!</v>
      </c>
      <c r="M39" s="9" t="e">
        <f t="shared" si="8"/>
        <v>#REF!</v>
      </c>
      <c r="N39" s="9" t="e">
        <f t="shared" si="6"/>
        <v>#REF!</v>
      </c>
      <c r="O39" s="11"/>
    </row>
    <row r="40" spans="1:15" ht="15" x14ac:dyDescent="0.25">
      <c r="A40" s="11"/>
      <c r="B40" s="52"/>
      <c r="C40" s="9">
        <v>23.92</v>
      </c>
      <c r="D40" s="9">
        <v>0.9</v>
      </c>
      <c r="E40" s="45" t="e">
        <f>IFERROR(
_xlfn.XLOOKUP(
B40,#REF!,#REF!
),
_xlfn.XLOOKUP(
A40,#REF!,#REF!
)
)</f>
        <v>#REF!</v>
      </c>
      <c r="F40" s="11" t="str">
        <f>IFERROR(
VLOOKUP(
B40,#REF!,
6,
FALSE
),
""
)</f>
        <v/>
      </c>
      <c r="G40" s="11"/>
      <c r="H40" s="9">
        <v>24</v>
      </c>
      <c r="I40" s="47" t="e">
        <f t="shared" si="5"/>
        <v>#REF!</v>
      </c>
      <c r="J40" s="10" t="e">
        <f t="shared" si="4"/>
        <v>#REF!</v>
      </c>
      <c r="K40" s="10"/>
      <c r="L40" s="9" t="e">
        <f t="shared" si="7"/>
        <v>#REF!</v>
      </c>
      <c r="M40" s="9" t="e">
        <f t="shared" si="8"/>
        <v>#REF!</v>
      </c>
      <c r="N40" s="9" t="e">
        <f t="shared" si="6"/>
        <v>#REF!</v>
      </c>
      <c r="O40" s="11"/>
    </row>
    <row r="41" spans="1:15" ht="15" x14ac:dyDescent="0.25">
      <c r="A41" s="11"/>
      <c r="B41" s="52"/>
      <c r="C41" s="9">
        <v>23.92</v>
      </c>
      <c r="D41" s="9">
        <v>0.9</v>
      </c>
      <c r="E41" s="45" t="e">
        <f>IFERROR(
_xlfn.XLOOKUP(
B41,#REF!,#REF!
),
_xlfn.XLOOKUP(
A41,#REF!,#REF!
)
)</f>
        <v>#REF!</v>
      </c>
      <c r="F41" s="11" t="str">
        <f>IFERROR(
VLOOKUP(
B41,#REF!,
6,
FALSE
),
""
)</f>
        <v/>
      </c>
      <c r="G41" s="11"/>
      <c r="H41" s="9">
        <v>24</v>
      </c>
      <c r="I41" s="47" t="e">
        <f t="shared" si="5"/>
        <v>#REF!</v>
      </c>
      <c r="J41" s="10" t="e">
        <f t="shared" si="4"/>
        <v>#REF!</v>
      </c>
      <c r="K41" s="10"/>
      <c r="L41" s="9" t="e">
        <f t="shared" si="7"/>
        <v>#REF!</v>
      </c>
      <c r="M41" s="9" t="e">
        <f t="shared" si="8"/>
        <v>#REF!</v>
      </c>
      <c r="N41" s="9" t="e">
        <f t="shared" si="6"/>
        <v>#REF!</v>
      </c>
      <c r="O41" s="11"/>
    </row>
    <row r="42" spans="1:15" ht="15" x14ac:dyDescent="0.25">
      <c r="A42" s="11"/>
      <c r="B42" s="52"/>
      <c r="C42" s="9">
        <v>23.92</v>
      </c>
      <c r="D42" s="9">
        <v>0.9</v>
      </c>
      <c r="E42" s="45" t="e">
        <f>IFERROR(
_xlfn.XLOOKUP(
B42,#REF!,#REF!
),
_xlfn.XLOOKUP(
A42,#REF!,#REF!
)
)</f>
        <v>#REF!</v>
      </c>
      <c r="F42" s="11" t="str">
        <f>IFERROR(
VLOOKUP(
B42,#REF!,
6,
FALSE
),
""
)</f>
        <v/>
      </c>
      <c r="G42" s="11"/>
      <c r="H42" s="9">
        <v>24</v>
      </c>
      <c r="I42" s="47" t="e">
        <f t="shared" si="5"/>
        <v>#REF!</v>
      </c>
      <c r="J42" s="10" t="e">
        <f t="shared" si="4"/>
        <v>#REF!</v>
      </c>
      <c r="K42" s="10"/>
      <c r="L42" s="9" t="e">
        <f t="shared" si="7"/>
        <v>#REF!</v>
      </c>
      <c r="M42" s="9" t="e">
        <f t="shared" si="8"/>
        <v>#REF!</v>
      </c>
      <c r="N42" s="9" t="e">
        <f t="shared" si="6"/>
        <v>#REF!</v>
      </c>
      <c r="O42" s="11"/>
    </row>
    <row r="43" spans="1:15" ht="15" x14ac:dyDescent="0.25">
      <c r="A43" s="11"/>
      <c r="B43" s="52"/>
      <c r="C43" s="9">
        <v>23.92</v>
      </c>
      <c r="D43" s="9">
        <v>0.9</v>
      </c>
      <c r="E43" s="45" t="e">
        <f>IFERROR(
_xlfn.XLOOKUP(
B43,#REF!,#REF!
),
_xlfn.XLOOKUP(
A43,#REF!,#REF!
)
)</f>
        <v>#REF!</v>
      </c>
      <c r="F43" s="11" t="str">
        <f>IFERROR(
VLOOKUP(
B43,#REF!,
6,
FALSE
),
""
)</f>
        <v/>
      </c>
      <c r="G43" s="11"/>
      <c r="H43" s="9">
        <v>24</v>
      </c>
      <c r="I43" s="47" t="e">
        <f t="shared" si="5"/>
        <v>#REF!</v>
      </c>
      <c r="J43" s="10" t="e">
        <f t="shared" si="4"/>
        <v>#REF!</v>
      </c>
      <c r="K43" s="10"/>
      <c r="L43" s="9" t="e">
        <f t="shared" si="7"/>
        <v>#REF!</v>
      </c>
      <c r="M43" s="9" t="e">
        <f t="shared" si="8"/>
        <v>#REF!</v>
      </c>
      <c r="N43" s="9" t="e">
        <f t="shared" si="6"/>
        <v>#REF!</v>
      </c>
      <c r="O43" s="11"/>
    </row>
    <row r="44" spans="1:15" ht="15" x14ac:dyDescent="0.25">
      <c r="A44" s="11"/>
      <c r="B44" s="52"/>
      <c r="C44" s="9">
        <v>23.92</v>
      </c>
      <c r="D44" s="9">
        <v>0.9</v>
      </c>
      <c r="E44" s="45" t="e">
        <f>IFERROR(
_xlfn.XLOOKUP(
B44,#REF!,#REF!
),
_xlfn.XLOOKUP(
A44,#REF!,#REF!
)
)</f>
        <v>#REF!</v>
      </c>
      <c r="F44" s="11" t="str">
        <f>IFERROR(
VLOOKUP(
B44,#REF!,
6,
FALSE
),
""
)</f>
        <v/>
      </c>
      <c r="G44" s="11"/>
      <c r="H44" s="9">
        <v>24</v>
      </c>
      <c r="I44" s="47" t="e">
        <f t="shared" si="5"/>
        <v>#REF!</v>
      </c>
      <c r="J44" s="10" t="e">
        <f t="shared" si="4"/>
        <v>#REF!</v>
      </c>
      <c r="K44" s="10"/>
      <c r="L44" s="9" t="e">
        <f t="shared" si="7"/>
        <v>#REF!</v>
      </c>
      <c r="M44" s="9" t="e">
        <f t="shared" si="8"/>
        <v>#REF!</v>
      </c>
      <c r="N44" s="9" t="e">
        <f t="shared" si="6"/>
        <v>#REF!</v>
      </c>
      <c r="O44" s="11"/>
    </row>
    <row r="45" spans="1:15" ht="15" x14ac:dyDescent="0.25">
      <c r="A45" s="11"/>
      <c r="B45" s="52"/>
      <c r="C45" s="9">
        <v>23.92</v>
      </c>
      <c r="D45" s="9">
        <v>0.9</v>
      </c>
      <c r="E45" s="45" t="e">
        <f>IFERROR(
_xlfn.XLOOKUP(
B45,#REF!,#REF!
),
_xlfn.XLOOKUP(
A45,#REF!,#REF!
)
)</f>
        <v>#REF!</v>
      </c>
      <c r="F45" s="11" t="str">
        <f>IFERROR(
VLOOKUP(
B45,#REF!,
6,
FALSE
),
""
)</f>
        <v/>
      </c>
      <c r="G45" s="11"/>
      <c r="H45" s="9">
        <v>24</v>
      </c>
      <c r="I45" s="47" t="e">
        <f t="shared" si="5"/>
        <v>#REF!</v>
      </c>
      <c r="J45" s="10" t="e">
        <f t="shared" si="4"/>
        <v>#REF!</v>
      </c>
      <c r="K45" s="10"/>
      <c r="L45" s="9" t="e">
        <f t="shared" si="7"/>
        <v>#REF!</v>
      </c>
      <c r="M45" s="9" t="e">
        <f t="shared" si="8"/>
        <v>#REF!</v>
      </c>
      <c r="N45" s="9" t="e">
        <f t="shared" si="6"/>
        <v>#REF!</v>
      </c>
      <c r="O45" s="11"/>
    </row>
    <row r="46" spans="1:15" ht="15" x14ac:dyDescent="0.25">
      <c r="A46" s="11"/>
      <c r="B46" s="52"/>
      <c r="C46" s="9">
        <v>23.92</v>
      </c>
      <c r="D46" s="9">
        <v>0.9</v>
      </c>
      <c r="E46" s="45" t="e">
        <f>IFERROR(
_xlfn.XLOOKUP(
B46,#REF!,#REF!
),
_xlfn.XLOOKUP(
A46,#REF!,#REF!
)
)</f>
        <v>#REF!</v>
      </c>
      <c r="F46" s="11" t="str">
        <f>IFERROR(
VLOOKUP(
B46,#REF!,
6,
FALSE
),
""
)</f>
        <v/>
      </c>
      <c r="G46" s="11"/>
      <c r="H46" s="9">
        <v>24</v>
      </c>
      <c r="I46" s="47" t="e">
        <f t="shared" si="5"/>
        <v>#REF!</v>
      </c>
      <c r="J46" s="10" t="e">
        <f t="shared" si="4"/>
        <v>#REF!</v>
      </c>
      <c r="K46" s="10"/>
      <c r="L46" s="9" t="e">
        <f t="shared" si="7"/>
        <v>#REF!</v>
      </c>
      <c r="M46" s="9" t="e">
        <f t="shared" si="8"/>
        <v>#REF!</v>
      </c>
      <c r="N46" s="9" t="e">
        <f t="shared" si="6"/>
        <v>#REF!</v>
      </c>
      <c r="O46" s="11"/>
    </row>
    <row r="47" spans="1:15" ht="15" x14ac:dyDescent="0.25">
      <c r="A47" s="11"/>
      <c r="B47" s="52"/>
      <c r="C47" s="9">
        <v>23.92</v>
      </c>
      <c r="D47" s="9">
        <v>0.9</v>
      </c>
      <c r="E47" s="45" t="e">
        <f>IFERROR(
_xlfn.XLOOKUP(
B47,#REF!,#REF!
),
_xlfn.XLOOKUP(
A47,#REF!,#REF!
)
)</f>
        <v>#REF!</v>
      </c>
      <c r="F47" s="11" t="str">
        <f>IFERROR(
VLOOKUP(
B47,#REF!,
6,
FALSE
),
""
)</f>
        <v/>
      </c>
      <c r="G47" s="11"/>
      <c r="H47" s="9">
        <v>24</v>
      </c>
      <c r="I47" s="47" t="e">
        <f t="shared" si="5"/>
        <v>#REF!</v>
      </c>
      <c r="J47" s="10" t="e">
        <f t="shared" si="4"/>
        <v>#REF!</v>
      </c>
      <c r="K47" s="10"/>
      <c r="L47" s="9" t="e">
        <f t="shared" si="7"/>
        <v>#REF!</v>
      </c>
      <c r="M47" s="9" t="e">
        <f t="shared" si="8"/>
        <v>#REF!</v>
      </c>
      <c r="N47" s="9" t="e">
        <f t="shared" si="6"/>
        <v>#REF!</v>
      </c>
      <c r="O47" s="11"/>
    </row>
    <row r="48" spans="1:15" ht="15" x14ac:dyDescent="0.25">
      <c r="A48" s="11"/>
      <c r="B48" s="52"/>
      <c r="C48" s="9">
        <v>23.92</v>
      </c>
      <c r="D48" s="9">
        <v>0.9</v>
      </c>
      <c r="E48" s="45" t="e">
        <f>IFERROR(
_xlfn.XLOOKUP(
B48,#REF!,#REF!
),
_xlfn.XLOOKUP(
A48,#REF!,#REF!
)
)</f>
        <v>#REF!</v>
      </c>
      <c r="F48" s="11" t="str">
        <f>IFERROR(
VLOOKUP(
B48,#REF!,
6,
FALSE
),
""
)</f>
        <v/>
      </c>
      <c r="G48" s="11"/>
      <c r="H48" s="9">
        <v>24</v>
      </c>
      <c r="I48" s="47" t="e">
        <f t="shared" si="5"/>
        <v>#REF!</v>
      </c>
      <c r="J48" s="10" t="e">
        <f t="shared" si="4"/>
        <v>#REF!</v>
      </c>
      <c r="K48" s="10"/>
      <c r="L48" s="9" t="e">
        <f t="shared" si="7"/>
        <v>#REF!</v>
      </c>
      <c r="M48" s="9" t="e">
        <f t="shared" si="8"/>
        <v>#REF!</v>
      </c>
      <c r="N48" s="9" t="e">
        <f t="shared" si="6"/>
        <v>#REF!</v>
      </c>
      <c r="O48" s="11"/>
    </row>
    <row r="49" spans="1:15" ht="15" x14ac:dyDescent="0.25">
      <c r="A49" s="11"/>
      <c r="B49" s="52"/>
      <c r="C49" s="9">
        <v>23.92</v>
      </c>
      <c r="D49" s="9">
        <v>0.9</v>
      </c>
      <c r="E49" s="45" t="e">
        <f>IFERROR(
_xlfn.XLOOKUP(
B49,#REF!,#REF!
),
_xlfn.XLOOKUP(
A49,#REF!,#REF!
)
)</f>
        <v>#REF!</v>
      </c>
      <c r="F49" s="11" t="str">
        <f>IFERROR(
VLOOKUP(
B49,#REF!,
6,
FALSE
),
""
)</f>
        <v/>
      </c>
      <c r="G49" s="11"/>
      <c r="H49" s="9">
        <v>24</v>
      </c>
      <c r="I49" s="47" t="e">
        <f t="shared" si="5"/>
        <v>#REF!</v>
      </c>
      <c r="J49" s="10" t="e">
        <f t="shared" si="4"/>
        <v>#REF!</v>
      </c>
      <c r="K49" s="10"/>
      <c r="L49" s="9" t="e">
        <f t="shared" si="7"/>
        <v>#REF!</v>
      </c>
      <c r="M49" s="9" t="e">
        <f t="shared" si="8"/>
        <v>#REF!</v>
      </c>
      <c r="N49" s="9" t="e">
        <f t="shared" si="6"/>
        <v>#REF!</v>
      </c>
      <c r="O49" s="11"/>
    </row>
    <row r="50" spans="1:15" ht="15" x14ac:dyDescent="0.25">
      <c r="A50" s="11"/>
      <c r="B50" s="52"/>
      <c r="C50" s="9">
        <v>23.92</v>
      </c>
      <c r="D50" s="9">
        <v>0.9</v>
      </c>
      <c r="E50" s="45" t="e">
        <f>IFERROR(
_xlfn.XLOOKUP(
B50,#REF!,#REF!
),
_xlfn.XLOOKUP(
A50,#REF!,#REF!
)
)</f>
        <v>#REF!</v>
      </c>
      <c r="F50" s="11" t="str">
        <f>IFERROR(
VLOOKUP(
B50,#REF!,
6,
FALSE
),
""
)</f>
        <v/>
      </c>
      <c r="G50" s="11"/>
      <c r="H50" s="9">
        <v>24</v>
      </c>
      <c r="I50" s="47" t="e">
        <f t="shared" si="5"/>
        <v>#REF!</v>
      </c>
      <c r="J50" s="10" t="e">
        <f t="shared" si="4"/>
        <v>#REF!</v>
      </c>
      <c r="K50" s="10"/>
      <c r="L50" s="9" t="e">
        <f t="shared" si="7"/>
        <v>#REF!</v>
      </c>
      <c r="M50" s="9" t="e">
        <f t="shared" si="8"/>
        <v>#REF!</v>
      </c>
      <c r="N50" s="9" t="e">
        <f t="shared" si="6"/>
        <v>#REF!</v>
      </c>
      <c r="O50" s="11"/>
    </row>
    <row r="51" spans="1:15" ht="15" x14ac:dyDescent="0.25">
      <c r="B51" s="50"/>
      <c r="C51" s="11">
        <v>23.92</v>
      </c>
      <c r="D51" s="11">
        <v>0.9</v>
      </c>
      <c r="E51" s="45">
        <v>0.7</v>
      </c>
      <c r="F51" s="11">
        <v>8.1999999999999993</v>
      </c>
      <c r="G51" s="11"/>
      <c r="H51" s="11">
        <v>24</v>
      </c>
      <c r="I51" s="46">
        <f t="shared" si="0"/>
        <v>25.52</v>
      </c>
      <c r="J51" s="10">
        <f t="shared" ref="J51:J65" si="9">I51 / (1 - F51/100 - (1 - 1/(1 + H51/100)))</f>
        <v>35.226645293436633</v>
      </c>
      <c r="K51" s="10"/>
      <c r="L51" s="11">
        <f t="shared" si="7"/>
        <v>2.8885849140618034</v>
      </c>
      <c r="M51" s="11">
        <f t="shared" si="8"/>
        <v>6.8180603793748311</v>
      </c>
      <c r="N51" s="11">
        <f t="shared" ref="N51:N67" si="10">J51 - L51 - M51</f>
        <v>25.52</v>
      </c>
    </row>
    <row r="52" spans="1:15" ht="15" x14ac:dyDescent="0.25">
      <c r="B52" s="50"/>
      <c r="C52" s="11">
        <v>23.92</v>
      </c>
      <c r="D52" s="11">
        <v>0.9</v>
      </c>
      <c r="E52" s="45">
        <v>0.7</v>
      </c>
      <c r="F52" s="11">
        <v>8.1999999999999993</v>
      </c>
      <c r="G52" s="11"/>
      <c r="H52" s="11">
        <v>24</v>
      </c>
      <c r="I52" s="46">
        <f t="shared" si="0"/>
        <v>25.52</v>
      </c>
      <c r="J52" s="10">
        <f t="shared" si="9"/>
        <v>35.226645293436633</v>
      </c>
      <c r="K52" s="10"/>
      <c r="L52" s="11">
        <f t="shared" si="7"/>
        <v>2.8885849140618034</v>
      </c>
      <c r="M52" s="11">
        <f t="shared" si="8"/>
        <v>6.8180603793748311</v>
      </c>
      <c r="N52" s="11">
        <f t="shared" si="10"/>
        <v>25.52</v>
      </c>
    </row>
    <row r="53" spans="1:15" ht="15" x14ac:dyDescent="0.25">
      <c r="B53" s="50"/>
      <c r="C53" s="11">
        <v>23.92</v>
      </c>
      <c r="D53" s="11">
        <v>0.9</v>
      </c>
      <c r="E53" s="45">
        <v>0.7</v>
      </c>
      <c r="F53" s="11">
        <v>8.1999999999999993</v>
      </c>
      <c r="G53" s="11"/>
      <c r="H53" s="11">
        <v>24</v>
      </c>
      <c r="I53" s="46">
        <f t="shared" si="0"/>
        <v>25.52</v>
      </c>
      <c r="J53" s="10">
        <f t="shared" si="9"/>
        <v>35.226645293436633</v>
      </c>
      <c r="K53" s="10"/>
      <c r="L53" s="11">
        <f t="shared" si="7"/>
        <v>2.8885849140618034</v>
      </c>
      <c r="M53" s="11">
        <f t="shared" si="8"/>
        <v>6.8180603793748311</v>
      </c>
      <c r="N53" s="11">
        <f t="shared" si="10"/>
        <v>25.52</v>
      </c>
    </row>
    <row r="54" spans="1:15" ht="15" x14ac:dyDescent="0.25">
      <c r="B54" s="50"/>
      <c r="C54" s="11">
        <v>23.92</v>
      </c>
      <c r="D54" s="11">
        <v>0.9</v>
      </c>
      <c r="E54" s="45">
        <v>0.7</v>
      </c>
      <c r="F54" s="11">
        <v>8.1999999999999993</v>
      </c>
      <c r="G54" s="11"/>
      <c r="H54" s="11">
        <v>24</v>
      </c>
      <c r="I54" s="46">
        <f t="shared" si="0"/>
        <v>25.52</v>
      </c>
      <c r="J54" s="10">
        <f t="shared" si="9"/>
        <v>35.226645293436633</v>
      </c>
      <c r="K54" s="10"/>
      <c r="L54" s="11">
        <f t="shared" si="7"/>
        <v>2.8885849140618034</v>
      </c>
      <c r="M54" s="11">
        <f t="shared" si="8"/>
        <v>6.8180603793748311</v>
      </c>
      <c r="N54" s="11">
        <f t="shared" si="10"/>
        <v>25.52</v>
      </c>
    </row>
    <row r="55" spans="1:15" ht="15" x14ac:dyDescent="0.25">
      <c r="B55" s="50"/>
      <c r="C55" s="11">
        <v>23.92</v>
      </c>
      <c r="D55" s="11">
        <v>0.9</v>
      </c>
      <c r="E55" s="45">
        <v>0.7</v>
      </c>
      <c r="F55" s="11">
        <v>8.1999999999999993</v>
      </c>
      <c r="G55" s="11"/>
      <c r="H55" s="11">
        <v>24</v>
      </c>
      <c r="I55" s="46">
        <f t="shared" si="0"/>
        <v>25.52</v>
      </c>
      <c r="J55" s="10">
        <f t="shared" si="9"/>
        <v>35.226645293436633</v>
      </c>
      <c r="K55" s="10"/>
      <c r="L55" s="11">
        <f t="shared" si="7"/>
        <v>2.8885849140618034</v>
      </c>
      <c r="M55" s="11">
        <f t="shared" si="8"/>
        <v>6.8180603793748311</v>
      </c>
      <c r="N55" s="11">
        <f t="shared" si="10"/>
        <v>25.52</v>
      </c>
    </row>
    <row r="56" spans="1:15" ht="15" x14ac:dyDescent="0.25">
      <c r="B56" s="50"/>
      <c r="C56" s="11">
        <v>23.92</v>
      </c>
      <c r="D56" s="11">
        <v>0.9</v>
      </c>
      <c r="E56" s="45">
        <v>0.7</v>
      </c>
      <c r="F56" s="11">
        <v>8.1999999999999993</v>
      </c>
      <c r="G56" s="11"/>
      <c r="H56" s="11">
        <v>24</v>
      </c>
      <c r="I56" s="46">
        <f t="shared" si="0"/>
        <v>25.52</v>
      </c>
      <c r="J56" s="10">
        <f t="shared" si="9"/>
        <v>35.226645293436633</v>
      </c>
      <c r="K56" s="10"/>
      <c r="L56" s="11">
        <f t="shared" si="7"/>
        <v>2.8885849140618034</v>
      </c>
      <c r="M56" s="11">
        <f t="shared" si="8"/>
        <v>6.8180603793748311</v>
      </c>
      <c r="N56" s="11">
        <f t="shared" si="10"/>
        <v>25.52</v>
      </c>
    </row>
    <row r="57" spans="1:15" ht="15" x14ac:dyDescent="0.25">
      <c r="B57" s="50"/>
      <c r="C57" s="11">
        <v>23.92</v>
      </c>
      <c r="D57" s="11">
        <v>0.9</v>
      </c>
      <c r="E57" s="45">
        <v>0.7</v>
      </c>
      <c r="F57" s="11">
        <v>8.1999999999999993</v>
      </c>
      <c r="G57" s="11"/>
      <c r="H57" s="11">
        <v>24</v>
      </c>
      <c r="I57" s="46">
        <f t="shared" si="0"/>
        <v>25.52</v>
      </c>
      <c r="J57" s="10">
        <f t="shared" si="9"/>
        <v>35.226645293436633</v>
      </c>
      <c r="K57" s="10"/>
      <c r="L57" s="11">
        <f t="shared" si="7"/>
        <v>2.8885849140618034</v>
      </c>
      <c r="M57" s="11">
        <f t="shared" si="8"/>
        <v>6.8180603793748311</v>
      </c>
      <c r="N57" s="11">
        <f t="shared" si="10"/>
        <v>25.52</v>
      </c>
    </row>
    <row r="58" spans="1:15" ht="15" x14ac:dyDescent="0.25">
      <c r="B58" s="50"/>
      <c r="C58" s="11">
        <v>23.92</v>
      </c>
      <c r="D58" s="11">
        <v>0.9</v>
      </c>
      <c r="E58" s="45">
        <v>0.7</v>
      </c>
      <c r="F58" s="11">
        <v>8.1999999999999993</v>
      </c>
      <c r="G58" s="11"/>
      <c r="H58" s="11">
        <v>24</v>
      </c>
      <c r="I58" s="46">
        <f t="shared" si="0"/>
        <v>25.52</v>
      </c>
      <c r="J58" s="10">
        <f t="shared" si="9"/>
        <v>35.226645293436633</v>
      </c>
      <c r="K58" s="10"/>
      <c r="L58" s="11">
        <f t="shared" si="7"/>
        <v>2.8885849140618034</v>
      </c>
      <c r="M58" s="11">
        <f t="shared" si="8"/>
        <v>6.8180603793748311</v>
      </c>
      <c r="N58" s="11">
        <f t="shared" si="10"/>
        <v>25.52</v>
      </c>
    </row>
    <row r="59" spans="1:15" ht="15" x14ac:dyDescent="0.25">
      <c r="B59" s="50"/>
      <c r="C59" s="11">
        <v>23.92</v>
      </c>
      <c r="D59" s="11">
        <v>0.9</v>
      </c>
      <c r="E59" s="45">
        <v>0.7</v>
      </c>
      <c r="F59" s="11">
        <v>8.1999999999999993</v>
      </c>
      <c r="G59" s="11"/>
      <c r="H59" s="11">
        <v>24</v>
      </c>
      <c r="I59" s="46">
        <f t="shared" si="0"/>
        <v>25.52</v>
      </c>
      <c r="J59" s="10">
        <f t="shared" si="9"/>
        <v>35.226645293436633</v>
      </c>
      <c r="K59" s="10"/>
      <c r="L59" s="11">
        <f t="shared" si="7"/>
        <v>2.8885849140618034</v>
      </c>
      <c r="M59" s="11">
        <f t="shared" si="8"/>
        <v>6.8180603793748311</v>
      </c>
      <c r="N59" s="11">
        <f t="shared" si="10"/>
        <v>25.52</v>
      </c>
    </row>
    <row r="60" spans="1:15" ht="15" x14ac:dyDescent="0.25">
      <c r="B60" s="50"/>
      <c r="C60" s="11">
        <v>23.92</v>
      </c>
      <c r="D60" s="11">
        <v>0.9</v>
      </c>
      <c r="E60" s="45">
        <v>0.7</v>
      </c>
      <c r="F60" s="11">
        <v>8.1999999999999993</v>
      </c>
      <c r="G60" s="11"/>
      <c r="H60" s="11">
        <v>24</v>
      </c>
      <c r="I60" s="46">
        <f t="shared" si="0"/>
        <v>25.52</v>
      </c>
      <c r="J60" s="10">
        <f t="shared" si="9"/>
        <v>35.226645293436633</v>
      </c>
      <c r="K60" s="10"/>
      <c r="L60" s="11">
        <f t="shared" si="7"/>
        <v>2.8885849140618034</v>
      </c>
      <c r="M60" s="11">
        <f t="shared" si="8"/>
        <v>6.8180603793748311</v>
      </c>
      <c r="N60" s="11">
        <f t="shared" si="10"/>
        <v>25.52</v>
      </c>
    </row>
    <row r="61" spans="1:15" ht="15" x14ac:dyDescent="0.25">
      <c r="B61" s="50"/>
      <c r="C61" s="11">
        <v>23.92</v>
      </c>
      <c r="D61" s="11">
        <v>0.9</v>
      </c>
      <c r="E61" s="45">
        <v>0.7</v>
      </c>
      <c r="F61" s="11">
        <v>8.1999999999999993</v>
      </c>
      <c r="G61" s="11"/>
      <c r="H61" s="11">
        <v>24</v>
      </c>
      <c r="I61" s="46">
        <f t="shared" si="0"/>
        <v>25.52</v>
      </c>
      <c r="J61" s="10">
        <f t="shared" si="9"/>
        <v>35.226645293436633</v>
      </c>
      <c r="K61" s="10"/>
      <c r="L61" s="11">
        <f t="shared" si="7"/>
        <v>2.8885849140618034</v>
      </c>
      <c r="M61" s="11">
        <f t="shared" si="8"/>
        <v>6.8180603793748311</v>
      </c>
      <c r="N61" s="11">
        <f t="shared" si="10"/>
        <v>25.52</v>
      </c>
    </row>
    <row r="62" spans="1:15" ht="15" x14ac:dyDescent="0.25">
      <c r="B62" s="50"/>
      <c r="C62" s="11">
        <v>23.92</v>
      </c>
      <c r="D62" s="11">
        <v>0.9</v>
      </c>
      <c r="E62" s="45">
        <v>0.7</v>
      </c>
      <c r="F62" s="11">
        <v>8.1999999999999993</v>
      </c>
      <c r="G62" s="11"/>
      <c r="H62" s="11">
        <v>24</v>
      </c>
      <c r="I62" s="46">
        <f t="shared" si="0"/>
        <v>25.52</v>
      </c>
      <c r="J62" s="10">
        <f t="shared" si="9"/>
        <v>35.226645293436633</v>
      </c>
      <c r="K62" s="10"/>
      <c r="L62" s="11">
        <f t="shared" si="7"/>
        <v>2.8885849140618034</v>
      </c>
      <c r="M62" s="11">
        <f t="shared" si="8"/>
        <v>6.8180603793748311</v>
      </c>
      <c r="N62" s="11">
        <f t="shared" si="10"/>
        <v>25.52</v>
      </c>
    </row>
    <row r="63" spans="1:15" ht="15" x14ac:dyDescent="0.25">
      <c r="B63" s="50"/>
      <c r="C63" s="11">
        <v>23.92</v>
      </c>
      <c r="D63" s="11">
        <v>0.9</v>
      </c>
      <c r="E63" s="45">
        <v>0.7</v>
      </c>
      <c r="F63" s="11">
        <v>8.1999999999999993</v>
      </c>
      <c r="G63" s="11"/>
      <c r="H63" s="11">
        <v>24</v>
      </c>
      <c r="I63" s="46">
        <f t="shared" si="0"/>
        <v>25.52</v>
      </c>
      <c r="J63" s="10">
        <f t="shared" si="9"/>
        <v>35.226645293436633</v>
      </c>
      <c r="K63" s="10"/>
      <c r="L63" s="11">
        <f t="shared" si="7"/>
        <v>2.8885849140618034</v>
      </c>
      <c r="M63" s="11">
        <f t="shared" si="8"/>
        <v>6.8180603793748311</v>
      </c>
      <c r="N63" s="11">
        <f t="shared" si="10"/>
        <v>25.52</v>
      </c>
    </row>
    <row r="64" spans="1:15" ht="15" x14ac:dyDescent="0.25">
      <c r="B64" s="50"/>
      <c r="C64" s="11">
        <v>23.92</v>
      </c>
      <c r="D64" s="11">
        <v>0.9</v>
      </c>
      <c r="E64" s="45">
        <v>0.7</v>
      </c>
      <c r="F64" s="11">
        <v>8.1999999999999993</v>
      </c>
      <c r="G64" s="11"/>
      <c r="H64" s="11">
        <v>24</v>
      </c>
      <c r="I64" s="46">
        <f t="shared" si="0"/>
        <v>25.52</v>
      </c>
      <c r="J64" s="10">
        <f t="shared" si="9"/>
        <v>35.226645293436633</v>
      </c>
      <c r="K64" s="10"/>
      <c r="L64" s="11">
        <f t="shared" si="7"/>
        <v>2.8885849140618034</v>
      </c>
      <c r="M64" s="11">
        <f t="shared" si="8"/>
        <v>6.8180603793748311</v>
      </c>
      <c r="N64" s="11">
        <f t="shared" si="10"/>
        <v>25.52</v>
      </c>
    </row>
    <row r="65" spans="2:14" ht="15" x14ac:dyDescent="0.25">
      <c r="B65" s="50"/>
      <c r="C65" s="11">
        <v>23.92</v>
      </c>
      <c r="D65" s="11">
        <v>0.9</v>
      </c>
      <c r="E65" s="45">
        <v>0.7</v>
      </c>
      <c r="F65" s="11">
        <v>8.1999999999999993</v>
      </c>
      <c r="G65" s="11"/>
      <c r="H65" s="11">
        <v>24</v>
      </c>
      <c r="I65" s="46">
        <f t="shared" si="0"/>
        <v>25.52</v>
      </c>
      <c r="J65" s="10">
        <f t="shared" si="9"/>
        <v>35.226645293436633</v>
      </c>
      <c r="K65" s="10"/>
      <c r="L65" s="11">
        <f t="shared" si="7"/>
        <v>2.8885849140618034</v>
      </c>
      <c r="M65" s="11">
        <f t="shared" si="8"/>
        <v>6.8180603793748311</v>
      </c>
      <c r="N65" s="11">
        <f t="shared" si="10"/>
        <v>25.52</v>
      </c>
    </row>
    <row r="66" spans="2:14" ht="15" x14ac:dyDescent="0.25">
      <c r="B66" s="50"/>
      <c r="C66" s="11">
        <v>23.92</v>
      </c>
      <c r="D66" s="11">
        <v>0.9</v>
      </c>
      <c r="E66" s="45">
        <v>0.7</v>
      </c>
      <c r="F66" s="11">
        <v>8.1999999999999993</v>
      </c>
      <c r="G66" s="11"/>
      <c r="H66" s="11">
        <v>24</v>
      </c>
      <c r="I66" s="46">
        <f t="shared" si="0"/>
        <v>25.52</v>
      </c>
      <c r="J66" s="10">
        <f t="shared" ref="J66:J67" si="11">I66 / (1 - F66/100 - (1 - 1/(1 + H66/100)))</f>
        <v>35.226645293436633</v>
      </c>
      <c r="K66" s="10"/>
      <c r="L66" s="11">
        <f t="shared" si="7"/>
        <v>2.8885849140618034</v>
      </c>
      <c r="M66" s="11">
        <f t="shared" si="8"/>
        <v>6.8180603793748311</v>
      </c>
      <c r="N66" s="11">
        <f t="shared" si="10"/>
        <v>25.52</v>
      </c>
    </row>
    <row r="67" spans="2:14" ht="15" x14ac:dyDescent="0.25">
      <c r="B67" s="50"/>
      <c r="C67" s="11">
        <v>23.92</v>
      </c>
      <c r="D67" s="11">
        <v>0.9</v>
      </c>
      <c r="E67" s="45">
        <v>0.7</v>
      </c>
      <c r="F67" s="11">
        <v>8.1999999999999993</v>
      </c>
      <c r="G67" s="11"/>
      <c r="H67" s="11">
        <v>24</v>
      </c>
      <c r="I67" s="46">
        <f t="shared" si="0"/>
        <v>25.52</v>
      </c>
      <c r="J67" s="10">
        <f t="shared" si="11"/>
        <v>35.226645293436633</v>
      </c>
      <c r="K67" s="10"/>
      <c r="L67" s="11">
        <f t="shared" si="7"/>
        <v>2.8885849140618034</v>
      </c>
      <c r="M67" s="11">
        <f t="shared" si="8"/>
        <v>6.8180603793748311</v>
      </c>
      <c r="N67" s="11">
        <f t="shared" si="10"/>
        <v>25.52</v>
      </c>
    </row>
    <row r="68" spans="2:14" ht="12.75" x14ac:dyDescent="0.2">
      <c r="B68" s="50"/>
      <c r="E68" s="45"/>
      <c r="J68" s="48"/>
      <c r="K68" s="48"/>
    </row>
    <row r="69" spans="2:14" ht="12.75" x14ac:dyDescent="0.2">
      <c r="B69" s="50"/>
      <c r="E69" s="45"/>
      <c r="J69" s="48"/>
      <c r="K69" s="48"/>
    </row>
    <row r="70" spans="2:14" ht="12.75" x14ac:dyDescent="0.2">
      <c r="B70" s="50"/>
      <c r="E70" s="45"/>
      <c r="J70" s="48"/>
      <c r="K70" s="48"/>
    </row>
    <row r="71" spans="2:14" ht="12.75" x14ac:dyDescent="0.2">
      <c r="B71" s="50"/>
      <c r="E71" s="45"/>
      <c r="J71" s="48"/>
      <c r="K71" s="48"/>
    </row>
    <row r="72" spans="2:14" ht="12.75" x14ac:dyDescent="0.2">
      <c r="B72" s="50"/>
      <c r="E72" s="45"/>
      <c r="J72" s="48"/>
      <c r="K72" s="48"/>
    </row>
    <row r="73" spans="2:14" ht="12.75" x14ac:dyDescent="0.2">
      <c r="B73" s="50"/>
      <c r="E73" s="45"/>
      <c r="J73" s="48"/>
      <c r="K73" s="48"/>
    </row>
    <row r="74" spans="2:14" ht="12.75" x14ac:dyDescent="0.2">
      <c r="B74" s="50"/>
      <c r="E74" s="45"/>
      <c r="J74" s="48"/>
      <c r="K74" s="48"/>
    </row>
    <row r="75" spans="2:14" ht="12.75" x14ac:dyDescent="0.2">
      <c r="B75" s="50"/>
      <c r="E75" s="45"/>
      <c r="J75" s="48"/>
      <c r="K75" s="48"/>
    </row>
    <row r="76" spans="2:14" ht="12.75" x14ac:dyDescent="0.2">
      <c r="B76" s="50"/>
      <c r="E76" s="45"/>
      <c r="J76" s="48"/>
      <c r="K76" s="48"/>
    </row>
    <row r="77" spans="2:14" ht="12.75" x14ac:dyDescent="0.2">
      <c r="B77" s="50"/>
      <c r="E77" s="45"/>
      <c r="J77" s="48"/>
      <c r="K77" s="48"/>
    </row>
    <row r="78" spans="2:14" ht="12.75" x14ac:dyDescent="0.2">
      <c r="B78" s="50"/>
      <c r="E78" s="45"/>
      <c r="J78" s="48"/>
      <c r="K78" s="48"/>
    </row>
    <row r="79" spans="2:14" ht="12.75" x14ac:dyDescent="0.2">
      <c r="B79" s="50"/>
      <c r="E79" s="45"/>
      <c r="J79" s="48"/>
      <c r="K79" s="48"/>
    </row>
    <row r="80" spans="2:14" ht="12.75" x14ac:dyDescent="0.2">
      <c r="B80" s="50"/>
      <c r="E80" s="45"/>
      <c r="J80" s="48"/>
      <c r="K80" s="48"/>
    </row>
    <row r="81" spans="2:11" ht="12.75" x14ac:dyDescent="0.2">
      <c r="B81" s="50"/>
      <c r="E81" s="45"/>
      <c r="J81" s="48"/>
      <c r="K81" s="48"/>
    </row>
    <row r="82" spans="2:11" ht="12.75" x14ac:dyDescent="0.2">
      <c r="B82" s="50"/>
      <c r="E82" s="45"/>
      <c r="J82" s="48"/>
      <c r="K82" s="48"/>
    </row>
    <row r="83" spans="2:11" ht="12.75" x14ac:dyDescent="0.2">
      <c r="B83" s="50"/>
      <c r="E83" s="45"/>
      <c r="J83" s="48"/>
      <c r="K83" s="48"/>
    </row>
    <row r="84" spans="2:11" ht="12.75" x14ac:dyDescent="0.2">
      <c r="B84" s="50"/>
      <c r="E84" s="45"/>
      <c r="J84" s="48"/>
      <c r="K84" s="48"/>
    </row>
    <row r="85" spans="2:11" ht="12.75" x14ac:dyDescent="0.2">
      <c r="B85" s="50"/>
      <c r="E85" s="45"/>
      <c r="J85" s="48"/>
      <c r="K85" s="48"/>
    </row>
    <row r="86" spans="2:11" ht="12.75" x14ac:dyDescent="0.2">
      <c r="B86" s="50"/>
      <c r="E86" s="45"/>
      <c r="J86" s="48"/>
      <c r="K86" s="48"/>
    </row>
    <row r="87" spans="2:11" ht="12.75" x14ac:dyDescent="0.2">
      <c r="B87" s="50"/>
      <c r="E87" s="45"/>
      <c r="J87" s="48"/>
      <c r="K87" s="48"/>
    </row>
    <row r="88" spans="2:11" ht="12.75" x14ac:dyDescent="0.2">
      <c r="B88" s="50"/>
      <c r="E88" s="45"/>
      <c r="J88" s="48"/>
      <c r="K88" s="48"/>
    </row>
    <row r="89" spans="2:11" ht="12.75" x14ac:dyDescent="0.2">
      <c r="B89" s="50"/>
      <c r="E89" s="45"/>
      <c r="J89" s="48"/>
      <c r="K89" s="48"/>
    </row>
    <row r="90" spans="2:11" ht="12.75" x14ac:dyDescent="0.2">
      <c r="B90" s="50"/>
      <c r="E90" s="45"/>
      <c r="J90" s="48"/>
      <c r="K90" s="48"/>
    </row>
    <row r="91" spans="2:11" ht="12.75" x14ac:dyDescent="0.2">
      <c r="B91" s="50"/>
      <c r="E91" s="45"/>
      <c r="J91" s="48"/>
      <c r="K91" s="48"/>
    </row>
    <row r="92" spans="2:11" ht="12.75" x14ac:dyDescent="0.2">
      <c r="B92" s="50"/>
      <c r="E92" s="45"/>
      <c r="J92" s="48"/>
      <c r="K92" s="48"/>
    </row>
    <row r="93" spans="2:11" ht="12.75" x14ac:dyDescent="0.2">
      <c r="B93" s="50"/>
      <c r="E93" s="45"/>
      <c r="J93" s="48"/>
      <c r="K93" s="48"/>
    </row>
    <row r="94" spans="2:11" ht="12.75" x14ac:dyDescent="0.2">
      <c r="B94" s="50"/>
      <c r="E94" s="45"/>
      <c r="J94" s="48"/>
      <c r="K94" s="48"/>
    </row>
    <row r="95" spans="2:11" ht="12.75" x14ac:dyDescent="0.2">
      <c r="B95" s="50"/>
      <c r="E95" s="45"/>
      <c r="J95" s="48"/>
      <c r="K95" s="48"/>
    </row>
    <row r="96" spans="2:11" ht="12.75" x14ac:dyDescent="0.2">
      <c r="B96" s="50"/>
      <c r="E96" s="45"/>
      <c r="J96" s="48"/>
      <c r="K96" s="48"/>
    </row>
    <row r="97" spans="2:11" ht="12.75" x14ac:dyDescent="0.2">
      <c r="B97" s="50"/>
      <c r="E97" s="45"/>
      <c r="J97" s="48"/>
      <c r="K97" s="48"/>
    </row>
    <row r="98" spans="2:11" ht="12.75" x14ac:dyDescent="0.2">
      <c r="B98" s="50"/>
      <c r="E98" s="45"/>
      <c r="J98" s="48"/>
      <c r="K98" s="48"/>
    </row>
    <row r="99" spans="2:11" ht="12.75" x14ac:dyDescent="0.2">
      <c r="B99" s="50"/>
      <c r="E99" s="45"/>
      <c r="J99" s="48"/>
      <c r="K99" s="48"/>
    </row>
    <row r="100" spans="2:11" ht="12.75" x14ac:dyDescent="0.2">
      <c r="B100" s="50"/>
      <c r="E100" s="45"/>
      <c r="J100" s="48"/>
      <c r="K100" s="48"/>
    </row>
    <row r="101" spans="2:11" ht="12.75" x14ac:dyDescent="0.2">
      <c r="B101" s="50"/>
      <c r="E101" s="45"/>
      <c r="J101" s="48"/>
      <c r="K101" s="48"/>
    </row>
    <row r="102" spans="2:11" ht="12.75" x14ac:dyDescent="0.2">
      <c r="B102" s="50"/>
      <c r="E102" s="45"/>
      <c r="J102" s="48"/>
      <c r="K102" s="48"/>
    </row>
    <row r="103" spans="2:11" ht="12.75" x14ac:dyDescent="0.2">
      <c r="B103" s="50"/>
      <c r="E103" s="45"/>
      <c r="J103" s="48"/>
      <c r="K103" s="48"/>
    </row>
    <row r="104" spans="2:11" ht="12.75" x14ac:dyDescent="0.2">
      <c r="B104" s="50"/>
      <c r="E104" s="45"/>
      <c r="J104" s="48"/>
      <c r="K104" s="48"/>
    </row>
    <row r="105" spans="2:11" ht="12.75" x14ac:dyDescent="0.2">
      <c r="B105" s="50"/>
      <c r="E105" s="45"/>
      <c r="J105" s="48"/>
      <c r="K105" s="48"/>
    </row>
    <row r="106" spans="2:11" ht="12.75" x14ac:dyDescent="0.2">
      <c r="B106" s="50"/>
      <c r="E106" s="45"/>
      <c r="J106" s="48"/>
      <c r="K106" s="48"/>
    </row>
    <row r="107" spans="2:11" ht="12.75" x14ac:dyDescent="0.2">
      <c r="B107" s="50"/>
      <c r="E107" s="45"/>
      <c r="J107" s="48"/>
      <c r="K107" s="48"/>
    </row>
    <row r="108" spans="2:11" ht="12.75" x14ac:dyDescent="0.2">
      <c r="B108" s="50"/>
      <c r="E108" s="45"/>
      <c r="J108" s="48"/>
      <c r="K108" s="48"/>
    </row>
    <row r="109" spans="2:11" ht="12.75" x14ac:dyDescent="0.2">
      <c r="B109" s="50"/>
      <c r="E109" s="45"/>
      <c r="J109" s="48"/>
      <c r="K109" s="48"/>
    </row>
    <row r="110" spans="2:11" ht="12.75" x14ac:dyDescent="0.2">
      <c r="B110" s="50"/>
      <c r="E110" s="45"/>
      <c r="J110" s="48"/>
      <c r="K110" s="48"/>
    </row>
    <row r="111" spans="2:11" ht="12.75" x14ac:dyDescent="0.2">
      <c r="B111" s="50"/>
      <c r="E111" s="45"/>
      <c r="J111" s="48"/>
      <c r="K111" s="48"/>
    </row>
    <row r="112" spans="2:11" ht="12.75" x14ac:dyDescent="0.2">
      <c r="B112" s="50"/>
      <c r="E112" s="45"/>
      <c r="J112" s="48"/>
      <c r="K112" s="48"/>
    </row>
    <row r="113" spans="2:11" ht="12.75" x14ac:dyDescent="0.2">
      <c r="B113" s="50"/>
      <c r="E113" s="45"/>
      <c r="J113" s="48"/>
      <c r="K113" s="48"/>
    </row>
    <row r="114" spans="2:11" ht="12.75" x14ac:dyDescent="0.2">
      <c r="B114" s="50"/>
      <c r="E114" s="45"/>
      <c r="J114" s="48"/>
      <c r="K114" s="48"/>
    </row>
    <row r="115" spans="2:11" ht="12.75" x14ac:dyDescent="0.2">
      <c r="B115" s="50"/>
      <c r="E115" s="45"/>
      <c r="J115" s="48"/>
      <c r="K115" s="48"/>
    </row>
    <row r="116" spans="2:11" ht="12.75" x14ac:dyDescent="0.2">
      <c r="B116" s="50"/>
      <c r="E116" s="45"/>
      <c r="J116" s="48"/>
      <c r="K116" s="48"/>
    </row>
    <row r="117" spans="2:11" ht="12.75" x14ac:dyDescent="0.2">
      <c r="B117" s="50"/>
      <c r="E117" s="45"/>
      <c r="J117" s="48"/>
      <c r="K117" s="48"/>
    </row>
    <row r="118" spans="2:11" ht="12.75" x14ac:dyDescent="0.2">
      <c r="B118" s="50"/>
      <c r="E118" s="45"/>
      <c r="J118" s="48"/>
      <c r="K118" s="48"/>
    </row>
    <row r="119" spans="2:11" ht="12.75" x14ac:dyDescent="0.2">
      <c r="B119" s="50"/>
      <c r="E119" s="45"/>
      <c r="J119" s="48"/>
      <c r="K119" s="48"/>
    </row>
    <row r="120" spans="2:11" ht="12.75" x14ac:dyDescent="0.2">
      <c r="B120" s="50"/>
      <c r="E120" s="45"/>
      <c r="J120" s="48"/>
      <c r="K120" s="48"/>
    </row>
    <row r="121" spans="2:11" ht="12.75" x14ac:dyDescent="0.2">
      <c r="B121" s="50"/>
      <c r="E121" s="45"/>
      <c r="J121" s="48"/>
      <c r="K121" s="48"/>
    </row>
    <row r="122" spans="2:11" ht="12.75" x14ac:dyDescent="0.2">
      <c r="B122" s="50"/>
      <c r="E122" s="45"/>
      <c r="J122" s="48"/>
      <c r="K122" s="48"/>
    </row>
    <row r="123" spans="2:11" ht="12.75" x14ac:dyDescent="0.2">
      <c r="B123" s="50"/>
      <c r="E123" s="45"/>
      <c r="J123" s="48"/>
      <c r="K123" s="48"/>
    </row>
    <row r="124" spans="2:11" ht="12.75" x14ac:dyDescent="0.2">
      <c r="B124" s="50"/>
      <c r="E124" s="45"/>
      <c r="J124" s="48"/>
      <c r="K124" s="48"/>
    </row>
    <row r="125" spans="2:11" ht="12.75" x14ac:dyDescent="0.2">
      <c r="B125" s="50"/>
      <c r="E125" s="45"/>
      <c r="J125" s="48"/>
      <c r="K125" s="48"/>
    </row>
    <row r="126" spans="2:11" ht="12.75" x14ac:dyDescent="0.2">
      <c r="B126" s="50"/>
      <c r="E126" s="45"/>
      <c r="J126" s="48"/>
      <c r="K126" s="48"/>
    </row>
    <row r="127" spans="2:11" ht="12.75" x14ac:dyDescent="0.2">
      <c r="B127" s="50"/>
      <c r="E127" s="45"/>
      <c r="J127" s="48"/>
      <c r="K127" s="48"/>
    </row>
    <row r="128" spans="2:11" ht="12.75" x14ac:dyDescent="0.2">
      <c r="B128" s="50"/>
      <c r="E128" s="45"/>
      <c r="J128" s="48"/>
      <c r="K128" s="48"/>
    </row>
    <row r="129" spans="2:11" ht="12.75" x14ac:dyDescent="0.2">
      <c r="B129" s="50"/>
      <c r="E129" s="45"/>
      <c r="J129" s="48"/>
      <c r="K129" s="48"/>
    </row>
    <row r="130" spans="2:11" ht="12.75" x14ac:dyDescent="0.2">
      <c r="B130" s="50"/>
      <c r="E130" s="45"/>
      <c r="J130" s="48"/>
      <c r="K130" s="48"/>
    </row>
    <row r="131" spans="2:11" ht="12.75" x14ac:dyDescent="0.2">
      <c r="B131" s="50"/>
      <c r="E131" s="45"/>
      <c r="J131" s="48"/>
      <c r="K131" s="48"/>
    </row>
    <row r="132" spans="2:11" ht="12.75" x14ac:dyDescent="0.2">
      <c r="B132" s="50"/>
      <c r="E132" s="45"/>
      <c r="J132" s="48"/>
      <c r="K132" s="48"/>
    </row>
    <row r="133" spans="2:11" ht="12.75" x14ac:dyDescent="0.2">
      <c r="B133" s="50"/>
      <c r="E133" s="45"/>
      <c r="J133" s="48"/>
      <c r="K133" s="48"/>
    </row>
    <row r="134" spans="2:11" ht="12.75" x14ac:dyDescent="0.2">
      <c r="B134" s="50"/>
      <c r="E134" s="45"/>
      <c r="J134" s="48"/>
      <c r="K134" s="48"/>
    </row>
    <row r="135" spans="2:11" ht="12.75" x14ac:dyDescent="0.2">
      <c r="B135" s="50"/>
      <c r="E135" s="45"/>
      <c r="J135" s="48"/>
      <c r="K135" s="48"/>
    </row>
    <row r="136" spans="2:11" ht="12.75" x14ac:dyDescent="0.2">
      <c r="B136" s="50"/>
      <c r="E136" s="45"/>
      <c r="J136" s="48"/>
      <c r="K136" s="48"/>
    </row>
    <row r="137" spans="2:11" ht="12.75" x14ac:dyDescent="0.2">
      <c r="B137" s="50"/>
      <c r="E137" s="45"/>
      <c r="J137" s="48"/>
      <c r="K137" s="48"/>
    </row>
    <row r="138" spans="2:11" ht="12.75" x14ac:dyDescent="0.2">
      <c r="B138" s="50"/>
      <c r="E138" s="45"/>
      <c r="J138" s="48"/>
      <c r="K138" s="48"/>
    </row>
    <row r="139" spans="2:11" ht="12.75" x14ac:dyDescent="0.2">
      <c r="B139" s="50"/>
      <c r="E139" s="45"/>
      <c r="J139" s="48"/>
      <c r="K139" s="48"/>
    </row>
    <row r="140" spans="2:11" ht="12.75" x14ac:dyDescent="0.2">
      <c r="B140" s="50"/>
      <c r="E140" s="45"/>
      <c r="J140" s="48"/>
      <c r="K140" s="48"/>
    </row>
    <row r="141" spans="2:11" ht="12.75" x14ac:dyDescent="0.2">
      <c r="B141" s="50"/>
      <c r="E141" s="45"/>
      <c r="J141" s="48"/>
      <c r="K141" s="48"/>
    </row>
    <row r="142" spans="2:11" ht="12.75" x14ac:dyDescent="0.2">
      <c r="B142" s="50"/>
      <c r="E142" s="45"/>
      <c r="J142" s="48"/>
      <c r="K142" s="48"/>
    </row>
    <row r="143" spans="2:11" ht="12.75" x14ac:dyDescent="0.2">
      <c r="B143" s="50"/>
      <c r="E143" s="45"/>
      <c r="J143" s="48"/>
      <c r="K143" s="48"/>
    </row>
    <row r="144" spans="2:11" ht="12.75" x14ac:dyDescent="0.2">
      <c r="B144" s="50"/>
      <c r="E144" s="45"/>
      <c r="J144" s="48"/>
      <c r="K144" s="48"/>
    </row>
    <row r="145" spans="2:11" ht="12.75" x14ac:dyDescent="0.2">
      <c r="B145" s="50"/>
      <c r="E145" s="45"/>
      <c r="J145" s="48"/>
      <c r="K145" s="48"/>
    </row>
    <row r="146" spans="2:11" ht="12.75" x14ac:dyDescent="0.2">
      <c r="B146" s="50"/>
      <c r="E146" s="45"/>
      <c r="J146" s="48"/>
      <c r="K146" s="48"/>
    </row>
    <row r="147" spans="2:11" ht="12.75" x14ac:dyDescent="0.2">
      <c r="B147" s="50"/>
      <c r="E147" s="45"/>
      <c r="J147" s="48"/>
      <c r="K147" s="48"/>
    </row>
    <row r="148" spans="2:11" ht="12.75" x14ac:dyDescent="0.2">
      <c r="B148" s="50"/>
      <c r="E148" s="45"/>
      <c r="J148" s="48"/>
      <c r="K148" s="48"/>
    </row>
    <row r="149" spans="2:11" ht="12.75" x14ac:dyDescent="0.2">
      <c r="B149" s="50"/>
      <c r="E149" s="45"/>
      <c r="J149" s="48"/>
      <c r="K149" s="48"/>
    </row>
    <row r="150" spans="2:11" ht="12.75" x14ac:dyDescent="0.2">
      <c r="B150" s="50"/>
      <c r="E150" s="45"/>
      <c r="J150" s="48"/>
      <c r="K150" s="48"/>
    </row>
    <row r="151" spans="2:11" ht="12.75" x14ac:dyDescent="0.2">
      <c r="B151" s="50"/>
      <c r="E151" s="45"/>
      <c r="J151" s="48"/>
      <c r="K151" s="48"/>
    </row>
    <row r="152" spans="2:11" ht="12.75" x14ac:dyDescent="0.2">
      <c r="B152" s="50"/>
      <c r="E152" s="45"/>
      <c r="J152" s="48"/>
      <c r="K152" s="48"/>
    </row>
    <row r="153" spans="2:11" ht="12.75" x14ac:dyDescent="0.2">
      <c r="B153" s="50"/>
      <c r="E153" s="45"/>
      <c r="J153" s="48"/>
      <c r="K153" s="48"/>
    </row>
    <row r="154" spans="2:11" ht="12.75" x14ac:dyDescent="0.2">
      <c r="B154" s="50"/>
      <c r="E154" s="45"/>
      <c r="J154" s="48"/>
      <c r="K154" s="48"/>
    </row>
    <row r="155" spans="2:11" ht="12.75" x14ac:dyDescent="0.2">
      <c r="B155" s="50"/>
      <c r="E155" s="45"/>
      <c r="J155" s="48"/>
      <c r="K155" s="48"/>
    </row>
    <row r="156" spans="2:11" ht="12.75" x14ac:dyDescent="0.2">
      <c r="B156" s="50"/>
      <c r="E156" s="45"/>
      <c r="J156" s="48"/>
      <c r="K156" s="48"/>
    </row>
    <row r="157" spans="2:11" ht="12.75" x14ac:dyDescent="0.2">
      <c r="B157" s="50"/>
      <c r="E157" s="45"/>
      <c r="J157" s="48"/>
      <c r="K157" s="48"/>
    </row>
    <row r="158" spans="2:11" ht="12.75" x14ac:dyDescent="0.2">
      <c r="B158" s="50"/>
      <c r="E158" s="45"/>
      <c r="J158" s="48"/>
      <c r="K158" s="48"/>
    </row>
    <row r="159" spans="2:11" ht="12.75" x14ac:dyDescent="0.2">
      <c r="B159" s="50"/>
      <c r="E159" s="45"/>
      <c r="J159" s="48"/>
      <c r="K159" s="48"/>
    </row>
    <row r="160" spans="2:11" ht="12.75" x14ac:dyDescent="0.2">
      <c r="B160" s="50"/>
      <c r="E160" s="45"/>
      <c r="J160" s="48"/>
      <c r="K160" s="48"/>
    </row>
    <row r="161" spans="2:11" ht="12.75" x14ac:dyDescent="0.2">
      <c r="B161" s="50"/>
      <c r="E161" s="45"/>
      <c r="J161" s="48"/>
      <c r="K161" s="48"/>
    </row>
    <row r="162" spans="2:11" ht="12.75" x14ac:dyDescent="0.2">
      <c r="B162" s="50"/>
      <c r="E162" s="45"/>
      <c r="J162" s="48"/>
      <c r="K162" s="48"/>
    </row>
    <row r="163" spans="2:11" ht="12.75" x14ac:dyDescent="0.2">
      <c r="B163" s="50"/>
      <c r="E163" s="45"/>
      <c r="J163" s="48"/>
      <c r="K163" s="48"/>
    </row>
    <row r="164" spans="2:11" ht="12.75" x14ac:dyDescent="0.2">
      <c r="B164" s="50"/>
      <c r="E164" s="45"/>
      <c r="J164" s="48"/>
      <c r="K164" s="48"/>
    </row>
    <row r="165" spans="2:11" ht="12.75" x14ac:dyDescent="0.2">
      <c r="B165" s="50"/>
      <c r="E165" s="45"/>
      <c r="J165" s="48"/>
      <c r="K165" s="48"/>
    </row>
    <row r="166" spans="2:11" ht="12.75" x14ac:dyDescent="0.2">
      <c r="B166" s="50"/>
      <c r="E166" s="45"/>
      <c r="J166" s="48"/>
      <c r="K166" s="48"/>
    </row>
    <row r="167" spans="2:11" ht="12.75" x14ac:dyDescent="0.2">
      <c r="B167" s="50"/>
      <c r="E167" s="45"/>
      <c r="J167" s="48"/>
      <c r="K167" s="48"/>
    </row>
    <row r="168" spans="2:11" ht="12.75" x14ac:dyDescent="0.2">
      <c r="B168" s="50"/>
      <c r="E168" s="45"/>
      <c r="J168" s="48"/>
      <c r="K168" s="48"/>
    </row>
    <row r="169" spans="2:11" ht="12.75" x14ac:dyDescent="0.2">
      <c r="B169" s="50"/>
      <c r="E169" s="45"/>
      <c r="J169" s="48"/>
      <c r="K169" s="48"/>
    </row>
    <row r="170" spans="2:11" ht="12.75" x14ac:dyDescent="0.2">
      <c r="B170" s="50"/>
      <c r="E170" s="45"/>
      <c r="J170" s="48"/>
      <c r="K170" s="48"/>
    </row>
    <row r="171" spans="2:11" ht="12.75" x14ac:dyDescent="0.2">
      <c r="B171" s="50"/>
      <c r="E171" s="45"/>
      <c r="J171" s="48"/>
      <c r="K171" s="48"/>
    </row>
    <row r="172" spans="2:11" ht="12.75" x14ac:dyDescent="0.2">
      <c r="B172" s="50"/>
      <c r="E172" s="45"/>
      <c r="J172" s="48"/>
      <c r="K172" s="48"/>
    </row>
    <row r="173" spans="2:11" ht="12.75" x14ac:dyDescent="0.2">
      <c r="B173" s="50"/>
      <c r="E173" s="45"/>
      <c r="J173" s="48"/>
      <c r="K173" s="48"/>
    </row>
    <row r="174" spans="2:11" ht="12.75" x14ac:dyDescent="0.2">
      <c r="B174" s="50"/>
      <c r="E174" s="45"/>
      <c r="J174" s="48"/>
      <c r="K174" s="48"/>
    </row>
    <row r="175" spans="2:11" ht="12.75" x14ac:dyDescent="0.2">
      <c r="B175" s="50"/>
      <c r="E175" s="45"/>
      <c r="J175" s="48"/>
      <c r="K175" s="48"/>
    </row>
    <row r="176" spans="2:11" ht="12.75" x14ac:dyDescent="0.2">
      <c r="B176" s="50"/>
      <c r="E176" s="45"/>
      <c r="J176" s="48"/>
      <c r="K176" s="48"/>
    </row>
    <row r="177" spans="2:11" ht="12.75" x14ac:dyDescent="0.2">
      <c r="B177" s="50"/>
      <c r="E177" s="45"/>
      <c r="J177" s="48"/>
      <c r="K177" s="48"/>
    </row>
    <row r="178" spans="2:11" ht="12.75" x14ac:dyDescent="0.2">
      <c r="B178" s="50"/>
      <c r="E178" s="45"/>
      <c r="J178" s="48"/>
      <c r="K178" s="48"/>
    </row>
    <row r="179" spans="2:11" ht="12.75" x14ac:dyDescent="0.2">
      <c r="B179" s="50"/>
      <c r="E179" s="45"/>
      <c r="J179" s="48"/>
      <c r="K179" s="48"/>
    </row>
    <row r="180" spans="2:11" ht="12.75" x14ac:dyDescent="0.2">
      <c r="B180" s="50"/>
      <c r="E180" s="45"/>
      <c r="J180" s="48"/>
      <c r="K180" s="48"/>
    </row>
    <row r="181" spans="2:11" ht="12.75" x14ac:dyDescent="0.2">
      <c r="B181" s="50"/>
      <c r="E181" s="45"/>
      <c r="J181" s="48"/>
      <c r="K181" s="48"/>
    </row>
    <row r="182" spans="2:11" ht="12.75" x14ac:dyDescent="0.2">
      <c r="B182" s="50"/>
      <c r="E182" s="45"/>
      <c r="J182" s="48"/>
      <c r="K182" s="48"/>
    </row>
    <row r="183" spans="2:11" ht="12.75" x14ac:dyDescent="0.2">
      <c r="B183" s="50"/>
      <c r="E183" s="45"/>
      <c r="J183" s="48"/>
      <c r="K183" s="48"/>
    </row>
    <row r="184" spans="2:11" ht="12.75" x14ac:dyDescent="0.2">
      <c r="B184" s="50"/>
      <c r="E184" s="45"/>
      <c r="J184" s="48"/>
      <c r="K184" s="48"/>
    </row>
    <row r="185" spans="2:11" ht="12.75" x14ac:dyDescent="0.2">
      <c r="B185" s="50"/>
      <c r="E185" s="45"/>
      <c r="J185" s="48"/>
      <c r="K185" s="48"/>
    </row>
    <row r="186" spans="2:11" ht="12.75" x14ac:dyDescent="0.2">
      <c r="B186" s="50"/>
      <c r="E186" s="45"/>
      <c r="J186" s="48"/>
      <c r="K186" s="48"/>
    </row>
    <row r="187" spans="2:11" ht="12.75" x14ac:dyDescent="0.2">
      <c r="B187" s="50"/>
      <c r="E187" s="45"/>
      <c r="J187" s="48"/>
      <c r="K187" s="48"/>
    </row>
    <row r="188" spans="2:11" ht="12.75" x14ac:dyDescent="0.2">
      <c r="B188" s="50"/>
      <c r="E188" s="45"/>
      <c r="J188" s="48"/>
      <c r="K188" s="48"/>
    </row>
    <row r="189" spans="2:11" ht="12.75" x14ac:dyDescent="0.2">
      <c r="B189" s="50"/>
      <c r="E189" s="45"/>
      <c r="J189" s="48"/>
      <c r="K189" s="48"/>
    </row>
    <row r="190" spans="2:11" ht="12.75" x14ac:dyDescent="0.2">
      <c r="B190" s="50"/>
      <c r="E190" s="45"/>
      <c r="J190" s="48"/>
      <c r="K190" s="48"/>
    </row>
    <row r="191" spans="2:11" ht="12.75" x14ac:dyDescent="0.2">
      <c r="B191" s="50"/>
      <c r="E191" s="45"/>
      <c r="J191" s="48"/>
      <c r="K191" s="48"/>
    </row>
    <row r="192" spans="2:11" ht="12.75" x14ac:dyDescent="0.2">
      <c r="B192" s="50"/>
      <c r="E192" s="45"/>
      <c r="J192" s="48"/>
      <c r="K192" s="48"/>
    </row>
    <row r="193" spans="2:11" ht="12.75" x14ac:dyDescent="0.2">
      <c r="B193" s="50"/>
      <c r="E193" s="45"/>
      <c r="J193" s="48"/>
      <c r="K193" s="48"/>
    </row>
    <row r="194" spans="2:11" ht="12.75" x14ac:dyDescent="0.2">
      <c r="B194" s="50"/>
      <c r="E194" s="45"/>
      <c r="J194" s="48"/>
      <c r="K194" s="48"/>
    </row>
    <row r="195" spans="2:11" ht="12.75" x14ac:dyDescent="0.2">
      <c r="B195" s="50"/>
      <c r="E195" s="45"/>
      <c r="J195" s="48"/>
      <c r="K195" s="48"/>
    </row>
    <row r="196" spans="2:11" ht="12.75" x14ac:dyDescent="0.2">
      <c r="B196" s="50"/>
      <c r="E196" s="45"/>
      <c r="J196" s="48"/>
      <c r="K196" s="48"/>
    </row>
    <row r="197" spans="2:11" ht="12.75" x14ac:dyDescent="0.2">
      <c r="B197" s="50"/>
      <c r="E197" s="45"/>
      <c r="J197" s="48"/>
      <c r="K197" s="48"/>
    </row>
    <row r="198" spans="2:11" ht="12.75" x14ac:dyDescent="0.2">
      <c r="B198" s="50"/>
      <c r="E198" s="45"/>
      <c r="J198" s="48"/>
      <c r="K198" s="48"/>
    </row>
    <row r="199" spans="2:11" ht="12.75" x14ac:dyDescent="0.2">
      <c r="B199" s="50"/>
      <c r="E199" s="45"/>
      <c r="J199" s="48"/>
      <c r="K199" s="48"/>
    </row>
    <row r="200" spans="2:11" ht="12.75" x14ac:dyDescent="0.2">
      <c r="B200" s="50"/>
      <c r="E200" s="45"/>
      <c r="J200" s="48"/>
      <c r="K200" s="48"/>
    </row>
    <row r="201" spans="2:11" ht="12.75" x14ac:dyDescent="0.2">
      <c r="B201" s="50"/>
      <c r="E201" s="45"/>
      <c r="J201" s="48"/>
      <c r="K201" s="48"/>
    </row>
    <row r="202" spans="2:11" ht="12.75" x14ac:dyDescent="0.2">
      <c r="B202" s="50"/>
      <c r="E202" s="45"/>
      <c r="J202" s="48"/>
      <c r="K202" s="48"/>
    </row>
    <row r="203" spans="2:11" ht="12.75" x14ac:dyDescent="0.2">
      <c r="B203" s="50"/>
      <c r="E203" s="45"/>
      <c r="J203" s="48"/>
      <c r="K203" s="48"/>
    </row>
    <row r="204" spans="2:11" ht="12.75" x14ac:dyDescent="0.2">
      <c r="B204" s="50"/>
      <c r="E204" s="45"/>
      <c r="J204" s="48"/>
      <c r="K204" s="48"/>
    </row>
    <row r="205" spans="2:11" ht="12.75" x14ac:dyDescent="0.2">
      <c r="B205" s="50"/>
      <c r="E205" s="45"/>
      <c r="J205" s="48"/>
      <c r="K205" s="48"/>
    </row>
    <row r="206" spans="2:11" ht="12.75" x14ac:dyDescent="0.2">
      <c r="B206" s="50"/>
      <c r="E206" s="45"/>
      <c r="J206" s="48"/>
      <c r="K206" s="48"/>
    </row>
    <row r="207" spans="2:11" ht="12.75" x14ac:dyDescent="0.2">
      <c r="B207" s="50"/>
      <c r="E207" s="45"/>
      <c r="J207" s="48"/>
      <c r="K207" s="48"/>
    </row>
    <row r="208" spans="2:11" ht="12.75" x14ac:dyDescent="0.2">
      <c r="B208" s="50"/>
      <c r="E208" s="45"/>
      <c r="J208" s="48"/>
      <c r="K208" s="48"/>
    </row>
    <row r="209" spans="2:11" ht="12.75" x14ac:dyDescent="0.2">
      <c r="B209" s="50"/>
      <c r="E209" s="45"/>
      <c r="J209" s="48"/>
      <c r="K209" s="48"/>
    </row>
    <row r="210" spans="2:11" ht="12.75" x14ac:dyDescent="0.2">
      <c r="B210" s="50"/>
      <c r="E210" s="45"/>
      <c r="J210" s="48"/>
      <c r="K210" s="48"/>
    </row>
    <row r="211" spans="2:11" ht="12.75" x14ac:dyDescent="0.2">
      <c r="B211" s="50"/>
      <c r="E211" s="45"/>
      <c r="J211" s="48"/>
      <c r="K211" s="48"/>
    </row>
    <row r="212" spans="2:11" ht="12.75" x14ac:dyDescent="0.2">
      <c r="B212" s="50"/>
      <c r="E212" s="45"/>
      <c r="J212" s="48"/>
      <c r="K212" s="48"/>
    </row>
    <row r="213" spans="2:11" ht="12.75" x14ac:dyDescent="0.2">
      <c r="B213" s="50"/>
      <c r="E213" s="45"/>
      <c r="J213" s="48"/>
      <c r="K213" s="48"/>
    </row>
    <row r="214" spans="2:11" ht="12.75" x14ac:dyDescent="0.2">
      <c r="B214" s="50"/>
      <c r="E214" s="45"/>
      <c r="J214" s="48"/>
      <c r="K214" s="48"/>
    </row>
    <row r="215" spans="2:11" ht="12.75" x14ac:dyDescent="0.2">
      <c r="B215" s="50"/>
      <c r="E215" s="45"/>
      <c r="J215" s="48"/>
      <c r="K215" s="48"/>
    </row>
    <row r="216" spans="2:11" ht="12.75" x14ac:dyDescent="0.2">
      <c r="B216" s="50"/>
      <c r="E216" s="45"/>
      <c r="J216" s="48"/>
      <c r="K216" s="48"/>
    </row>
    <row r="217" spans="2:11" ht="12.75" x14ac:dyDescent="0.2">
      <c r="B217" s="50"/>
      <c r="E217" s="45"/>
      <c r="J217" s="48"/>
      <c r="K217" s="48"/>
    </row>
    <row r="218" spans="2:11" ht="12.75" x14ac:dyDescent="0.2">
      <c r="B218" s="50"/>
      <c r="E218" s="45"/>
      <c r="J218" s="48"/>
      <c r="K218" s="48"/>
    </row>
    <row r="219" spans="2:11" ht="12.75" x14ac:dyDescent="0.2">
      <c r="B219" s="50"/>
      <c r="E219" s="45"/>
      <c r="J219" s="48"/>
      <c r="K219" s="48"/>
    </row>
    <row r="220" spans="2:11" ht="12.75" x14ac:dyDescent="0.2">
      <c r="B220" s="50"/>
      <c r="E220" s="45"/>
      <c r="J220" s="48"/>
      <c r="K220" s="48"/>
    </row>
    <row r="221" spans="2:11" ht="12.75" x14ac:dyDescent="0.2">
      <c r="B221" s="50"/>
      <c r="E221" s="45"/>
      <c r="J221" s="48"/>
      <c r="K221" s="48"/>
    </row>
    <row r="222" spans="2:11" ht="12.75" x14ac:dyDescent="0.2">
      <c r="B222" s="50"/>
      <c r="E222" s="45"/>
      <c r="J222" s="48"/>
      <c r="K222" s="48"/>
    </row>
    <row r="223" spans="2:11" ht="12.75" x14ac:dyDescent="0.2">
      <c r="B223" s="50"/>
      <c r="E223" s="45"/>
      <c r="J223" s="48"/>
      <c r="K223" s="48"/>
    </row>
    <row r="224" spans="2:11" ht="12.75" x14ac:dyDescent="0.2">
      <c r="B224" s="50"/>
      <c r="E224" s="45"/>
      <c r="J224" s="48"/>
      <c r="K224" s="48"/>
    </row>
    <row r="225" spans="2:11" ht="12.75" x14ac:dyDescent="0.2">
      <c r="B225" s="50"/>
      <c r="E225" s="45"/>
      <c r="J225" s="48"/>
      <c r="K225" s="48"/>
    </row>
    <row r="226" spans="2:11" ht="12.75" x14ac:dyDescent="0.2">
      <c r="B226" s="50"/>
      <c r="E226" s="45"/>
      <c r="J226" s="48"/>
      <c r="K226" s="48"/>
    </row>
    <row r="227" spans="2:11" ht="12.75" x14ac:dyDescent="0.2">
      <c r="B227" s="50"/>
      <c r="E227" s="45"/>
      <c r="J227" s="48"/>
      <c r="K227" s="48"/>
    </row>
    <row r="228" spans="2:11" ht="12.75" x14ac:dyDescent="0.2">
      <c r="B228" s="50"/>
      <c r="E228" s="45"/>
      <c r="J228" s="48"/>
      <c r="K228" s="48"/>
    </row>
    <row r="229" spans="2:11" ht="12.75" x14ac:dyDescent="0.2">
      <c r="B229" s="50"/>
      <c r="E229" s="45"/>
      <c r="J229" s="48"/>
      <c r="K229" s="48"/>
    </row>
    <row r="230" spans="2:11" ht="12.75" x14ac:dyDescent="0.2">
      <c r="B230" s="50"/>
      <c r="E230" s="45"/>
      <c r="J230" s="48"/>
      <c r="K230" s="48"/>
    </row>
    <row r="231" spans="2:11" ht="12.75" x14ac:dyDescent="0.2">
      <c r="B231" s="50"/>
      <c r="E231" s="45"/>
      <c r="J231" s="48"/>
      <c r="K231" s="48"/>
    </row>
    <row r="232" spans="2:11" ht="12.75" x14ac:dyDescent="0.2">
      <c r="B232" s="50"/>
      <c r="E232" s="45"/>
      <c r="J232" s="48"/>
      <c r="K232" s="48"/>
    </row>
    <row r="233" spans="2:11" ht="12.75" x14ac:dyDescent="0.2">
      <c r="B233" s="50"/>
      <c r="E233" s="45"/>
      <c r="J233" s="48"/>
      <c r="K233" s="48"/>
    </row>
    <row r="234" spans="2:11" ht="12.75" x14ac:dyDescent="0.2">
      <c r="B234" s="50"/>
      <c r="E234" s="45"/>
      <c r="J234" s="48"/>
      <c r="K234" s="48"/>
    </row>
    <row r="235" spans="2:11" ht="12.75" x14ac:dyDescent="0.2">
      <c r="B235" s="50"/>
      <c r="E235" s="45"/>
      <c r="J235" s="48"/>
      <c r="K235" s="48"/>
    </row>
    <row r="236" spans="2:11" ht="12.75" x14ac:dyDescent="0.2">
      <c r="B236" s="50"/>
      <c r="E236" s="45"/>
      <c r="J236" s="48"/>
      <c r="K236" s="48"/>
    </row>
    <row r="237" spans="2:11" ht="12.75" x14ac:dyDescent="0.2">
      <c r="B237" s="50"/>
      <c r="E237" s="45"/>
      <c r="J237" s="48"/>
      <c r="K237" s="48"/>
    </row>
    <row r="238" spans="2:11" ht="12.75" x14ac:dyDescent="0.2">
      <c r="B238" s="50"/>
      <c r="E238" s="45"/>
      <c r="J238" s="48"/>
      <c r="K238" s="48"/>
    </row>
    <row r="239" spans="2:11" ht="12.75" x14ac:dyDescent="0.2">
      <c r="B239" s="50"/>
      <c r="E239" s="45"/>
      <c r="J239" s="48"/>
      <c r="K239" s="48"/>
    </row>
    <row r="240" spans="2:11" ht="12.75" x14ac:dyDescent="0.2">
      <c r="B240" s="50"/>
      <c r="E240" s="45"/>
      <c r="J240" s="48"/>
      <c r="K240" s="48"/>
    </row>
    <row r="241" spans="2:11" ht="12.75" x14ac:dyDescent="0.2">
      <c r="B241" s="50"/>
      <c r="E241" s="45"/>
      <c r="J241" s="48"/>
      <c r="K241" s="48"/>
    </row>
    <row r="242" spans="2:11" ht="12.75" x14ac:dyDescent="0.2">
      <c r="B242" s="50"/>
      <c r="E242" s="45"/>
      <c r="J242" s="48"/>
      <c r="K242" s="48"/>
    </row>
    <row r="243" spans="2:11" ht="12.75" x14ac:dyDescent="0.2">
      <c r="B243" s="50"/>
      <c r="E243" s="45"/>
      <c r="J243" s="48"/>
      <c r="K243" s="48"/>
    </row>
    <row r="244" spans="2:11" ht="12.75" x14ac:dyDescent="0.2">
      <c r="B244" s="50"/>
      <c r="E244" s="45"/>
      <c r="J244" s="48"/>
      <c r="K244" s="48"/>
    </row>
    <row r="245" spans="2:11" ht="12.75" x14ac:dyDescent="0.2">
      <c r="B245" s="50"/>
      <c r="E245" s="45"/>
      <c r="J245" s="48"/>
      <c r="K245" s="48"/>
    </row>
    <row r="246" spans="2:11" ht="12.75" x14ac:dyDescent="0.2">
      <c r="B246" s="50"/>
      <c r="E246" s="45"/>
      <c r="J246" s="48"/>
      <c r="K246" s="48"/>
    </row>
    <row r="247" spans="2:11" ht="12.75" x14ac:dyDescent="0.2">
      <c r="B247" s="50"/>
      <c r="E247" s="45"/>
      <c r="J247" s="48"/>
      <c r="K247" s="48"/>
    </row>
    <row r="248" spans="2:11" ht="12.75" x14ac:dyDescent="0.2">
      <c r="B248" s="50"/>
      <c r="E248" s="45"/>
      <c r="J248" s="48"/>
      <c r="K248" s="48"/>
    </row>
    <row r="249" spans="2:11" ht="12.75" x14ac:dyDescent="0.2">
      <c r="B249" s="50"/>
      <c r="E249" s="45"/>
      <c r="J249" s="48"/>
      <c r="K249" s="48"/>
    </row>
    <row r="250" spans="2:11" ht="12.75" x14ac:dyDescent="0.2">
      <c r="B250" s="50"/>
      <c r="E250" s="45"/>
      <c r="J250" s="48"/>
      <c r="K250" s="48"/>
    </row>
    <row r="251" spans="2:11" ht="12.75" x14ac:dyDescent="0.2">
      <c r="B251" s="50"/>
      <c r="E251" s="45"/>
      <c r="J251" s="48"/>
      <c r="K251" s="48"/>
    </row>
    <row r="252" spans="2:11" ht="12.75" x14ac:dyDescent="0.2">
      <c r="B252" s="50"/>
      <c r="E252" s="45"/>
      <c r="J252" s="48"/>
      <c r="K252" s="48"/>
    </row>
    <row r="253" spans="2:11" ht="12.75" x14ac:dyDescent="0.2">
      <c r="B253" s="50"/>
      <c r="E253" s="45"/>
      <c r="J253" s="48"/>
      <c r="K253" s="48"/>
    </row>
    <row r="254" spans="2:11" ht="12.75" x14ac:dyDescent="0.2">
      <c r="B254" s="50"/>
      <c r="E254" s="45"/>
      <c r="J254" s="48"/>
      <c r="K254" s="48"/>
    </row>
    <row r="255" spans="2:11" ht="12.75" x14ac:dyDescent="0.2">
      <c r="B255" s="50"/>
      <c r="E255" s="45"/>
      <c r="J255" s="48"/>
      <c r="K255" s="48"/>
    </row>
    <row r="256" spans="2:11" ht="12.75" x14ac:dyDescent="0.2">
      <c r="B256" s="50"/>
      <c r="E256" s="45"/>
      <c r="J256" s="48"/>
      <c r="K256" s="48"/>
    </row>
    <row r="257" spans="2:11" ht="12.75" x14ac:dyDescent="0.2">
      <c r="B257" s="50"/>
      <c r="E257" s="45"/>
      <c r="J257" s="48"/>
      <c r="K257" s="48"/>
    </row>
    <row r="258" spans="2:11" ht="12.75" x14ac:dyDescent="0.2">
      <c r="B258" s="50"/>
      <c r="E258" s="45"/>
      <c r="J258" s="48"/>
      <c r="K258" s="48"/>
    </row>
    <row r="259" spans="2:11" ht="12.75" x14ac:dyDescent="0.2">
      <c r="B259" s="50"/>
      <c r="E259" s="45"/>
      <c r="J259" s="48"/>
      <c r="K259" s="48"/>
    </row>
    <row r="260" spans="2:11" ht="12.75" x14ac:dyDescent="0.2">
      <c r="B260" s="50"/>
      <c r="E260" s="45"/>
      <c r="J260" s="48"/>
      <c r="K260" s="48"/>
    </row>
    <row r="261" spans="2:11" ht="12.75" x14ac:dyDescent="0.2">
      <c r="B261" s="50"/>
      <c r="E261" s="45"/>
      <c r="J261" s="48"/>
      <c r="K261" s="48"/>
    </row>
    <row r="262" spans="2:11" ht="12.75" x14ac:dyDescent="0.2">
      <c r="B262" s="50"/>
      <c r="E262" s="45"/>
      <c r="J262" s="48"/>
      <c r="K262" s="48"/>
    </row>
    <row r="263" spans="2:11" ht="12.75" x14ac:dyDescent="0.2">
      <c r="B263" s="50"/>
      <c r="E263" s="45"/>
      <c r="J263" s="48"/>
      <c r="K263" s="48"/>
    </row>
    <row r="264" spans="2:11" ht="12.75" x14ac:dyDescent="0.2">
      <c r="B264" s="50"/>
      <c r="E264" s="45"/>
      <c r="J264" s="48"/>
      <c r="K264" s="48"/>
    </row>
    <row r="265" spans="2:11" ht="12.75" x14ac:dyDescent="0.2">
      <c r="B265" s="50"/>
      <c r="E265" s="45"/>
      <c r="J265" s="48"/>
      <c r="K265" s="48"/>
    </row>
    <row r="266" spans="2:11" ht="12.75" x14ac:dyDescent="0.2">
      <c r="B266" s="50"/>
      <c r="E266" s="45"/>
      <c r="J266" s="48"/>
      <c r="K266" s="48"/>
    </row>
    <row r="267" spans="2:11" ht="12.75" x14ac:dyDescent="0.2">
      <c r="B267" s="50"/>
      <c r="E267" s="45"/>
      <c r="J267" s="48"/>
      <c r="K267" s="48"/>
    </row>
    <row r="268" spans="2:11" ht="12.75" x14ac:dyDescent="0.2">
      <c r="B268" s="50"/>
      <c r="E268" s="45"/>
      <c r="J268" s="48"/>
      <c r="K268" s="48"/>
    </row>
    <row r="269" spans="2:11" ht="12.75" x14ac:dyDescent="0.2">
      <c r="B269" s="50"/>
      <c r="E269" s="45"/>
      <c r="J269" s="48"/>
      <c r="K269" s="48"/>
    </row>
    <row r="270" spans="2:11" ht="12.75" x14ac:dyDescent="0.2">
      <c r="B270" s="50"/>
      <c r="E270" s="45"/>
      <c r="J270" s="48"/>
      <c r="K270" s="48"/>
    </row>
    <row r="271" spans="2:11" ht="12.75" x14ac:dyDescent="0.2">
      <c r="B271" s="50"/>
      <c r="E271" s="45"/>
      <c r="J271" s="48"/>
      <c r="K271" s="48"/>
    </row>
    <row r="272" spans="2:11" ht="12.75" x14ac:dyDescent="0.2">
      <c r="B272" s="50"/>
      <c r="E272" s="45"/>
      <c r="J272" s="48"/>
      <c r="K272" s="48"/>
    </row>
    <row r="273" spans="2:11" ht="12.75" x14ac:dyDescent="0.2">
      <c r="B273" s="50"/>
      <c r="E273" s="45"/>
      <c r="J273" s="48"/>
      <c r="K273" s="48"/>
    </row>
    <row r="274" spans="2:11" ht="12.75" x14ac:dyDescent="0.2">
      <c r="B274" s="50"/>
      <c r="E274" s="45"/>
      <c r="J274" s="48"/>
      <c r="K274" s="48"/>
    </row>
    <row r="275" spans="2:11" ht="12.75" x14ac:dyDescent="0.2">
      <c r="B275" s="50"/>
      <c r="E275" s="45"/>
      <c r="J275" s="48"/>
      <c r="K275" s="48"/>
    </row>
    <row r="276" spans="2:11" ht="12.75" x14ac:dyDescent="0.2">
      <c r="B276" s="50"/>
      <c r="E276" s="45"/>
      <c r="J276" s="48"/>
      <c r="K276" s="48"/>
    </row>
    <row r="277" spans="2:11" ht="12.75" x14ac:dyDescent="0.2">
      <c r="B277" s="50"/>
      <c r="E277" s="45"/>
      <c r="J277" s="48"/>
      <c r="K277" s="48"/>
    </row>
    <row r="278" spans="2:11" ht="12.75" x14ac:dyDescent="0.2">
      <c r="B278" s="50"/>
      <c r="E278" s="45"/>
      <c r="J278" s="48"/>
      <c r="K278" s="48"/>
    </row>
    <row r="279" spans="2:11" ht="12.75" x14ac:dyDescent="0.2">
      <c r="B279" s="50"/>
      <c r="E279" s="45"/>
      <c r="J279" s="48"/>
      <c r="K279" s="48"/>
    </row>
    <row r="280" spans="2:11" ht="12.75" x14ac:dyDescent="0.2">
      <c r="B280" s="50"/>
      <c r="E280" s="45"/>
      <c r="J280" s="48"/>
      <c r="K280" s="48"/>
    </row>
    <row r="281" spans="2:11" ht="12.75" x14ac:dyDescent="0.2">
      <c r="B281" s="50"/>
      <c r="E281" s="45"/>
      <c r="J281" s="48"/>
      <c r="K281" s="48"/>
    </row>
    <row r="282" spans="2:11" ht="12.75" x14ac:dyDescent="0.2">
      <c r="B282" s="50"/>
      <c r="E282" s="45"/>
      <c r="J282" s="48"/>
      <c r="K282" s="48"/>
    </row>
    <row r="283" spans="2:11" ht="12.75" x14ac:dyDescent="0.2">
      <c r="B283" s="50"/>
      <c r="E283" s="45"/>
      <c r="J283" s="48"/>
      <c r="K283" s="48"/>
    </row>
    <row r="284" spans="2:11" ht="12.75" x14ac:dyDescent="0.2">
      <c r="B284" s="50"/>
      <c r="E284" s="45"/>
      <c r="J284" s="48"/>
      <c r="K284" s="48"/>
    </row>
    <row r="285" spans="2:11" ht="12.75" x14ac:dyDescent="0.2">
      <c r="B285" s="50"/>
      <c r="E285" s="45"/>
      <c r="J285" s="48"/>
      <c r="K285" s="48"/>
    </row>
    <row r="286" spans="2:11" ht="12.75" x14ac:dyDescent="0.2">
      <c r="B286" s="50"/>
      <c r="E286" s="45"/>
      <c r="J286" s="48"/>
      <c r="K286" s="48"/>
    </row>
    <row r="287" spans="2:11" ht="12.75" x14ac:dyDescent="0.2">
      <c r="B287" s="50"/>
      <c r="E287" s="45"/>
      <c r="J287" s="48"/>
      <c r="K287" s="48"/>
    </row>
    <row r="288" spans="2:11" ht="12.75" x14ac:dyDescent="0.2">
      <c r="B288" s="50"/>
      <c r="E288" s="45"/>
      <c r="J288" s="48"/>
      <c r="K288" s="48"/>
    </row>
    <row r="289" spans="2:11" ht="12.75" x14ac:dyDescent="0.2">
      <c r="B289" s="50"/>
      <c r="E289" s="45"/>
      <c r="J289" s="48"/>
      <c r="K289" s="48"/>
    </row>
    <row r="290" spans="2:11" ht="12.75" x14ac:dyDescent="0.2">
      <c r="B290" s="50"/>
      <c r="E290" s="45"/>
      <c r="J290" s="48"/>
      <c r="K290" s="48"/>
    </row>
    <row r="291" spans="2:11" ht="12.75" x14ac:dyDescent="0.2">
      <c r="B291" s="50"/>
      <c r="E291" s="45"/>
      <c r="J291" s="48"/>
      <c r="K291" s="48"/>
    </row>
    <row r="292" spans="2:11" ht="12.75" x14ac:dyDescent="0.2">
      <c r="B292" s="50"/>
      <c r="E292" s="45"/>
      <c r="J292" s="48"/>
      <c r="K292" s="48"/>
    </row>
    <row r="293" spans="2:11" ht="12.75" x14ac:dyDescent="0.2">
      <c r="B293" s="50"/>
      <c r="E293" s="45"/>
      <c r="J293" s="48"/>
      <c r="K293" s="48"/>
    </row>
    <row r="294" spans="2:11" ht="12.75" x14ac:dyDescent="0.2">
      <c r="B294" s="50"/>
      <c r="E294" s="45"/>
      <c r="J294" s="48"/>
      <c r="K294" s="48"/>
    </row>
    <row r="295" spans="2:11" ht="12.75" x14ac:dyDescent="0.2">
      <c r="B295" s="50"/>
      <c r="E295" s="45"/>
      <c r="J295" s="48"/>
      <c r="K295" s="48"/>
    </row>
    <row r="296" spans="2:11" ht="12.75" x14ac:dyDescent="0.2">
      <c r="B296" s="50"/>
      <c r="E296" s="45"/>
      <c r="J296" s="48"/>
      <c r="K296" s="48"/>
    </row>
    <row r="297" spans="2:11" ht="12.75" x14ac:dyDescent="0.2">
      <c r="B297" s="50"/>
      <c r="E297" s="45"/>
      <c r="J297" s="48"/>
      <c r="K297" s="48"/>
    </row>
    <row r="298" spans="2:11" ht="12.75" x14ac:dyDescent="0.2">
      <c r="B298" s="50"/>
      <c r="E298" s="45"/>
      <c r="J298" s="48"/>
      <c r="K298" s="48"/>
    </row>
    <row r="299" spans="2:11" ht="12.75" x14ac:dyDescent="0.2">
      <c r="B299" s="50"/>
      <c r="E299" s="45"/>
      <c r="J299" s="48"/>
      <c r="K299" s="48"/>
    </row>
    <row r="300" spans="2:11" ht="12.75" x14ac:dyDescent="0.2">
      <c r="B300" s="50"/>
      <c r="E300" s="45"/>
      <c r="J300" s="48"/>
      <c r="K300" s="48"/>
    </row>
    <row r="301" spans="2:11" ht="12.75" x14ac:dyDescent="0.2">
      <c r="B301" s="50"/>
      <c r="E301" s="45"/>
      <c r="J301" s="48"/>
      <c r="K301" s="48"/>
    </row>
    <row r="302" spans="2:11" ht="12.75" x14ac:dyDescent="0.2">
      <c r="B302" s="50"/>
      <c r="E302" s="45"/>
      <c r="J302" s="48"/>
      <c r="K302" s="48"/>
    </row>
    <row r="303" spans="2:11" ht="12.75" x14ac:dyDescent="0.2">
      <c r="B303" s="50"/>
      <c r="E303" s="45"/>
      <c r="J303" s="48"/>
      <c r="K303" s="48"/>
    </row>
    <row r="304" spans="2:11" ht="12.75" x14ac:dyDescent="0.2">
      <c r="B304" s="50"/>
      <c r="E304" s="45"/>
      <c r="J304" s="48"/>
      <c r="K304" s="48"/>
    </row>
    <row r="305" spans="2:11" ht="12.75" x14ac:dyDescent="0.2">
      <c r="B305" s="50"/>
      <c r="E305" s="45"/>
      <c r="J305" s="48"/>
      <c r="K305" s="48"/>
    </row>
    <row r="306" spans="2:11" ht="12.75" x14ac:dyDescent="0.2">
      <c r="B306" s="50"/>
      <c r="E306" s="45"/>
      <c r="J306" s="48"/>
      <c r="K306" s="48"/>
    </row>
    <row r="307" spans="2:11" ht="12.75" x14ac:dyDescent="0.2">
      <c r="B307" s="50"/>
      <c r="E307" s="45"/>
      <c r="J307" s="48"/>
      <c r="K307" s="48"/>
    </row>
    <row r="308" spans="2:11" ht="12.75" x14ac:dyDescent="0.2">
      <c r="B308" s="50"/>
      <c r="E308" s="45"/>
      <c r="J308" s="48"/>
      <c r="K308" s="48"/>
    </row>
    <row r="309" spans="2:11" ht="12.75" x14ac:dyDescent="0.2">
      <c r="B309" s="50"/>
      <c r="E309" s="45"/>
      <c r="J309" s="48"/>
      <c r="K309" s="48"/>
    </row>
    <row r="310" spans="2:11" ht="12.75" x14ac:dyDescent="0.2">
      <c r="B310" s="50"/>
      <c r="E310" s="45"/>
      <c r="J310" s="48"/>
      <c r="K310" s="48"/>
    </row>
    <row r="311" spans="2:11" ht="12.75" x14ac:dyDescent="0.2">
      <c r="B311" s="50"/>
      <c r="E311" s="45"/>
      <c r="J311" s="48"/>
      <c r="K311" s="48"/>
    </row>
    <row r="312" spans="2:11" ht="12.75" x14ac:dyDescent="0.2">
      <c r="B312" s="50"/>
      <c r="E312" s="45"/>
      <c r="J312" s="48"/>
      <c r="K312" s="48"/>
    </row>
    <row r="313" spans="2:11" ht="12.75" x14ac:dyDescent="0.2">
      <c r="B313" s="50"/>
      <c r="E313" s="45"/>
      <c r="J313" s="48"/>
      <c r="K313" s="48"/>
    </row>
    <row r="314" spans="2:11" ht="12.75" x14ac:dyDescent="0.2">
      <c r="B314" s="50"/>
      <c r="E314" s="45"/>
      <c r="J314" s="48"/>
      <c r="K314" s="48"/>
    </row>
    <row r="315" spans="2:11" ht="12.75" x14ac:dyDescent="0.2">
      <c r="B315" s="50"/>
      <c r="E315" s="45"/>
      <c r="J315" s="48"/>
      <c r="K315" s="48"/>
    </row>
    <row r="316" spans="2:11" ht="12.75" x14ac:dyDescent="0.2">
      <c r="B316" s="50"/>
      <c r="E316" s="45"/>
      <c r="J316" s="48"/>
      <c r="K316" s="48"/>
    </row>
    <row r="317" spans="2:11" ht="12.75" x14ac:dyDescent="0.2">
      <c r="B317" s="50"/>
      <c r="E317" s="45"/>
      <c r="J317" s="48"/>
      <c r="K317" s="48"/>
    </row>
    <row r="318" spans="2:11" ht="12.75" x14ac:dyDescent="0.2">
      <c r="B318" s="50"/>
      <c r="E318" s="45"/>
      <c r="J318" s="48"/>
      <c r="K318" s="48"/>
    </row>
    <row r="319" spans="2:11" ht="12.75" x14ac:dyDescent="0.2">
      <c r="B319" s="50"/>
      <c r="E319" s="45"/>
      <c r="J319" s="48"/>
      <c r="K319" s="48"/>
    </row>
    <row r="320" spans="2:11" ht="12.75" x14ac:dyDescent="0.2">
      <c r="B320" s="50"/>
      <c r="E320" s="45"/>
      <c r="J320" s="48"/>
      <c r="K320" s="48"/>
    </row>
    <row r="321" spans="2:11" ht="12.75" x14ac:dyDescent="0.2">
      <c r="B321" s="50"/>
      <c r="E321" s="45"/>
      <c r="J321" s="48"/>
      <c r="K321" s="48"/>
    </row>
    <row r="322" spans="2:11" ht="12.75" x14ac:dyDescent="0.2">
      <c r="B322" s="50"/>
      <c r="E322" s="45"/>
      <c r="J322" s="48"/>
      <c r="K322" s="48"/>
    </row>
    <row r="323" spans="2:11" ht="12.75" x14ac:dyDescent="0.2">
      <c r="B323" s="50"/>
      <c r="E323" s="45"/>
      <c r="J323" s="48"/>
      <c r="K323" s="48"/>
    </row>
    <row r="324" spans="2:11" ht="12.75" x14ac:dyDescent="0.2">
      <c r="B324" s="50"/>
      <c r="E324" s="45"/>
      <c r="J324" s="48"/>
      <c r="K324" s="48"/>
    </row>
    <row r="325" spans="2:11" ht="12.75" x14ac:dyDescent="0.2">
      <c r="B325" s="50"/>
      <c r="E325" s="45"/>
      <c r="J325" s="48"/>
      <c r="K325" s="48"/>
    </row>
    <row r="326" spans="2:11" ht="12.75" x14ac:dyDescent="0.2">
      <c r="B326" s="50"/>
      <c r="E326" s="45"/>
      <c r="J326" s="48"/>
      <c r="K326" s="48"/>
    </row>
    <row r="327" spans="2:11" ht="12.75" x14ac:dyDescent="0.2">
      <c r="B327" s="50"/>
      <c r="E327" s="45"/>
      <c r="J327" s="48"/>
      <c r="K327" s="48"/>
    </row>
    <row r="328" spans="2:11" ht="12.75" x14ac:dyDescent="0.2">
      <c r="B328" s="50"/>
      <c r="E328" s="45"/>
      <c r="J328" s="48"/>
      <c r="K328" s="48"/>
    </row>
    <row r="329" spans="2:11" ht="12.75" x14ac:dyDescent="0.2">
      <c r="B329" s="50"/>
      <c r="E329" s="45"/>
      <c r="J329" s="48"/>
      <c r="K329" s="48"/>
    </row>
    <row r="330" spans="2:11" ht="12.75" x14ac:dyDescent="0.2">
      <c r="B330" s="50"/>
      <c r="E330" s="45"/>
      <c r="J330" s="48"/>
      <c r="K330" s="48"/>
    </row>
    <row r="331" spans="2:11" ht="12.75" x14ac:dyDescent="0.2">
      <c r="B331" s="50"/>
      <c r="E331" s="45"/>
      <c r="J331" s="48"/>
      <c r="K331" s="48"/>
    </row>
    <row r="332" spans="2:11" ht="12.75" x14ac:dyDescent="0.2">
      <c r="B332" s="50"/>
      <c r="E332" s="45"/>
      <c r="J332" s="48"/>
      <c r="K332" s="48"/>
    </row>
    <row r="333" spans="2:11" ht="12.75" x14ac:dyDescent="0.2">
      <c r="B333" s="50"/>
      <c r="E333" s="45"/>
      <c r="J333" s="48"/>
      <c r="K333" s="48"/>
    </row>
    <row r="334" spans="2:11" ht="12.75" x14ac:dyDescent="0.2">
      <c r="B334" s="50"/>
      <c r="E334" s="45"/>
      <c r="J334" s="48"/>
      <c r="K334" s="48"/>
    </row>
    <row r="335" spans="2:11" ht="12.75" x14ac:dyDescent="0.2">
      <c r="B335" s="50"/>
      <c r="E335" s="45"/>
      <c r="J335" s="48"/>
      <c r="K335" s="48"/>
    </row>
    <row r="336" spans="2:11" ht="12.75" x14ac:dyDescent="0.2">
      <c r="B336" s="50"/>
      <c r="E336" s="45"/>
      <c r="J336" s="48"/>
      <c r="K336" s="48"/>
    </row>
    <row r="337" spans="2:11" ht="12.75" x14ac:dyDescent="0.2">
      <c r="B337" s="50"/>
      <c r="E337" s="45"/>
      <c r="J337" s="48"/>
      <c r="K337" s="48"/>
    </row>
    <row r="338" spans="2:11" ht="12.75" x14ac:dyDescent="0.2">
      <c r="B338" s="50"/>
      <c r="E338" s="45"/>
      <c r="J338" s="48"/>
      <c r="K338" s="48"/>
    </row>
    <row r="339" spans="2:11" ht="12.75" x14ac:dyDescent="0.2">
      <c r="B339" s="50"/>
      <c r="E339" s="45"/>
      <c r="J339" s="48"/>
      <c r="K339" s="48"/>
    </row>
    <row r="340" spans="2:11" ht="12.75" x14ac:dyDescent="0.2">
      <c r="B340" s="50"/>
      <c r="E340" s="45"/>
      <c r="J340" s="48"/>
      <c r="K340" s="48"/>
    </row>
    <row r="341" spans="2:11" ht="12.75" x14ac:dyDescent="0.2">
      <c r="B341" s="50"/>
      <c r="E341" s="45"/>
      <c r="J341" s="48"/>
      <c r="K341" s="48"/>
    </row>
    <row r="342" spans="2:11" ht="12.75" x14ac:dyDescent="0.2">
      <c r="B342" s="50"/>
      <c r="E342" s="45"/>
      <c r="J342" s="48"/>
      <c r="K342" s="48"/>
    </row>
    <row r="343" spans="2:11" ht="12.75" x14ac:dyDescent="0.2">
      <c r="B343" s="50"/>
      <c r="E343" s="45"/>
      <c r="J343" s="48"/>
      <c r="K343" s="48"/>
    </row>
    <row r="344" spans="2:11" ht="12.75" x14ac:dyDescent="0.2">
      <c r="B344" s="50"/>
      <c r="E344" s="45"/>
      <c r="J344" s="48"/>
      <c r="K344" s="48"/>
    </row>
    <row r="345" spans="2:11" ht="12.75" x14ac:dyDescent="0.2">
      <c r="B345" s="50"/>
      <c r="E345" s="45"/>
      <c r="J345" s="48"/>
      <c r="K345" s="48"/>
    </row>
    <row r="346" spans="2:11" ht="12.75" x14ac:dyDescent="0.2">
      <c r="B346" s="50"/>
      <c r="E346" s="45"/>
      <c r="J346" s="48"/>
      <c r="K346" s="48"/>
    </row>
    <row r="347" spans="2:11" ht="12.75" x14ac:dyDescent="0.2">
      <c r="B347" s="50"/>
      <c r="E347" s="45"/>
      <c r="J347" s="48"/>
      <c r="K347" s="48"/>
    </row>
    <row r="348" spans="2:11" ht="12.75" x14ac:dyDescent="0.2">
      <c r="B348" s="50"/>
      <c r="E348" s="45"/>
      <c r="J348" s="48"/>
      <c r="K348" s="48"/>
    </row>
    <row r="349" spans="2:11" ht="12.75" x14ac:dyDescent="0.2">
      <c r="B349" s="50"/>
      <c r="E349" s="45"/>
      <c r="J349" s="48"/>
      <c r="K349" s="48"/>
    </row>
    <row r="350" spans="2:11" ht="12.75" x14ac:dyDescent="0.2">
      <c r="B350" s="50"/>
      <c r="E350" s="45"/>
      <c r="J350" s="48"/>
      <c r="K350" s="48"/>
    </row>
    <row r="351" spans="2:11" ht="12.75" x14ac:dyDescent="0.2">
      <c r="B351" s="50"/>
      <c r="E351" s="45"/>
      <c r="J351" s="48"/>
      <c r="K351" s="48"/>
    </row>
    <row r="352" spans="2:11" ht="12.75" x14ac:dyDescent="0.2">
      <c r="B352" s="50"/>
      <c r="E352" s="45"/>
      <c r="J352" s="48"/>
      <c r="K352" s="48"/>
    </row>
    <row r="353" spans="2:11" ht="12.75" x14ac:dyDescent="0.2">
      <c r="B353" s="50"/>
      <c r="E353" s="45"/>
      <c r="J353" s="48"/>
      <c r="K353" s="48"/>
    </row>
    <row r="354" spans="2:11" ht="12.75" x14ac:dyDescent="0.2">
      <c r="B354" s="50"/>
      <c r="E354" s="45"/>
      <c r="J354" s="48"/>
      <c r="K354" s="48"/>
    </row>
    <row r="355" spans="2:11" ht="12.75" x14ac:dyDescent="0.2">
      <c r="B355" s="50"/>
      <c r="E355" s="45"/>
      <c r="J355" s="48"/>
      <c r="K355" s="48"/>
    </row>
    <row r="356" spans="2:11" ht="12.75" x14ac:dyDescent="0.2">
      <c r="B356" s="50"/>
      <c r="E356" s="45"/>
      <c r="J356" s="48"/>
      <c r="K356" s="48"/>
    </row>
    <row r="357" spans="2:11" ht="12.75" x14ac:dyDescent="0.2">
      <c r="B357" s="50"/>
      <c r="E357" s="45"/>
      <c r="J357" s="48"/>
      <c r="K357" s="48"/>
    </row>
    <row r="358" spans="2:11" ht="12.75" x14ac:dyDescent="0.2">
      <c r="B358" s="50"/>
      <c r="E358" s="45"/>
      <c r="J358" s="48"/>
      <c r="K358" s="48"/>
    </row>
    <row r="359" spans="2:11" ht="12.75" x14ac:dyDescent="0.2">
      <c r="B359" s="50"/>
      <c r="E359" s="45"/>
      <c r="J359" s="48"/>
      <c r="K359" s="48"/>
    </row>
    <row r="360" spans="2:11" ht="12.75" x14ac:dyDescent="0.2">
      <c r="B360" s="50"/>
      <c r="E360" s="45"/>
      <c r="J360" s="48"/>
      <c r="K360" s="48"/>
    </row>
    <row r="361" spans="2:11" ht="12.75" x14ac:dyDescent="0.2">
      <c r="B361" s="50"/>
      <c r="E361" s="45"/>
      <c r="J361" s="48"/>
      <c r="K361" s="48"/>
    </row>
    <row r="362" spans="2:11" ht="12.75" x14ac:dyDescent="0.2">
      <c r="B362" s="50"/>
      <c r="E362" s="45"/>
      <c r="J362" s="48"/>
      <c r="K362" s="48"/>
    </row>
    <row r="363" spans="2:11" ht="12.75" x14ac:dyDescent="0.2">
      <c r="B363" s="50"/>
      <c r="E363" s="45"/>
      <c r="J363" s="48"/>
      <c r="K363" s="48"/>
    </row>
    <row r="364" spans="2:11" ht="12.75" x14ac:dyDescent="0.2">
      <c r="B364" s="50"/>
      <c r="E364" s="45"/>
      <c r="J364" s="48"/>
      <c r="K364" s="48"/>
    </row>
    <row r="365" spans="2:11" ht="12.75" x14ac:dyDescent="0.2">
      <c r="B365" s="50"/>
      <c r="E365" s="45"/>
      <c r="J365" s="48"/>
      <c r="K365" s="48"/>
    </row>
    <row r="366" spans="2:11" ht="12.75" x14ac:dyDescent="0.2">
      <c r="B366" s="50"/>
      <c r="E366" s="45"/>
      <c r="J366" s="48"/>
      <c r="K366" s="48"/>
    </row>
    <row r="367" spans="2:11" ht="12.75" x14ac:dyDescent="0.2">
      <c r="B367" s="50"/>
      <c r="E367" s="45"/>
      <c r="J367" s="48"/>
      <c r="K367" s="48"/>
    </row>
    <row r="368" spans="2:11" ht="12.75" x14ac:dyDescent="0.2">
      <c r="B368" s="50"/>
      <c r="E368" s="45"/>
      <c r="J368" s="48"/>
      <c r="K368" s="48"/>
    </row>
    <row r="369" spans="2:11" ht="12.75" x14ac:dyDescent="0.2">
      <c r="B369" s="50"/>
      <c r="E369" s="45"/>
      <c r="J369" s="48"/>
      <c r="K369" s="48"/>
    </row>
    <row r="370" spans="2:11" ht="12.75" x14ac:dyDescent="0.2">
      <c r="B370" s="50"/>
      <c r="E370" s="45"/>
      <c r="J370" s="48"/>
      <c r="K370" s="48"/>
    </row>
    <row r="371" spans="2:11" ht="12.75" x14ac:dyDescent="0.2">
      <c r="B371" s="50"/>
      <c r="E371" s="45"/>
      <c r="J371" s="48"/>
      <c r="K371" s="48"/>
    </row>
    <row r="372" spans="2:11" ht="12.75" x14ac:dyDescent="0.2">
      <c r="B372" s="50"/>
      <c r="E372" s="45"/>
      <c r="J372" s="48"/>
      <c r="K372" s="48"/>
    </row>
    <row r="373" spans="2:11" ht="12.75" x14ac:dyDescent="0.2">
      <c r="B373" s="50"/>
      <c r="E373" s="45"/>
      <c r="J373" s="48"/>
      <c r="K373" s="48"/>
    </row>
    <row r="374" spans="2:11" ht="12.75" x14ac:dyDescent="0.2">
      <c r="B374" s="50"/>
      <c r="E374" s="45"/>
      <c r="J374" s="48"/>
      <c r="K374" s="48"/>
    </row>
    <row r="375" spans="2:11" ht="12.75" x14ac:dyDescent="0.2">
      <c r="B375" s="50"/>
      <c r="E375" s="45"/>
      <c r="J375" s="48"/>
      <c r="K375" s="48"/>
    </row>
    <row r="376" spans="2:11" ht="12.75" x14ac:dyDescent="0.2">
      <c r="B376" s="50"/>
      <c r="E376" s="45"/>
      <c r="J376" s="48"/>
      <c r="K376" s="48"/>
    </row>
    <row r="377" spans="2:11" ht="12.75" x14ac:dyDescent="0.2">
      <c r="B377" s="50"/>
      <c r="E377" s="45"/>
      <c r="J377" s="48"/>
      <c r="K377" s="48"/>
    </row>
    <row r="378" spans="2:11" ht="12.75" x14ac:dyDescent="0.2">
      <c r="B378" s="50"/>
      <c r="E378" s="45"/>
      <c r="J378" s="48"/>
      <c r="K378" s="48"/>
    </row>
    <row r="379" spans="2:11" ht="12.75" x14ac:dyDescent="0.2">
      <c r="B379" s="50"/>
      <c r="E379" s="45"/>
      <c r="J379" s="48"/>
      <c r="K379" s="48"/>
    </row>
    <row r="380" spans="2:11" ht="12.75" x14ac:dyDescent="0.2">
      <c r="B380" s="50"/>
      <c r="E380" s="45"/>
      <c r="J380" s="48"/>
      <c r="K380" s="48"/>
    </row>
    <row r="381" spans="2:11" ht="12.75" x14ac:dyDescent="0.2">
      <c r="B381" s="50"/>
      <c r="E381" s="45"/>
      <c r="J381" s="48"/>
      <c r="K381" s="48"/>
    </row>
    <row r="382" spans="2:11" ht="12.75" x14ac:dyDescent="0.2">
      <c r="B382" s="50"/>
      <c r="E382" s="45"/>
      <c r="J382" s="48"/>
      <c r="K382" s="48"/>
    </row>
    <row r="383" spans="2:11" ht="12.75" x14ac:dyDescent="0.2">
      <c r="B383" s="50"/>
      <c r="E383" s="45"/>
      <c r="J383" s="48"/>
      <c r="K383" s="48"/>
    </row>
    <row r="384" spans="2:11" ht="12.75" x14ac:dyDescent="0.2">
      <c r="B384" s="50"/>
      <c r="E384" s="45"/>
      <c r="J384" s="48"/>
      <c r="K384" s="48"/>
    </row>
    <row r="385" spans="2:11" ht="12.75" x14ac:dyDescent="0.2">
      <c r="B385" s="50"/>
      <c r="E385" s="45"/>
      <c r="J385" s="48"/>
      <c r="K385" s="48"/>
    </row>
    <row r="386" spans="2:11" ht="12.75" x14ac:dyDescent="0.2">
      <c r="B386" s="50"/>
      <c r="E386" s="45"/>
      <c r="J386" s="48"/>
      <c r="K386" s="48"/>
    </row>
    <row r="387" spans="2:11" ht="12.75" x14ac:dyDescent="0.2">
      <c r="B387" s="50"/>
      <c r="E387" s="45"/>
      <c r="J387" s="48"/>
      <c r="K387" s="48"/>
    </row>
    <row r="388" spans="2:11" ht="12.75" x14ac:dyDescent="0.2">
      <c r="B388" s="50"/>
      <c r="E388" s="45"/>
      <c r="J388" s="48"/>
      <c r="K388" s="48"/>
    </row>
    <row r="389" spans="2:11" ht="12.75" x14ac:dyDescent="0.2">
      <c r="B389" s="50"/>
      <c r="E389" s="45"/>
      <c r="J389" s="48"/>
      <c r="K389" s="48"/>
    </row>
    <row r="390" spans="2:11" ht="12.75" x14ac:dyDescent="0.2">
      <c r="B390" s="50"/>
      <c r="E390" s="45"/>
      <c r="J390" s="48"/>
      <c r="K390" s="48"/>
    </row>
    <row r="391" spans="2:11" ht="12.75" x14ac:dyDescent="0.2">
      <c r="B391" s="50"/>
      <c r="E391" s="45"/>
      <c r="J391" s="48"/>
      <c r="K391" s="48"/>
    </row>
    <row r="392" spans="2:11" ht="12.75" x14ac:dyDescent="0.2">
      <c r="B392" s="50"/>
      <c r="E392" s="45"/>
      <c r="J392" s="48"/>
      <c r="K392" s="48"/>
    </row>
    <row r="393" spans="2:11" ht="12.75" x14ac:dyDescent="0.2">
      <c r="B393" s="50"/>
      <c r="E393" s="45"/>
      <c r="J393" s="48"/>
      <c r="K393" s="48"/>
    </row>
    <row r="394" spans="2:11" ht="12.75" x14ac:dyDescent="0.2">
      <c r="B394" s="50"/>
      <c r="E394" s="45"/>
      <c r="J394" s="48"/>
      <c r="K394" s="48"/>
    </row>
    <row r="395" spans="2:11" ht="12.75" x14ac:dyDescent="0.2">
      <c r="B395" s="50"/>
      <c r="E395" s="45"/>
      <c r="J395" s="48"/>
      <c r="K395" s="48"/>
    </row>
    <row r="396" spans="2:11" ht="12.75" x14ac:dyDescent="0.2">
      <c r="B396" s="50"/>
      <c r="E396" s="45"/>
      <c r="J396" s="48"/>
      <c r="K396" s="48"/>
    </row>
    <row r="397" spans="2:11" ht="12.75" x14ac:dyDescent="0.2">
      <c r="B397" s="50"/>
      <c r="E397" s="45"/>
      <c r="J397" s="48"/>
      <c r="K397" s="48"/>
    </row>
    <row r="398" spans="2:11" ht="12.75" x14ac:dyDescent="0.2">
      <c r="B398" s="50"/>
      <c r="E398" s="45"/>
      <c r="J398" s="48"/>
      <c r="K398" s="48"/>
    </row>
    <row r="399" spans="2:11" ht="12.75" x14ac:dyDescent="0.2">
      <c r="B399" s="50"/>
      <c r="E399" s="45"/>
      <c r="J399" s="48"/>
      <c r="K399" s="48"/>
    </row>
    <row r="400" spans="2:11" ht="12.75" x14ac:dyDescent="0.2">
      <c r="B400" s="50"/>
      <c r="E400" s="45"/>
      <c r="J400" s="48"/>
      <c r="K400" s="48"/>
    </row>
    <row r="401" spans="2:11" ht="12.75" x14ac:dyDescent="0.2">
      <c r="B401" s="50"/>
      <c r="E401" s="45"/>
      <c r="J401" s="48"/>
      <c r="K401" s="48"/>
    </row>
    <row r="402" spans="2:11" ht="12.75" x14ac:dyDescent="0.2">
      <c r="B402" s="50"/>
      <c r="E402" s="45"/>
      <c r="J402" s="48"/>
      <c r="K402" s="48"/>
    </row>
    <row r="403" spans="2:11" ht="12.75" x14ac:dyDescent="0.2">
      <c r="B403" s="50"/>
      <c r="E403" s="45"/>
      <c r="J403" s="48"/>
      <c r="K403" s="48"/>
    </row>
    <row r="404" spans="2:11" ht="12.75" x14ac:dyDescent="0.2">
      <c r="B404" s="50"/>
      <c r="E404" s="45"/>
      <c r="J404" s="48"/>
      <c r="K404" s="48"/>
    </row>
    <row r="405" spans="2:11" ht="12.75" x14ac:dyDescent="0.2">
      <c r="B405" s="50"/>
      <c r="E405" s="45"/>
      <c r="J405" s="48"/>
      <c r="K405" s="48"/>
    </row>
    <row r="406" spans="2:11" ht="12.75" x14ac:dyDescent="0.2">
      <c r="B406" s="50"/>
      <c r="E406" s="45"/>
      <c r="J406" s="48"/>
      <c r="K406" s="48"/>
    </row>
    <row r="407" spans="2:11" ht="12.75" x14ac:dyDescent="0.2">
      <c r="B407" s="50"/>
      <c r="E407" s="45"/>
      <c r="J407" s="48"/>
      <c r="K407" s="48"/>
    </row>
    <row r="408" spans="2:11" ht="12.75" x14ac:dyDescent="0.2">
      <c r="B408" s="50"/>
      <c r="E408" s="45"/>
      <c r="J408" s="48"/>
      <c r="K408" s="48"/>
    </row>
    <row r="409" spans="2:11" ht="12.75" x14ac:dyDescent="0.2">
      <c r="B409" s="50"/>
      <c r="E409" s="45"/>
      <c r="J409" s="48"/>
      <c r="K409" s="48"/>
    </row>
    <row r="410" spans="2:11" ht="12.75" x14ac:dyDescent="0.2">
      <c r="B410" s="50"/>
      <c r="E410" s="45"/>
      <c r="J410" s="48"/>
      <c r="K410" s="48"/>
    </row>
    <row r="411" spans="2:11" ht="12.75" x14ac:dyDescent="0.2">
      <c r="B411" s="50"/>
      <c r="E411" s="45"/>
      <c r="J411" s="48"/>
      <c r="K411" s="48"/>
    </row>
    <row r="412" spans="2:11" ht="12.75" x14ac:dyDescent="0.2">
      <c r="B412" s="50"/>
      <c r="E412" s="45"/>
      <c r="J412" s="48"/>
      <c r="K412" s="48"/>
    </row>
    <row r="413" spans="2:11" ht="12.75" x14ac:dyDescent="0.2">
      <c r="B413" s="50"/>
      <c r="E413" s="45"/>
      <c r="J413" s="48"/>
      <c r="K413" s="48"/>
    </row>
    <row r="414" spans="2:11" ht="12.75" x14ac:dyDescent="0.2">
      <c r="B414" s="50"/>
      <c r="E414" s="45"/>
      <c r="J414" s="48"/>
      <c r="K414" s="48"/>
    </row>
    <row r="415" spans="2:11" ht="12.75" x14ac:dyDescent="0.2">
      <c r="B415" s="50"/>
      <c r="E415" s="45"/>
      <c r="J415" s="48"/>
      <c r="K415" s="48"/>
    </row>
    <row r="416" spans="2:11" ht="12.75" x14ac:dyDescent="0.2">
      <c r="B416" s="50"/>
      <c r="E416" s="45"/>
      <c r="J416" s="48"/>
      <c r="K416" s="48"/>
    </row>
    <row r="417" spans="2:11" ht="12.75" x14ac:dyDescent="0.2">
      <c r="B417" s="50"/>
      <c r="E417" s="45"/>
      <c r="J417" s="48"/>
      <c r="K417" s="48"/>
    </row>
    <row r="418" spans="2:11" ht="12.75" x14ac:dyDescent="0.2">
      <c r="B418" s="50"/>
      <c r="E418" s="45"/>
      <c r="J418" s="48"/>
      <c r="K418" s="48"/>
    </row>
    <row r="419" spans="2:11" ht="12.75" x14ac:dyDescent="0.2">
      <c r="B419" s="50"/>
      <c r="E419" s="45"/>
      <c r="J419" s="48"/>
      <c r="K419" s="48"/>
    </row>
    <row r="420" spans="2:11" ht="12.75" x14ac:dyDescent="0.2">
      <c r="B420" s="50"/>
      <c r="E420" s="45"/>
      <c r="J420" s="48"/>
      <c r="K420" s="48"/>
    </row>
    <row r="421" spans="2:11" ht="12.75" x14ac:dyDescent="0.2">
      <c r="B421" s="50"/>
      <c r="E421" s="45"/>
      <c r="J421" s="48"/>
      <c r="K421" s="48"/>
    </row>
    <row r="422" spans="2:11" ht="12.75" x14ac:dyDescent="0.2">
      <c r="B422" s="50"/>
      <c r="E422" s="45"/>
      <c r="J422" s="48"/>
      <c r="K422" s="48"/>
    </row>
    <row r="423" spans="2:11" ht="12.75" x14ac:dyDescent="0.2">
      <c r="B423" s="50"/>
      <c r="E423" s="45"/>
      <c r="J423" s="48"/>
      <c r="K423" s="48"/>
    </row>
    <row r="424" spans="2:11" ht="12.75" x14ac:dyDescent="0.2">
      <c r="B424" s="50"/>
      <c r="E424" s="45"/>
      <c r="J424" s="48"/>
      <c r="K424" s="48"/>
    </row>
    <row r="425" spans="2:11" ht="12.75" x14ac:dyDescent="0.2">
      <c r="B425" s="50"/>
      <c r="E425" s="45"/>
      <c r="J425" s="48"/>
      <c r="K425" s="48"/>
    </row>
    <row r="426" spans="2:11" ht="12.75" x14ac:dyDescent="0.2">
      <c r="B426" s="50"/>
      <c r="E426" s="45"/>
      <c r="J426" s="48"/>
      <c r="K426" s="48"/>
    </row>
    <row r="427" spans="2:11" ht="12.75" x14ac:dyDescent="0.2">
      <c r="B427" s="50"/>
      <c r="E427" s="45"/>
      <c r="J427" s="48"/>
      <c r="K427" s="48"/>
    </row>
    <row r="428" spans="2:11" ht="12.75" x14ac:dyDescent="0.2">
      <c r="B428" s="50"/>
      <c r="E428" s="45"/>
      <c r="J428" s="48"/>
      <c r="K428" s="48"/>
    </row>
    <row r="429" spans="2:11" ht="12.75" x14ac:dyDescent="0.2">
      <c r="B429" s="50"/>
      <c r="E429" s="45"/>
      <c r="J429" s="48"/>
      <c r="K429" s="48"/>
    </row>
    <row r="430" spans="2:11" ht="12.75" x14ac:dyDescent="0.2">
      <c r="B430" s="50"/>
      <c r="E430" s="45"/>
      <c r="J430" s="48"/>
      <c r="K430" s="48"/>
    </row>
    <row r="431" spans="2:11" ht="12.75" x14ac:dyDescent="0.2">
      <c r="B431" s="50"/>
      <c r="E431" s="45"/>
      <c r="J431" s="48"/>
      <c r="K431" s="48"/>
    </row>
    <row r="432" spans="2:11" ht="12.75" x14ac:dyDescent="0.2">
      <c r="B432" s="50"/>
      <c r="E432" s="45"/>
      <c r="J432" s="48"/>
      <c r="K432" s="48"/>
    </row>
    <row r="433" spans="2:11" ht="12.75" x14ac:dyDescent="0.2">
      <c r="B433" s="50"/>
      <c r="E433" s="45"/>
      <c r="J433" s="48"/>
      <c r="K433" s="48"/>
    </row>
    <row r="434" spans="2:11" ht="12.75" x14ac:dyDescent="0.2">
      <c r="B434" s="50"/>
      <c r="E434" s="45"/>
      <c r="J434" s="48"/>
      <c r="K434" s="48"/>
    </row>
    <row r="435" spans="2:11" ht="12.75" x14ac:dyDescent="0.2">
      <c r="B435" s="50"/>
      <c r="E435" s="45"/>
      <c r="J435" s="48"/>
      <c r="K435" s="48"/>
    </row>
    <row r="436" spans="2:11" ht="12.75" x14ac:dyDescent="0.2">
      <c r="B436" s="50"/>
      <c r="E436" s="45"/>
      <c r="J436" s="48"/>
      <c r="K436" s="48"/>
    </row>
    <row r="437" spans="2:11" ht="12.75" x14ac:dyDescent="0.2">
      <c r="B437" s="50"/>
      <c r="E437" s="45"/>
      <c r="J437" s="48"/>
      <c r="K437" s="48"/>
    </row>
    <row r="438" spans="2:11" ht="12.75" x14ac:dyDescent="0.2">
      <c r="B438" s="50"/>
      <c r="E438" s="45"/>
      <c r="J438" s="48"/>
      <c r="K438" s="48"/>
    </row>
    <row r="439" spans="2:11" ht="12.75" x14ac:dyDescent="0.2">
      <c r="B439" s="50"/>
      <c r="E439" s="45"/>
      <c r="J439" s="48"/>
      <c r="K439" s="48"/>
    </row>
    <row r="440" spans="2:11" ht="12.75" x14ac:dyDescent="0.2">
      <c r="B440" s="50"/>
      <c r="E440" s="45"/>
      <c r="J440" s="48"/>
      <c r="K440" s="48"/>
    </row>
    <row r="441" spans="2:11" ht="12.75" x14ac:dyDescent="0.2">
      <c r="B441" s="50"/>
      <c r="E441" s="45"/>
      <c r="J441" s="48"/>
      <c r="K441" s="48"/>
    </row>
    <row r="442" spans="2:11" ht="12.75" x14ac:dyDescent="0.2">
      <c r="B442" s="50"/>
      <c r="E442" s="45"/>
      <c r="J442" s="48"/>
      <c r="K442" s="48"/>
    </row>
    <row r="443" spans="2:11" ht="12.75" x14ac:dyDescent="0.2">
      <c r="B443" s="50"/>
      <c r="E443" s="45"/>
      <c r="J443" s="48"/>
      <c r="K443" s="48"/>
    </row>
    <row r="444" spans="2:11" ht="12.75" x14ac:dyDescent="0.2">
      <c r="B444" s="50"/>
      <c r="E444" s="45"/>
      <c r="J444" s="48"/>
      <c r="K444" s="48"/>
    </row>
    <row r="445" spans="2:11" ht="12.75" x14ac:dyDescent="0.2">
      <c r="B445" s="50"/>
      <c r="E445" s="45"/>
      <c r="J445" s="48"/>
      <c r="K445" s="48"/>
    </row>
    <row r="446" spans="2:11" ht="12.75" x14ac:dyDescent="0.2">
      <c r="B446" s="50"/>
      <c r="E446" s="45"/>
      <c r="J446" s="48"/>
      <c r="K446" s="48"/>
    </row>
    <row r="447" spans="2:11" ht="12.75" x14ac:dyDescent="0.2">
      <c r="B447" s="50"/>
      <c r="E447" s="45"/>
      <c r="J447" s="48"/>
      <c r="K447" s="48"/>
    </row>
    <row r="448" spans="2:11" ht="12.75" x14ac:dyDescent="0.2">
      <c r="B448" s="50"/>
      <c r="E448" s="45"/>
      <c r="J448" s="48"/>
      <c r="K448" s="48"/>
    </row>
    <row r="449" spans="2:11" ht="12.75" x14ac:dyDescent="0.2">
      <c r="B449" s="50"/>
      <c r="E449" s="45"/>
      <c r="J449" s="48"/>
      <c r="K449" s="48"/>
    </row>
    <row r="450" spans="2:11" ht="12.75" x14ac:dyDescent="0.2">
      <c r="B450" s="50"/>
      <c r="E450" s="45"/>
      <c r="J450" s="48"/>
      <c r="K450" s="48"/>
    </row>
    <row r="451" spans="2:11" ht="12.75" x14ac:dyDescent="0.2">
      <c r="B451" s="50"/>
      <c r="E451" s="45"/>
      <c r="J451" s="48"/>
      <c r="K451" s="48"/>
    </row>
    <row r="452" spans="2:11" ht="12.75" x14ac:dyDescent="0.2">
      <c r="B452" s="50"/>
      <c r="E452" s="45"/>
      <c r="J452" s="48"/>
      <c r="K452" s="48"/>
    </row>
    <row r="453" spans="2:11" ht="12.75" x14ac:dyDescent="0.2">
      <c r="B453" s="50"/>
      <c r="E453" s="45"/>
      <c r="J453" s="48"/>
      <c r="K453" s="48"/>
    </row>
    <row r="454" spans="2:11" ht="12.75" x14ac:dyDescent="0.2">
      <c r="B454" s="50"/>
      <c r="E454" s="45"/>
      <c r="J454" s="48"/>
      <c r="K454" s="48"/>
    </row>
    <row r="455" spans="2:11" ht="12.75" x14ac:dyDescent="0.2">
      <c r="B455" s="50"/>
      <c r="E455" s="45"/>
      <c r="J455" s="48"/>
      <c r="K455" s="48"/>
    </row>
    <row r="456" spans="2:11" ht="12.75" x14ac:dyDescent="0.2">
      <c r="B456" s="50"/>
      <c r="E456" s="45"/>
      <c r="J456" s="48"/>
      <c r="K456" s="48"/>
    </row>
    <row r="457" spans="2:11" ht="12.75" x14ac:dyDescent="0.2">
      <c r="B457" s="50"/>
      <c r="E457" s="45"/>
      <c r="J457" s="48"/>
      <c r="K457" s="48"/>
    </row>
    <row r="458" spans="2:11" ht="12.75" x14ac:dyDescent="0.2">
      <c r="B458" s="50"/>
      <c r="E458" s="45"/>
      <c r="J458" s="48"/>
      <c r="K458" s="48"/>
    </row>
    <row r="459" spans="2:11" ht="12.75" x14ac:dyDescent="0.2">
      <c r="B459" s="50"/>
      <c r="E459" s="45"/>
      <c r="J459" s="48"/>
      <c r="K459" s="48"/>
    </row>
    <row r="460" spans="2:11" ht="12.75" x14ac:dyDescent="0.2">
      <c r="B460" s="50"/>
      <c r="E460" s="45"/>
      <c r="J460" s="48"/>
      <c r="K460" s="48"/>
    </row>
    <row r="461" spans="2:11" ht="12.75" x14ac:dyDescent="0.2">
      <c r="B461" s="50"/>
      <c r="E461" s="45"/>
      <c r="J461" s="48"/>
      <c r="K461" s="48"/>
    </row>
    <row r="462" spans="2:11" ht="12.75" x14ac:dyDescent="0.2">
      <c r="B462" s="50"/>
      <c r="E462" s="45"/>
      <c r="J462" s="48"/>
      <c r="K462" s="48"/>
    </row>
    <row r="463" spans="2:11" ht="12.75" x14ac:dyDescent="0.2">
      <c r="B463" s="50"/>
      <c r="E463" s="45"/>
      <c r="J463" s="48"/>
      <c r="K463" s="48"/>
    </row>
    <row r="464" spans="2:11" ht="12.75" x14ac:dyDescent="0.2">
      <c r="B464" s="50"/>
      <c r="E464" s="45"/>
      <c r="J464" s="48"/>
      <c r="K464" s="48"/>
    </row>
    <row r="465" spans="2:11" ht="12.75" x14ac:dyDescent="0.2">
      <c r="B465" s="50"/>
      <c r="E465" s="45"/>
      <c r="J465" s="48"/>
      <c r="K465" s="48"/>
    </row>
    <row r="466" spans="2:11" ht="12.75" x14ac:dyDescent="0.2">
      <c r="B466" s="50"/>
      <c r="E466" s="45"/>
      <c r="J466" s="48"/>
      <c r="K466" s="48"/>
    </row>
    <row r="467" spans="2:11" ht="12.75" x14ac:dyDescent="0.2">
      <c r="B467" s="50"/>
      <c r="E467" s="45"/>
      <c r="J467" s="48"/>
      <c r="K467" s="48"/>
    </row>
    <row r="468" spans="2:11" ht="12.75" x14ac:dyDescent="0.2">
      <c r="B468" s="50"/>
      <c r="E468" s="45"/>
      <c r="J468" s="48"/>
      <c r="K468" s="48"/>
    </row>
    <row r="469" spans="2:11" ht="12.75" x14ac:dyDescent="0.2">
      <c r="B469" s="50"/>
      <c r="E469" s="45"/>
      <c r="J469" s="48"/>
      <c r="K469" s="48"/>
    </row>
    <row r="470" spans="2:11" ht="12.75" x14ac:dyDescent="0.2">
      <c r="B470" s="50"/>
      <c r="E470" s="45"/>
      <c r="J470" s="48"/>
      <c r="K470" s="48"/>
    </row>
    <row r="471" spans="2:11" ht="12.75" x14ac:dyDescent="0.2">
      <c r="B471" s="50"/>
      <c r="E471" s="45"/>
      <c r="J471" s="48"/>
      <c r="K471" s="48"/>
    </row>
    <row r="472" spans="2:11" ht="12.75" x14ac:dyDescent="0.2">
      <c r="B472" s="50"/>
      <c r="E472" s="45"/>
      <c r="J472" s="48"/>
      <c r="K472" s="48"/>
    </row>
    <row r="473" spans="2:11" ht="12.75" x14ac:dyDescent="0.2">
      <c r="B473" s="50"/>
      <c r="E473" s="45"/>
      <c r="J473" s="48"/>
      <c r="K473" s="48"/>
    </row>
    <row r="474" spans="2:11" ht="12.75" x14ac:dyDescent="0.2">
      <c r="B474" s="50"/>
      <c r="E474" s="45"/>
      <c r="J474" s="48"/>
      <c r="K474" s="48"/>
    </row>
    <row r="475" spans="2:11" ht="12.75" x14ac:dyDescent="0.2">
      <c r="B475" s="50"/>
      <c r="E475" s="45"/>
      <c r="J475" s="48"/>
      <c r="K475" s="48"/>
    </row>
    <row r="476" spans="2:11" ht="12.75" x14ac:dyDescent="0.2">
      <c r="B476" s="50"/>
      <c r="E476" s="45"/>
      <c r="J476" s="48"/>
      <c r="K476" s="48"/>
    </row>
    <row r="477" spans="2:11" ht="12.75" x14ac:dyDescent="0.2">
      <c r="B477" s="50"/>
      <c r="E477" s="45"/>
      <c r="J477" s="48"/>
      <c r="K477" s="48"/>
    </row>
    <row r="478" spans="2:11" ht="12.75" x14ac:dyDescent="0.2">
      <c r="B478" s="50"/>
      <c r="E478" s="45"/>
      <c r="J478" s="48"/>
      <c r="K478" s="48"/>
    </row>
    <row r="479" spans="2:11" ht="12.75" x14ac:dyDescent="0.2">
      <c r="B479" s="50"/>
      <c r="E479" s="45"/>
      <c r="J479" s="48"/>
      <c r="K479" s="48"/>
    </row>
    <row r="480" spans="2:11" ht="12.75" x14ac:dyDescent="0.2">
      <c r="B480" s="50"/>
      <c r="E480" s="45"/>
      <c r="J480" s="48"/>
      <c r="K480" s="48"/>
    </row>
    <row r="481" spans="2:11" ht="12.75" x14ac:dyDescent="0.2">
      <c r="B481" s="50"/>
      <c r="E481" s="45"/>
      <c r="J481" s="48"/>
      <c r="K481" s="48"/>
    </row>
    <row r="482" spans="2:11" ht="12.75" x14ac:dyDescent="0.2">
      <c r="B482" s="50"/>
      <c r="E482" s="45"/>
      <c r="J482" s="48"/>
      <c r="K482" s="48"/>
    </row>
    <row r="483" spans="2:11" ht="12.75" x14ac:dyDescent="0.2">
      <c r="B483" s="50"/>
      <c r="E483" s="45"/>
      <c r="J483" s="48"/>
      <c r="K483" s="48"/>
    </row>
    <row r="484" spans="2:11" ht="12.75" x14ac:dyDescent="0.2">
      <c r="B484" s="50"/>
      <c r="E484" s="45"/>
      <c r="J484" s="48"/>
      <c r="K484" s="48"/>
    </row>
    <row r="485" spans="2:11" ht="12.75" x14ac:dyDescent="0.2">
      <c r="B485" s="50"/>
      <c r="E485" s="45"/>
      <c r="J485" s="48"/>
      <c r="K485" s="48"/>
    </row>
    <row r="486" spans="2:11" ht="12.75" x14ac:dyDescent="0.2">
      <c r="B486" s="50"/>
      <c r="E486" s="45"/>
      <c r="J486" s="48"/>
      <c r="K486" s="48"/>
    </row>
    <row r="487" spans="2:11" ht="12.75" x14ac:dyDescent="0.2">
      <c r="B487" s="50"/>
      <c r="E487" s="45"/>
      <c r="J487" s="48"/>
      <c r="K487" s="48"/>
    </row>
    <row r="488" spans="2:11" ht="12.75" x14ac:dyDescent="0.2">
      <c r="B488" s="50"/>
      <c r="E488" s="45"/>
      <c r="J488" s="48"/>
      <c r="K488" s="48"/>
    </row>
    <row r="489" spans="2:11" ht="12.75" x14ac:dyDescent="0.2">
      <c r="B489" s="50"/>
      <c r="E489" s="45"/>
      <c r="J489" s="48"/>
      <c r="K489" s="48"/>
    </row>
    <row r="490" spans="2:11" ht="12.75" x14ac:dyDescent="0.2">
      <c r="B490" s="50"/>
      <c r="E490" s="45"/>
      <c r="J490" s="48"/>
      <c r="K490" s="48"/>
    </row>
    <row r="491" spans="2:11" ht="12.75" x14ac:dyDescent="0.2">
      <c r="B491" s="50"/>
      <c r="E491" s="45"/>
      <c r="J491" s="48"/>
      <c r="K491" s="48"/>
    </row>
    <row r="492" spans="2:11" ht="12.75" x14ac:dyDescent="0.2">
      <c r="B492" s="50"/>
      <c r="E492" s="45"/>
      <c r="J492" s="48"/>
      <c r="K492" s="48"/>
    </row>
    <row r="493" spans="2:11" ht="12.75" x14ac:dyDescent="0.2">
      <c r="B493" s="50"/>
      <c r="E493" s="45"/>
      <c r="J493" s="48"/>
      <c r="K493" s="48"/>
    </row>
    <row r="494" spans="2:11" ht="12.75" x14ac:dyDescent="0.2">
      <c r="B494" s="50"/>
      <c r="E494" s="45"/>
      <c r="J494" s="48"/>
      <c r="K494" s="48"/>
    </row>
    <row r="495" spans="2:11" ht="12.75" x14ac:dyDescent="0.2">
      <c r="B495" s="50"/>
      <c r="E495" s="45"/>
      <c r="J495" s="48"/>
      <c r="K495" s="48"/>
    </row>
    <row r="496" spans="2:11" ht="12.75" x14ac:dyDescent="0.2">
      <c r="B496" s="50"/>
      <c r="E496" s="45"/>
      <c r="J496" s="48"/>
      <c r="K496" s="48"/>
    </row>
    <row r="497" spans="2:11" ht="12.75" x14ac:dyDescent="0.2">
      <c r="B497" s="50"/>
      <c r="E497" s="45"/>
      <c r="J497" s="48"/>
      <c r="K497" s="48"/>
    </row>
    <row r="498" spans="2:11" ht="12.75" x14ac:dyDescent="0.2">
      <c r="B498" s="50"/>
      <c r="E498" s="45"/>
      <c r="J498" s="48"/>
      <c r="K498" s="48"/>
    </row>
    <row r="499" spans="2:11" ht="12.75" x14ac:dyDescent="0.2">
      <c r="B499" s="50"/>
      <c r="E499" s="45"/>
      <c r="J499" s="48"/>
      <c r="K499" s="48"/>
    </row>
    <row r="500" spans="2:11" ht="12.75" x14ac:dyDescent="0.2">
      <c r="B500" s="50"/>
      <c r="E500" s="45"/>
      <c r="J500" s="48"/>
      <c r="K500" s="48"/>
    </row>
    <row r="501" spans="2:11" ht="12.75" x14ac:dyDescent="0.2">
      <c r="B501" s="50"/>
      <c r="E501" s="45"/>
      <c r="J501" s="48"/>
      <c r="K501" s="48"/>
    </row>
    <row r="502" spans="2:11" ht="12.75" x14ac:dyDescent="0.2">
      <c r="B502" s="50"/>
      <c r="E502" s="45"/>
      <c r="J502" s="48"/>
      <c r="K502" s="48"/>
    </row>
    <row r="503" spans="2:11" ht="12.75" x14ac:dyDescent="0.2">
      <c r="B503" s="50"/>
      <c r="E503" s="45"/>
      <c r="J503" s="48"/>
      <c r="K503" s="48"/>
    </row>
    <row r="504" spans="2:11" ht="12.75" x14ac:dyDescent="0.2">
      <c r="B504" s="50"/>
      <c r="E504" s="45"/>
      <c r="J504" s="48"/>
      <c r="K504" s="48"/>
    </row>
    <row r="505" spans="2:11" ht="12.75" x14ac:dyDescent="0.2">
      <c r="B505" s="50"/>
      <c r="E505" s="45"/>
      <c r="J505" s="48"/>
      <c r="K505" s="48"/>
    </row>
    <row r="506" spans="2:11" ht="12.75" x14ac:dyDescent="0.2">
      <c r="B506" s="50"/>
      <c r="E506" s="45"/>
      <c r="J506" s="48"/>
      <c r="K506" s="48"/>
    </row>
    <row r="507" spans="2:11" ht="12.75" x14ac:dyDescent="0.2">
      <c r="B507" s="50"/>
      <c r="E507" s="45"/>
      <c r="J507" s="48"/>
      <c r="K507" s="48"/>
    </row>
    <row r="508" spans="2:11" ht="12.75" x14ac:dyDescent="0.2">
      <c r="B508" s="50"/>
      <c r="E508" s="45"/>
      <c r="J508" s="48"/>
      <c r="K508" s="48"/>
    </row>
    <row r="509" spans="2:11" ht="12.75" x14ac:dyDescent="0.2">
      <c r="B509" s="50"/>
      <c r="E509" s="45"/>
      <c r="J509" s="48"/>
      <c r="K509" s="48"/>
    </row>
    <row r="510" spans="2:11" ht="12.75" x14ac:dyDescent="0.2">
      <c r="B510" s="50"/>
      <c r="E510" s="45"/>
      <c r="J510" s="48"/>
      <c r="K510" s="48"/>
    </row>
    <row r="511" spans="2:11" ht="12.75" x14ac:dyDescent="0.2">
      <c r="B511" s="50"/>
      <c r="E511" s="45"/>
      <c r="J511" s="48"/>
      <c r="K511" s="48"/>
    </row>
    <row r="512" spans="2:11" ht="12.75" x14ac:dyDescent="0.2">
      <c r="B512" s="50"/>
      <c r="E512" s="45"/>
      <c r="J512" s="48"/>
      <c r="K512" s="48"/>
    </row>
    <row r="513" spans="2:11" ht="12.75" x14ac:dyDescent="0.2">
      <c r="B513" s="50"/>
      <c r="E513" s="45"/>
      <c r="J513" s="48"/>
      <c r="K513" s="48"/>
    </row>
    <row r="514" spans="2:11" ht="12.75" x14ac:dyDescent="0.2">
      <c r="B514" s="50"/>
      <c r="E514" s="45"/>
      <c r="J514" s="48"/>
      <c r="K514" s="48"/>
    </row>
    <row r="515" spans="2:11" ht="12.75" x14ac:dyDescent="0.2">
      <c r="B515" s="50"/>
      <c r="E515" s="45"/>
      <c r="J515" s="48"/>
      <c r="K515" s="48"/>
    </row>
    <row r="516" spans="2:11" ht="12.75" x14ac:dyDescent="0.2">
      <c r="B516" s="50"/>
      <c r="E516" s="45"/>
      <c r="J516" s="48"/>
      <c r="K516" s="48"/>
    </row>
    <row r="517" spans="2:11" ht="12.75" x14ac:dyDescent="0.2">
      <c r="B517" s="50"/>
      <c r="E517" s="45"/>
      <c r="J517" s="48"/>
      <c r="K517" s="48"/>
    </row>
    <row r="518" spans="2:11" ht="12.75" x14ac:dyDescent="0.2">
      <c r="B518" s="50"/>
      <c r="E518" s="45"/>
      <c r="J518" s="48"/>
      <c r="K518" s="48"/>
    </row>
    <row r="519" spans="2:11" ht="12.75" x14ac:dyDescent="0.2">
      <c r="B519" s="50"/>
      <c r="E519" s="45"/>
      <c r="J519" s="48"/>
      <c r="K519" s="48"/>
    </row>
    <row r="520" spans="2:11" ht="12.75" x14ac:dyDescent="0.2">
      <c r="B520" s="50"/>
      <c r="E520" s="45"/>
      <c r="J520" s="48"/>
      <c r="K520" s="48"/>
    </row>
    <row r="521" spans="2:11" ht="12.75" x14ac:dyDescent="0.2">
      <c r="B521" s="50"/>
      <c r="E521" s="45"/>
      <c r="J521" s="48"/>
      <c r="K521" s="48"/>
    </row>
    <row r="522" spans="2:11" ht="12.75" x14ac:dyDescent="0.2">
      <c r="B522" s="50"/>
      <c r="E522" s="45"/>
      <c r="J522" s="48"/>
      <c r="K522" s="48"/>
    </row>
    <row r="523" spans="2:11" ht="12.75" x14ac:dyDescent="0.2">
      <c r="B523" s="50"/>
      <c r="E523" s="45"/>
      <c r="J523" s="48"/>
      <c r="K523" s="48"/>
    </row>
    <row r="524" spans="2:11" ht="12.75" x14ac:dyDescent="0.2">
      <c r="B524" s="50"/>
      <c r="E524" s="45"/>
      <c r="J524" s="48"/>
      <c r="K524" s="48"/>
    </row>
    <row r="525" spans="2:11" ht="12.75" x14ac:dyDescent="0.2">
      <c r="B525" s="50"/>
      <c r="E525" s="45"/>
      <c r="J525" s="48"/>
      <c r="K525" s="48"/>
    </row>
    <row r="526" spans="2:11" ht="12.75" x14ac:dyDescent="0.2">
      <c r="B526" s="50"/>
      <c r="E526" s="45"/>
      <c r="J526" s="48"/>
      <c r="K526" s="48"/>
    </row>
    <row r="527" spans="2:11" ht="12.75" x14ac:dyDescent="0.2">
      <c r="B527" s="50"/>
      <c r="E527" s="45"/>
      <c r="J527" s="48"/>
      <c r="K527" s="48"/>
    </row>
    <row r="528" spans="2:11" ht="12.75" x14ac:dyDescent="0.2">
      <c r="B528" s="50"/>
      <c r="E528" s="45"/>
      <c r="J528" s="48"/>
      <c r="K528" s="48"/>
    </row>
    <row r="529" spans="2:11" ht="12.75" x14ac:dyDescent="0.2">
      <c r="B529" s="50"/>
      <c r="E529" s="45"/>
      <c r="J529" s="48"/>
      <c r="K529" s="48"/>
    </row>
    <row r="530" spans="2:11" ht="12.75" x14ac:dyDescent="0.2">
      <c r="B530" s="50"/>
      <c r="E530" s="45"/>
      <c r="J530" s="48"/>
      <c r="K530" s="48"/>
    </row>
    <row r="531" spans="2:11" ht="12.75" x14ac:dyDescent="0.2">
      <c r="B531" s="50"/>
      <c r="E531" s="45"/>
      <c r="J531" s="48"/>
      <c r="K531" s="48"/>
    </row>
    <row r="532" spans="2:11" ht="12.75" x14ac:dyDescent="0.2">
      <c r="B532" s="50"/>
      <c r="E532" s="45"/>
      <c r="J532" s="48"/>
      <c r="K532" s="48"/>
    </row>
    <row r="533" spans="2:11" ht="12.75" x14ac:dyDescent="0.2">
      <c r="B533" s="50"/>
      <c r="E533" s="45"/>
      <c r="J533" s="48"/>
      <c r="K533" s="48"/>
    </row>
    <row r="534" spans="2:11" ht="12.75" x14ac:dyDescent="0.2">
      <c r="B534" s="50"/>
      <c r="E534" s="45"/>
      <c r="J534" s="48"/>
      <c r="K534" s="48"/>
    </row>
    <row r="535" spans="2:11" ht="12.75" x14ac:dyDescent="0.2">
      <c r="B535" s="50"/>
      <c r="E535" s="45"/>
      <c r="J535" s="48"/>
      <c r="K535" s="48"/>
    </row>
    <row r="536" spans="2:11" ht="12.75" x14ac:dyDescent="0.2">
      <c r="B536" s="50"/>
      <c r="E536" s="45"/>
      <c r="J536" s="48"/>
      <c r="K536" s="48"/>
    </row>
    <row r="537" spans="2:11" ht="12.75" x14ac:dyDescent="0.2">
      <c r="B537" s="50"/>
      <c r="E537" s="45"/>
      <c r="J537" s="48"/>
      <c r="K537" s="48"/>
    </row>
    <row r="538" spans="2:11" ht="12.75" x14ac:dyDescent="0.2">
      <c r="B538" s="50"/>
      <c r="E538" s="45"/>
      <c r="J538" s="48"/>
      <c r="K538" s="48"/>
    </row>
    <row r="539" spans="2:11" ht="12.75" x14ac:dyDescent="0.2">
      <c r="B539" s="50"/>
      <c r="E539" s="45"/>
      <c r="J539" s="48"/>
      <c r="K539" s="48"/>
    </row>
    <row r="540" spans="2:11" ht="12.75" x14ac:dyDescent="0.2">
      <c r="B540" s="50"/>
      <c r="E540" s="45"/>
      <c r="J540" s="48"/>
      <c r="K540" s="48"/>
    </row>
    <row r="541" spans="2:11" ht="12.75" x14ac:dyDescent="0.2">
      <c r="B541" s="50"/>
      <c r="E541" s="45"/>
      <c r="J541" s="48"/>
      <c r="K541" s="48"/>
    </row>
    <row r="542" spans="2:11" ht="12.75" x14ac:dyDescent="0.2">
      <c r="B542" s="50"/>
      <c r="E542" s="45"/>
      <c r="J542" s="48"/>
      <c r="K542" s="48"/>
    </row>
    <row r="543" spans="2:11" ht="12.75" x14ac:dyDescent="0.2">
      <c r="B543" s="50"/>
      <c r="E543" s="45"/>
      <c r="J543" s="48"/>
      <c r="K543" s="48"/>
    </row>
    <row r="544" spans="2:11" ht="12.75" x14ac:dyDescent="0.2">
      <c r="B544" s="50"/>
      <c r="E544" s="45"/>
      <c r="J544" s="48"/>
      <c r="K544" s="48"/>
    </row>
    <row r="545" spans="2:11" ht="12.75" x14ac:dyDescent="0.2">
      <c r="B545" s="50"/>
      <c r="E545" s="45"/>
      <c r="J545" s="48"/>
      <c r="K545" s="48"/>
    </row>
    <row r="546" spans="2:11" ht="12.75" x14ac:dyDescent="0.2">
      <c r="B546" s="50"/>
      <c r="E546" s="45"/>
      <c r="J546" s="48"/>
      <c r="K546" s="48"/>
    </row>
    <row r="547" spans="2:11" ht="12.75" x14ac:dyDescent="0.2">
      <c r="B547" s="50"/>
      <c r="E547" s="45"/>
      <c r="J547" s="48"/>
      <c r="K547" s="48"/>
    </row>
    <row r="548" spans="2:11" ht="12.75" x14ac:dyDescent="0.2">
      <c r="B548" s="50"/>
      <c r="E548" s="45"/>
      <c r="J548" s="48"/>
      <c r="K548" s="48"/>
    </row>
    <row r="549" spans="2:11" ht="12.75" x14ac:dyDescent="0.2">
      <c r="B549" s="50"/>
      <c r="E549" s="45"/>
      <c r="J549" s="48"/>
      <c r="K549" s="48"/>
    </row>
    <row r="550" spans="2:11" ht="12.75" x14ac:dyDescent="0.2">
      <c r="B550" s="50"/>
      <c r="E550" s="45"/>
      <c r="J550" s="48"/>
      <c r="K550" s="48"/>
    </row>
    <row r="551" spans="2:11" ht="12.75" x14ac:dyDescent="0.2">
      <c r="B551" s="50"/>
      <c r="E551" s="45"/>
      <c r="J551" s="48"/>
      <c r="K551" s="48"/>
    </row>
    <row r="552" spans="2:11" ht="12.75" x14ac:dyDescent="0.2">
      <c r="B552" s="50"/>
      <c r="E552" s="45"/>
      <c r="J552" s="48"/>
      <c r="K552" s="48"/>
    </row>
    <row r="553" spans="2:11" ht="12.75" x14ac:dyDescent="0.2">
      <c r="B553" s="50"/>
      <c r="E553" s="45"/>
      <c r="J553" s="48"/>
      <c r="K553" s="48"/>
    </row>
    <row r="554" spans="2:11" ht="12.75" x14ac:dyDescent="0.2">
      <c r="B554" s="50"/>
      <c r="E554" s="45"/>
      <c r="J554" s="48"/>
      <c r="K554" s="48"/>
    </row>
    <row r="555" spans="2:11" ht="12.75" x14ac:dyDescent="0.2">
      <c r="B555" s="50"/>
      <c r="E555" s="45"/>
      <c r="J555" s="48"/>
      <c r="K555" s="48"/>
    </row>
    <row r="556" spans="2:11" ht="12.75" x14ac:dyDescent="0.2">
      <c r="B556" s="50"/>
      <c r="E556" s="45"/>
      <c r="J556" s="48"/>
      <c r="K556" s="48"/>
    </row>
    <row r="557" spans="2:11" ht="12.75" x14ac:dyDescent="0.2">
      <c r="B557" s="50"/>
      <c r="E557" s="45"/>
      <c r="J557" s="48"/>
      <c r="K557" s="48"/>
    </row>
    <row r="558" spans="2:11" ht="12.75" x14ac:dyDescent="0.2">
      <c r="B558" s="50"/>
      <c r="E558" s="45"/>
      <c r="J558" s="48"/>
      <c r="K558" s="48"/>
    </row>
    <row r="559" spans="2:11" ht="12.75" x14ac:dyDescent="0.2">
      <c r="B559" s="50"/>
      <c r="E559" s="45"/>
      <c r="J559" s="48"/>
      <c r="K559" s="48"/>
    </row>
    <row r="560" spans="2:11" ht="12.75" x14ac:dyDescent="0.2">
      <c r="B560" s="50"/>
      <c r="E560" s="45"/>
      <c r="J560" s="48"/>
      <c r="K560" s="48"/>
    </row>
    <row r="561" spans="2:11" ht="12.75" x14ac:dyDescent="0.2">
      <c r="B561" s="50"/>
      <c r="E561" s="45"/>
      <c r="J561" s="48"/>
      <c r="K561" s="48"/>
    </row>
    <row r="562" spans="2:11" ht="12.75" x14ac:dyDescent="0.2">
      <c r="B562" s="50"/>
      <c r="E562" s="45"/>
      <c r="J562" s="48"/>
      <c r="K562" s="48"/>
    </row>
    <row r="563" spans="2:11" ht="12.75" x14ac:dyDescent="0.2">
      <c r="B563" s="50"/>
      <c r="E563" s="45"/>
      <c r="J563" s="48"/>
      <c r="K563" s="48"/>
    </row>
    <row r="564" spans="2:11" ht="12.75" x14ac:dyDescent="0.2">
      <c r="B564" s="50"/>
      <c r="E564" s="45"/>
      <c r="J564" s="48"/>
      <c r="K564" s="48"/>
    </row>
    <row r="565" spans="2:11" ht="12.75" x14ac:dyDescent="0.2">
      <c r="B565" s="50"/>
      <c r="E565" s="45"/>
      <c r="J565" s="48"/>
      <c r="K565" s="48"/>
    </row>
    <row r="566" spans="2:11" ht="12.75" x14ac:dyDescent="0.2">
      <c r="B566" s="50"/>
      <c r="E566" s="45"/>
      <c r="J566" s="48"/>
      <c r="K566" s="48"/>
    </row>
    <row r="567" spans="2:11" ht="12.75" x14ac:dyDescent="0.2">
      <c r="B567" s="50"/>
      <c r="E567" s="45"/>
      <c r="J567" s="48"/>
      <c r="K567" s="48"/>
    </row>
    <row r="568" spans="2:11" ht="12.75" x14ac:dyDescent="0.2">
      <c r="B568" s="50"/>
      <c r="E568" s="45"/>
      <c r="J568" s="48"/>
      <c r="K568" s="48"/>
    </row>
    <row r="569" spans="2:11" ht="12.75" x14ac:dyDescent="0.2">
      <c r="B569" s="50"/>
      <c r="E569" s="45"/>
      <c r="J569" s="48"/>
      <c r="K569" s="48"/>
    </row>
    <row r="570" spans="2:11" ht="12.75" x14ac:dyDescent="0.2">
      <c r="B570" s="50"/>
      <c r="E570" s="45"/>
      <c r="J570" s="48"/>
      <c r="K570" s="48"/>
    </row>
    <row r="571" spans="2:11" ht="12.75" x14ac:dyDescent="0.2">
      <c r="B571" s="50"/>
      <c r="E571" s="45"/>
      <c r="J571" s="48"/>
      <c r="K571" s="48"/>
    </row>
    <row r="572" spans="2:11" ht="12.75" x14ac:dyDescent="0.2">
      <c r="B572" s="50"/>
      <c r="E572" s="45"/>
      <c r="J572" s="48"/>
      <c r="K572" s="48"/>
    </row>
    <row r="573" spans="2:11" ht="12.75" x14ac:dyDescent="0.2">
      <c r="B573" s="50"/>
      <c r="E573" s="45"/>
      <c r="J573" s="48"/>
      <c r="K573" s="48"/>
    </row>
    <row r="574" spans="2:11" ht="12.75" x14ac:dyDescent="0.2">
      <c r="B574" s="50"/>
      <c r="E574" s="45"/>
      <c r="J574" s="48"/>
      <c r="K574" s="48"/>
    </row>
    <row r="575" spans="2:11" ht="12.75" x14ac:dyDescent="0.2">
      <c r="B575" s="50"/>
      <c r="E575" s="45"/>
      <c r="J575" s="48"/>
      <c r="K575" s="48"/>
    </row>
    <row r="576" spans="2:11" ht="12.75" x14ac:dyDescent="0.2">
      <c r="B576" s="50"/>
      <c r="E576" s="45"/>
      <c r="J576" s="48"/>
      <c r="K576" s="48"/>
    </row>
    <row r="577" spans="2:11" ht="12.75" x14ac:dyDescent="0.2">
      <c r="B577" s="50"/>
      <c r="E577" s="45"/>
      <c r="J577" s="48"/>
      <c r="K577" s="48"/>
    </row>
    <row r="578" spans="2:11" ht="12.75" x14ac:dyDescent="0.2">
      <c r="B578" s="50"/>
      <c r="E578" s="45"/>
      <c r="J578" s="48"/>
      <c r="K578" s="48"/>
    </row>
    <row r="579" spans="2:11" ht="12.75" x14ac:dyDescent="0.2">
      <c r="B579" s="50"/>
      <c r="E579" s="45"/>
      <c r="J579" s="48"/>
      <c r="K579" s="48"/>
    </row>
    <row r="580" spans="2:11" ht="12.75" x14ac:dyDescent="0.2">
      <c r="B580" s="50"/>
      <c r="E580" s="45"/>
      <c r="J580" s="48"/>
      <c r="K580" s="48"/>
    </row>
    <row r="581" spans="2:11" ht="12.75" x14ac:dyDescent="0.2">
      <c r="B581" s="50"/>
      <c r="E581" s="45"/>
      <c r="J581" s="48"/>
      <c r="K581" s="48"/>
    </row>
    <row r="582" spans="2:11" ht="12.75" x14ac:dyDescent="0.2">
      <c r="B582" s="50"/>
      <c r="E582" s="45"/>
      <c r="J582" s="48"/>
      <c r="K582" s="48"/>
    </row>
    <row r="583" spans="2:11" ht="12.75" x14ac:dyDescent="0.2">
      <c r="B583" s="50"/>
      <c r="E583" s="45"/>
      <c r="J583" s="48"/>
      <c r="K583" s="48"/>
    </row>
    <row r="584" spans="2:11" ht="12.75" x14ac:dyDescent="0.2">
      <c r="B584" s="50"/>
      <c r="E584" s="45"/>
      <c r="J584" s="48"/>
      <c r="K584" s="48"/>
    </row>
    <row r="585" spans="2:11" ht="12.75" x14ac:dyDescent="0.2">
      <c r="B585" s="50"/>
      <c r="E585" s="45"/>
      <c r="J585" s="48"/>
      <c r="K585" s="48"/>
    </row>
    <row r="586" spans="2:11" ht="12.75" x14ac:dyDescent="0.2">
      <c r="B586" s="50"/>
      <c r="E586" s="45"/>
      <c r="J586" s="48"/>
      <c r="K586" s="48"/>
    </row>
    <row r="587" spans="2:11" ht="12.75" x14ac:dyDescent="0.2">
      <c r="B587" s="50"/>
      <c r="E587" s="45"/>
      <c r="J587" s="48"/>
      <c r="K587" s="48"/>
    </row>
    <row r="588" spans="2:11" ht="12.75" x14ac:dyDescent="0.2">
      <c r="B588" s="50"/>
      <c r="E588" s="45"/>
      <c r="J588" s="48"/>
      <c r="K588" s="48"/>
    </row>
    <row r="589" spans="2:11" ht="12.75" x14ac:dyDescent="0.2">
      <c r="B589" s="50"/>
      <c r="E589" s="45"/>
      <c r="J589" s="48"/>
      <c r="K589" s="48"/>
    </row>
    <row r="590" spans="2:11" ht="12.75" x14ac:dyDescent="0.2">
      <c r="B590" s="50"/>
      <c r="E590" s="45"/>
      <c r="J590" s="48"/>
      <c r="K590" s="48"/>
    </row>
    <row r="591" spans="2:11" ht="12.75" x14ac:dyDescent="0.2">
      <c r="B591" s="50"/>
      <c r="E591" s="45"/>
      <c r="J591" s="48"/>
      <c r="K591" s="48"/>
    </row>
    <row r="592" spans="2:11" ht="12.75" x14ac:dyDescent="0.2">
      <c r="B592" s="50"/>
      <c r="E592" s="45"/>
      <c r="J592" s="48"/>
      <c r="K592" s="48"/>
    </row>
    <row r="593" spans="2:11" ht="12.75" x14ac:dyDescent="0.2">
      <c r="B593" s="50"/>
      <c r="E593" s="45"/>
      <c r="J593" s="48"/>
      <c r="K593" s="48"/>
    </row>
    <row r="594" spans="2:11" ht="12.75" x14ac:dyDescent="0.2">
      <c r="B594" s="50"/>
      <c r="E594" s="45"/>
      <c r="J594" s="48"/>
      <c r="K594" s="48"/>
    </row>
    <row r="595" spans="2:11" ht="12.75" x14ac:dyDescent="0.2">
      <c r="B595" s="50"/>
      <c r="E595" s="45"/>
      <c r="J595" s="48"/>
      <c r="K595" s="48"/>
    </row>
    <row r="596" spans="2:11" ht="12.75" x14ac:dyDescent="0.2">
      <c r="B596" s="50"/>
      <c r="E596" s="45"/>
      <c r="J596" s="48"/>
      <c r="K596" s="48"/>
    </row>
    <row r="597" spans="2:11" ht="12.75" x14ac:dyDescent="0.2">
      <c r="B597" s="50"/>
      <c r="E597" s="45"/>
      <c r="J597" s="48"/>
      <c r="K597" s="48"/>
    </row>
    <row r="598" spans="2:11" ht="12.75" x14ac:dyDescent="0.2">
      <c r="B598" s="50"/>
      <c r="E598" s="45"/>
      <c r="J598" s="48"/>
      <c r="K598" s="48"/>
    </row>
    <row r="599" spans="2:11" ht="12.75" x14ac:dyDescent="0.2">
      <c r="B599" s="50"/>
      <c r="E599" s="45"/>
      <c r="J599" s="48"/>
      <c r="K599" s="48"/>
    </row>
    <row r="600" spans="2:11" ht="12.75" x14ac:dyDescent="0.2">
      <c r="B600" s="50"/>
      <c r="E600" s="45"/>
      <c r="J600" s="48"/>
      <c r="K600" s="48"/>
    </row>
    <row r="601" spans="2:11" ht="12.75" x14ac:dyDescent="0.2">
      <c r="B601" s="50"/>
      <c r="E601" s="45"/>
      <c r="J601" s="48"/>
      <c r="K601" s="48"/>
    </row>
    <row r="602" spans="2:11" ht="12.75" x14ac:dyDescent="0.2">
      <c r="B602" s="50"/>
      <c r="E602" s="45"/>
      <c r="J602" s="48"/>
      <c r="K602" s="48"/>
    </row>
    <row r="603" spans="2:11" ht="12.75" x14ac:dyDescent="0.2">
      <c r="B603" s="50"/>
      <c r="E603" s="45"/>
      <c r="J603" s="48"/>
      <c r="K603" s="48"/>
    </row>
    <row r="604" spans="2:11" ht="12.75" x14ac:dyDescent="0.2">
      <c r="B604" s="50"/>
      <c r="E604" s="45"/>
      <c r="J604" s="48"/>
      <c r="K604" s="48"/>
    </row>
    <row r="605" spans="2:11" ht="12.75" x14ac:dyDescent="0.2">
      <c r="B605" s="50"/>
      <c r="E605" s="45"/>
      <c r="J605" s="48"/>
      <c r="K605" s="48"/>
    </row>
    <row r="606" spans="2:11" ht="12.75" x14ac:dyDescent="0.2">
      <c r="B606" s="50"/>
      <c r="E606" s="45"/>
      <c r="J606" s="48"/>
      <c r="K606" s="48"/>
    </row>
    <row r="607" spans="2:11" ht="12.75" x14ac:dyDescent="0.2">
      <c r="B607" s="50"/>
      <c r="E607" s="45"/>
      <c r="J607" s="48"/>
      <c r="K607" s="48"/>
    </row>
    <row r="608" spans="2:11" ht="12.75" x14ac:dyDescent="0.2">
      <c r="B608" s="50"/>
      <c r="E608" s="45"/>
      <c r="J608" s="48"/>
      <c r="K608" s="48"/>
    </row>
    <row r="609" spans="2:11" ht="12.75" x14ac:dyDescent="0.2">
      <c r="B609" s="50"/>
      <c r="E609" s="45"/>
      <c r="J609" s="48"/>
      <c r="K609" s="48"/>
    </row>
    <row r="610" spans="2:11" ht="12.75" x14ac:dyDescent="0.2">
      <c r="B610" s="50"/>
      <c r="E610" s="45"/>
      <c r="J610" s="48"/>
      <c r="K610" s="48"/>
    </row>
    <row r="611" spans="2:11" ht="12.75" x14ac:dyDescent="0.2">
      <c r="B611" s="50"/>
      <c r="E611" s="45"/>
      <c r="J611" s="48"/>
      <c r="K611" s="48"/>
    </row>
    <row r="612" spans="2:11" ht="12.75" x14ac:dyDescent="0.2">
      <c r="B612" s="50"/>
      <c r="E612" s="45"/>
      <c r="J612" s="48"/>
      <c r="K612" s="48"/>
    </row>
    <row r="613" spans="2:11" ht="12.75" x14ac:dyDescent="0.2">
      <c r="B613" s="50"/>
      <c r="E613" s="45"/>
      <c r="J613" s="48"/>
      <c r="K613" s="48"/>
    </row>
    <row r="614" spans="2:11" ht="12.75" x14ac:dyDescent="0.2">
      <c r="B614" s="50"/>
      <c r="E614" s="45"/>
      <c r="J614" s="48"/>
      <c r="K614" s="48"/>
    </row>
    <row r="615" spans="2:11" ht="12.75" x14ac:dyDescent="0.2">
      <c r="B615" s="50"/>
      <c r="E615" s="45"/>
      <c r="J615" s="48"/>
      <c r="K615" s="48"/>
    </row>
    <row r="616" spans="2:11" ht="12.75" x14ac:dyDescent="0.2">
      <c r="B616" s="50"/>
      <c r="E616" s="45"/>
      <c r="J616" s="48"/>
      <c r="K616" s="48"/>
    </row>
    <row r="617" spans="2:11" ht="12.75" x14ac:dyDescent="0.2">
      <c r="B617" s="50"/>
      <c r="E617" s="45"/>
      <c r="J617" s="48"/>
      <c r="K617" s="48"/>
    </row>
    <row r="618" spans="2:11" ht="12.75" x14ac:dyDescent="0.2">
      <c r="B618" s="50"/>
      <c r="E618" s="45"/>
      <c r="J618" s="48"/>
      <c r="K618" s="48"/>
    </row>
    <row r="619" spans="2:11" ht="12.75" x14ac:dyDescent="0.2">
      <c r="B619" s="50"/>
      <c r="E619" s="45"/>
      <c r="J619" s="48"/>
      <c r="K619" s="48"/>
    </row>
    <row r="620" spans="2:11" ht="12.75" x14ac:dyDescent="0.2">
      <c r="B620" s="50"/>
      <c r="E620" s="45"/>
      <c r="J620" s="48"/>
      <c r="K620" s="48"/>
    </row>
    <row r="621" spans="2:11" ht="12.75" x14ac:dyDescent="0.2">
      <c r="B621" s="50"/>
      <c r="E621" s="45"/>
      <c r="J621" s="48"/>
      <c r="K621" s="48"/>
    </row>
    <row r="622" spans="2:11" ht="12.75" x14ac:dyDescent="0.2">
      <c r="B622" s="50"/>
      <c r="E622" s="45"/>
      <c r="J622" s="48"/>
      <c r="K622" s="48"/>
    </row>
    <row r="623" spans="2:11" ht="12.75" x14ac:dyDescent="0.2">
      <c r="B623" s="50"/>
      <c r="E623" s="45"/>
      <c r="J623" s="48"/>
      <c r="K623" s="48"/>
    </row>
    <row r="624" spans="2:11" ht="12.75" x14ac:dyDescent="0.2">
      <c r="B624" s="50"/>
      <c r="E624" s="45"/>
      <c r="J624" s="48"/>
      <c r="K624" s="48"/>
    </row>
    <row r="625" spans="2:11" ht="12.75" x14ac:dyDescent="0.2">
      <c r="B625" s="50"/>
      <c r="E625" s="45"/>
      <c r="J625" s="48"/>
      <c r="K625" s="48"/>
    </row>
    <row r="626" spans="2:11" ht="12.75" x14ac:dyDescent="0.2">
      <c r="B626" s="50"/>
      <c r="E626" s="45"/>
      <c r="J626" s="48"/>
      <c r="K626" s="48"/>
    </row>
    <row r="627" spans="2:11" ht="12.75" x14ac:dyDescent="0.2">
      <c r="B627" s="50"/>
      <c r="E627" s="45"/>
      <c r="J627" s="48"/>
      <c r="K627" s="48"/>
    </row>
    <row r="628" spans="2:11" ht="12.75" x14ac:dyDescent="0.2">
      <c r="B628" s="50"/>
      <c r="E628" s="45"/>
      <c r="J628" s="48"/>
      <c r="K628" s="48"/>
    </row>
    <row r="629" spans="2:11" ht="12.75" x14ac:dyDescent="0.2">
      <c r="B629" s="50"/>
      <c r="E629" s="45"/>
      <c r="J629" s="48"/>
      <c r="K629" s="48"/>
    </row>
    <row r="630" spans="2:11" ht="12.75" x14ac:dyDescent="0.2">
      <c r="B630" s="50"/>
      <c r="E630" s="45"/>
      <c r="J630" s="48"/>
      <c r="K630" s="48"/>
    </row>
    <row r="631" spans="2:11" ht="12.75" x14ac:dyDescent="0.2">
      <c r="B631" s="50"/>
      <c r="E631" s="45"/>
      <c r="J631" s="48"/>
      <c r="K631" s="48"/>
    </row>
    <row r="632" spans="2:11" ht="12.75" x14ac:dyDescent="0.2">
      <c r="B632" s="50"/>
      <c r="E632" s="45"/>
      <c r="J632" s="48"/>
      <c r="K632" s="48"/>
    </row>
    <row r="633" spans="2:11" ht="12.75" x14ac:dyDescent="0.2">
      <c r="B633" s="50"/>
      <c r="E633" s="45"/>
      <c r="J633" s="48"/>
      <c r="K633" s="48"/>
    </row>
    <row r="634" spans="2:11" ht="12.75" x14ac:dyDescent="0.2">
      <c r="B634" s="50"/>
      <c r="E634" s="45"/>
      <c r="J634" s="48"/>
      <c r="K634" s="48"/>
    </row>
    <row r="635" spans="2:11" ht="12.75" x14ac:dyDescent="0.2">
      <c r="B635" s="50"/>
      <c r="E635" s="45"/>
      <c r="J635" s="48"/>
      <c r="K635" s="48"/>
    </row>
    <row r="636" spans="2:11" ht="12.75" x14ac:dyDescent="0.2">
      <c r="B636" s="50"/>
      <c r="E636" s="45"/>
      <c r="J636" s="48"/>
      <c r="K636" s="48"/>
    </row>
    <row r="637" spans="2:11" ht="12.75" x14ac:dyDescent="0.2">
      <c r="B637" s="50"/>
      <c r="E637" s="45"/>
      <c r="J637" s="48"/>
      <c r="K637" s="48"/>
    </row>
    <row r="638" spans="2:11" ht="12.75" x14ac:dyDescent="0.2">
      <c r="B638" s="50"/>
      <c r="E638" s="45"/>
      <c r="J638" s="48"/>
      <c r="K638" s="48"/>
    </row>
    <row r="639" spans="2:11" ht="12.75" x14ac:dyDescent="0.2">
      <c r="B639" s="50"/>
      <c r="E639" s="45"/>
      <c r="J639" s="48"/>
      <c r="K639" s="48"/>
    </row>
    <row r="640" spans="2:11" ht="12.75" x14ac:dyDescent="0.2">
      <c r="B640" s="50"/>
      <c r="E640" s="45"/>
      <c r="J640" s="48"/>
      <c r="K640" s="48"/>
    </row>
    <row r="641" spans="2:11" ht="12.75" x14ac:dyDescent="0.2">
      <c r="B641" s="50"/>
      <c r="E641" s="45"/>
      <c r="J641" s="48"/>
      <c r="K641" s="48"/>
    </row>
    <row r="642" spans="2:11" ht="12.75" x14ac:dyDescent="0.2">
      <c r="B642" s="50"/>
      <c r="E642" s="45"/>
      <c r="J642" s="48"/>
      <c r="K642" s="48"/>
    </row>
    <row r="643" spans="2:11" ht="12.75" x14ac:dyDescent="0.2">
      <c r="B643" s="50"/>
      <c r="E643" s="45"/>
      <c r="J643" s="48"/>
      <c r="K643" s="48"/>
    </row>
    <row r="644" spans="2:11" ht="12.75" x14ac:dyDescent="0.2">
      <c r="B644" s="50"/>
      <c r="E644" s="45"/>
      <c r="J644" s="48"/>
      <c r="K644" s="48"/>
    </row>
    <row r="645" spans="2:11" ht="12.75" x14ac:dyDescent="0.2">
      <c r="B645" s="50"/>
      <c r="E645" s="45"/>
      <c r="J645" s="48"/>
      <c r="K645" s="48"/>
    </row>
    <row r="646" spans="2:11" ht="12.75" x14ac:dyDescent="0.2">
      <c r="B646" s="50"/>
      <c r="E646" s="45"/>
      <c r="J646" s="48"/>
      <c r="K646" s="48"/>
    </row>
    <row r="647" spans="2:11" ht="12.75" x14ac:dyDescent="0.2">
      <c r="B647" s="50"/>
      <c r="E647" s="45"/>
      <c r="J647" s="48"/>
      <c r="K647" s="48"/>
    </row>
    <row r="648" spans="2:11" ht="12.75" x14ac:dyDescent="0.2">
      <c r="B648" s="50"/>
      <c r="E648" s="45"/>
      <c r="J648" s="48"/>
      <c r="K648" s="48"/>
    </row>
    <row r="649" spans="2:11" ht="12.75" x14ac:dyDescent="0.2">
      <c r="B649" s="50"/>
      <c r="E649" s="45"/>
      <c r="J649" s="48"/>
      <c r="K649" s="48"/>
    </row>
    <row r="650" spans="2:11" ht="12.75" x14ac:dyDescent="0.2">
      <c r="B650" s="50"/>
      <c r="E650" s="45"/>
      <c r="J650" s="48"/>
      <c r="K650" s="48"/>
    </row>
    <row r="651" spans="2:11" ht="12.75" x14ac:dyDescent="0.2">
      <c r="B651" s="50"/>
      <c r="E651" s="45"/>
      <c r="J651" s="48"/>
      <c r="K651" s="48"/>
    </row>
    <row r="652" spans="2:11" ht="12.75" x14ac:dyDescent="0.2">
      <c r="B652" s="50"/>
      <c r="E652" s="45"/>
      <c r="J652" s="48"/>
      <c r="K652" s="48"/>
    </row>
    <row r="653" spans="2:11" ht="12.75" x14ac:dyDescent="0.2">
      <c r="B653" s="50"/>
      <c r="E653" s="45"/>
      <c r="J653" s="48"/>
      <c r="K653" s="48"/>
    </row>
    <row r="654" spans="2:11" ht="12.75" x14ac:dyDescent="0.2">
      <c r="B654" s="50"/>
      <c r="E654" s="45"/>
      <c r="J654" s="48"/>
      <c r="K654" s="48"/>
    </row>
    <row r="655" spans="2:11" ht="12.75" x14ac:dyDescent="0.2">
      <c r="B655" s="50"/>
      <c r="E655" s="45"/>
      <c r="J655" s="48"/>
      <c r="K655" s="48"/>
    </row>
    <row r="656" spans="2:11" ht="12.75" x14ac:dyDescent="0.2">
      <c r="B656" s="50"/>
      <c r="E656" s="45"/>
      <c r="J656" s="48"/>
      <c r="K656" s="48"/>
    </row>
    <row r="657" spans="2:11" ht="12.75" x14ac:dyDescent="0.2">
      <c r="B657" s="50"/>
      <c r="E657" s="45"/>
      <c r="J657" s="48"/>
      <c r="K657" s="48"/>
    </row>
    <row r="658" spans="2:11" ht="12.75" x14ac:dyDescent="0.2">
      <c r="B658" s="50"/>
      <c r="E658" s="45"/>
      <c r="J658" s="48"/>
      <c r="K658" s="48"/>
    </row>
    <row r="659" spans="2:11" ht="12.75" x14ac:dyDescent="0.2">
      <c r="B659" s="50"/>
      <c r="E659" s="45"/>
      <c r="J659" s="48"/>
      <c r="K659" s="48"/>
    </row>
    <row r="660" spans="2:11" ht="12.75" x14ac:dyDescent="0.2">
      <c r="B660" s="50"/>
      <c r="E660" s="45"/>
      <c r="J660" s="48"/>
      <c r="K660" s="48"/>
    </row>
    <row r="661" spans="2:11" ht="12.75" x14ac:dyDescent="0.2">
      <c r="B661" s="50"/>
      <c r="E661" s="45"/>
      <c r="J661" s="48"/>
      <c r="K661" s="48"/>
    </row>
    <row r="662" spans="2:11" ht="12.75" x14ac:dyDescent="0.2">
      <c r="B662" s="50"/>
      <c r="E662" s="45"/>
      <c r="J662" s="48"/>
      <c r="K662" s="48"/>
    </row>
    <row r="663" spans="2:11" ht="12.75" x14ac:dyDescent="0.2">
      <c r="B663" s="50"/>
      <c r="E663" s="45"/>
      <c r="J663" s="48"/>
      <c r="K663" s="48"/>
    </row>
    <row r="664" spans="2:11" ht="12.75" x14ac:dyDescent="0.2">
      <c r="B664" s="50"/>
      <c r="E664" s="45"/>
      <c r="J664" s="48"/>
      <c r="K664" s="48"/>
    </row>
    <row r="665" spans="2:11" ht="12.75" x14ac:dyDescent="0.2">
      <c r="B665" s="50"/>
      <c r="E665" s="45"/>
      <c r="J665" s="48"/>
      <c r="K665" s="48"/>
    </row>
    <row r="666" spans="2:11" ht="12.75" x14ac:dyDescent="0.2">
      <c r="B666" s="50"/>
      <c r="E666" s="45"/>
      <c r="J666" s="48"/>
      <c r="K666" s="48"/>
    </row>
    <row r="667" spans="2:11" ht="12.75" x14ac:dyDescent="0.2">
      <c r="B667" s="50"/>
      <c r="E667" s="45"/>
      <c r="J667" s="48"/>
      <c r="K667" s="48"/>
    </row>
    <row r="668" spans="2:11" ht="12.75" x14ac:dyDescent="0.2">
      <c r="B668" s="50"/>
      <c r="E668" s="45"/>
      <c r="J668" s="48"/>
      <c r="K668" s="48"/>
    </row>
    <row r="669" spans="2:11" ht="12.75" x14ac:dyDescent="0.2">
      <c r="B669" s="50"/>
      <c r="E669" s="45"/>
      <c r="J669" s="48"/>
      <c r="K669" s="48"/>
    </row>
    <row r="670" spans="2:11" ht="12.75" x14ac:dyDescent="0.2">
      <c r="B670" s="50"/>
      <c r="E670" s="45"/>
      <c r="J670" s="48"/>
      <c r="K670" s="48"/>
    </row>
    <row r="671" spans="2:11" ht="12.75" x14ac:dyDescent="0.2">
      <c r="B671" s="50"/>
      <c r="E671" s="45"/>
      <c r="J671" s="48"/>
      <c r="K671" s="48"/>
    </row>
    <row r="672" spans="2:11" ht="12.75" x14ac:dyDescent="0.2">
      <c r="B672" s="50"/>
      <c r="E672" s="45"/>
      <c r="J672" s="48"/>
      <c r="K672" s="48"/>
    </row>
    <row r="673" spans="2:11" ht="12.75" x14ac:dyDescent="0.2">
      <c r="B673" s="50"/>
      <c r="E673" s="45"/>
      <c r="J673" s="48"/>
      <c r="K673" s="48"/>
    </row>
    <row r="674" spans="2:11" ht="12.75" x14ac:dyDescent="0.2">
      <c r="B674" s="50"/>
      <c r="E674" s="45"/>
      <c r="J674" s="48"/>
      <c r="K674" s="48"/>
    </row>
    <row r="675" spans="2:11" ht="12.75" x14ac:dyDescent="0.2">
      <c r="B675" s="50"/>
      <c r="E675" s="45"/>
      <c r="J675" s="48"/>
      <c r="K675" s="48"/>
    </row>
    <row r="676" spans="2:11" ht="12.75" x14ac:dyDescent="0.2">
      <c r="B676" s="50"/>
      <c r="E676" s="45"/>
      <c r="J676" s="48"/>
      <c r="K676" s="48"/>
    </row>
    <row r="677" spans="2:11" ht="12.75" x14ac:dyDescent="0.2">
      <c r="B677" s="50"/>
      <c r="E677" s="45"/>
      <c r="J677" s="48"/>
      <c r="K677" s="48"/>
    </row>
    <row r="678" spans="2:11" ht="12.75" x14ac:dyDescent="0.2">
      <c r="B678" s="50"/>
      <c r="E678" s="45"/>
      <c r="J678" s="48"/>
      <c r="K678" s="48"/>
    </row>
    <row r="679" spans="2:11" ht="12.75" x14ac:dyDescent="0.2">
      <c r="B679" s="50"/>
      <c r="E679" s="45"/>
      <c r="J679" s="48"/>
      <c r="K679" s="48"/>
    </row>
    <row r="680" spans="2:11" ht="12.75" x14ac:dyDescent="0.2">
      <c r="B680" s="50"/>
      <c r="E680" s="45"/>
      <c r="J680" s="48"/>
      <c r="K680" s="48"/>
    </row>
    <row r="681" spans="2:11" ht="12.75" x14ac:dyDescent="0.2">
      <c r="B681" s="50"/>
      <c r="E681" s="45"/>
      <c r="J681" s="48"/>
      <c r="K681" s="48"/>
    </row>
    <row r="682" spans="2:11" ht="12.75" x14ac:dyDescent="0.2">
      <c r="B682" s="50"/>
      <c r="E682" s="45"/>
      <c r="J682" s="48"/>
      <c r="K682" s="48"/>
    </row>
    <row r="683" spans="2:11" ht="12.75" x14ac:dyDescent="0.2">
      <c r="B683" s="50"/>
      <c r="E683" s="45"/>
      <c r="J683" s="48"/>
      <c r="K683" s="48"/>
    </row>
    <row r="684" spans="2:11" ht="12.75" x14ac:dyDescent="0.2">
      <c r="B684" s="50"/>
      <c r="E684" s="45"/>
      <c r="J684" s="48"/>
      <c r="K684" s="48"/>
    </row>
    <row r="685" spans="2:11" ht="12.75" x14ac:dyDescent="0.2">
      <c r="B685" s="50"/>
      <c r="E685" s="45"/>
      <c r="J685" s="48"/>
      <c r="K685" s="48"/>
    </row>
    <row r="686" spans="2:11" ht="12.75" x14ac:dyDescent="0.2">
      <c r="B686" s="50"/>
      <c r="E686" s="45"/>
      <c r="J686" s="48"/>
      <c r="K686" s="48"/>
    </row>
    <row r="687" spans="2:11" ht="12.75" x14ac:dyDescent="0.2">
      <c r="B687" s="50"/>
      <c r="E687" s="45"/>
      <c r="J687" s="48"/>
      <c r="K687" s="48"/>
    </row>
    <row r="688" spans="2:11" ht="12.75" x14ac:dyDescent="0.2">
      <c r="B688" s="50"/>
      <c r="E688" s="45"/>
      <c r="J688" s="48"/>
      <c r="K688" s="48"/>
    </row>
    <row r="689" spans="2:11" ht="12.75" x14ac:dyDescent="0.2">
      <c r="B689" s="50"/>
      <c r="E689" s="45"/>
      <c r="J689" s="48"/>
      <c r="K689" s="48"/>
    </row>
    <row r="690" spans="2:11" ht="12.75" x14ac:dyDescent="0.2">
      <c r="B690" s="50"/>
      <c r="E690" s="45"/>
      <c r="J690" s="48"/>
      <c r="K690" s="48"/>
    </row>
    <row r="691" spans="2:11" ht="12.75" x14ac:dyDescent="0.2">
      <c r="B691" s="50"/>
      <c r="E691" s="45"/>
      <c r="J691" s="48"/>
      <c r="K691" s="48"/>
    </row>
    <row r="692" spans="2:11" ht="12.75" x14ac:dyDescent="0.2">
      <c r="B692" s="50"/>
      <c r="E692" s="45"/>
      <c r="J692" s="48"/>
      <c r="K692" s="48"/>
    </row>
    <row r="693" spans="2:11" ht="12.75" x14ac:dyDescent="0.2">
      <c r="B693" s="50"/>
      <c r="E693" s="45"/>
      <c r="J693" s="48"/>
      <c r="K693" s="48"/>
    </row>
    <row r="694" spans="2:11" ht="12.75" x14ac:dyDescent="0.2">
      <c r="B694" s="50"/>
      <c r="E694" s="45"/>
      <c r="J694" s="48"/>
      <c r="K694" s="48"/>
    </row>
    <row r="695" spans="2:11" ht="12.75" x14ac:dyDescent="0.2">
      <c r="B695" s="50"/>
      <c r="E695" s="45"/>
      <c r="J695" s="48"/>
      <c r="K695" s="48"/>
    </row>
    <row r="696" spans="2:11" ht="12.75" x14ac:dyDescent="0.2">
      <c r="B696" s="50"/>
      <c r="E696" s="45"/>
      <c r="J696" s="48"/>
      <c r="K696" s="48"/>
    </row>
    <row r="697" spans="2:11" ht="12.75" x14ac:dyDescent="0.2">
      <c r="B697" s="50"/>
      <c r="E697" s="45"/>
      <c r="J697" s="48"/>
      <c r="K697" s="48"/>
    </row>
    <row r="698" spans="2:11" ht="12.75" x14ac:dyDescent="0.2">
      <c r="B698" s="50"/>
      <c r="E698" s="45"/>
      <c r="J698" s="48"/>
      <c r="K698" s="48"/>
    </row>
    <row r="699" spans="2:11" ht="12.75" x14ac:dyDescent="0.2">
      <c r="B699" s="50"/>
      <c r="E699" s="45"/>
      <c r="J699" s="48"/>
      <c r="K699" s="48"/>
    </row>
    <row r="700" spans="2:11" ht="12.75" x14ac:dyDescent="0.2">
      <c r="B700" s="50"/>
      <c r="E700" s="45"/>
      <c r="J700" s="48"/>
      <c r="K700" s="48"/>
    </row>
    <row r="701" spans="2:11" ht="12.75" x14ac:dyDescent="0.2">
      <c r="B701" s="50"/>
      <c r="E701" s="45"/>
      <c r="J701" s="48"/>
      <c r="K701" s="48"/>
    </row>
    <row r="702" spans="2:11" ht="12.75" x14ac:dyDescent="0.2">
      <c r="B702" s="50"/>
      <c r="E702" s="45"/>
      <c r="J702" s="48"/>
      <c r="K702" s="48"/>
    </row>
    <row r="703" spans="2:11" ht="12.75" x14ac:dyDescent="0.2">
      <c r="B703" s="50"/>
      <c r="E703" s="45"/>
      <c r="J703" s="48"/>
      <c r="K703" s="48"/>
    </row>
    <row r="704" spans="2:11" ht="12.75" x14ac:dyDescent="0.2">
      <c r="B704" s="50"/>
      <c r="E704" s="45"/>
      <c r="J704" s="48"/>
      <c r="K704" s="48"/>
    </row>
    <row r="705" spans="2:11" ht="12.75" x14ac:dyDescent="0.2">
      <c r="B705" s="50"/>
      <c r="E705" s="45"/>
      <c r="J705" s="48"/>
      <c r="K705" s="48"/>
    </row>
    <row r="706" spans="2:11" ht="12.75" x14ac:dyDescent="0.2">
      <c r="B706" s="50"/>
      <c r="E706" s="45"/>
      <c r="J706" s="48"/>
      <c r="K706" s="48"/>
    </row>
    <row r="707" spans="2:11" ht="12.75" x14ac:dyDescent="0.2">
      <c r="B707" s="50"/>
      <c r="E707" s="45"/>
      <c r="J707" s="48"/>
      <c r="K707" s="48"/>
    </row>
    <row r="708" spans="2:11" ht="12.75" x14ac:dyDescent="0.2">
      <c r="B708" s="50"/>
      <c r="E708" s="45"/>
      <c r="J708" s="48"/>
      <c r="K708" s="48"/>
    </row>
    <row r="709" spans="2:11" ht="12.75" x14ac:dyDescent="0.2">
      <c r="B709" s="50"/>
      <c r="E709" s="45"/>
      <c r="J709" s="48"/>
      <c r="K709" s="48"/>
    </row>
    <row r="710" spans="2:11" ht="12.75" x14ac:dyDescent="0.2">
      <c r="B710" s="50"/>
      <c r="E710" s="45"/>
      <c r="J710" s="48"/>
      <c r="K710" s="48"/>
    </row>
    <row r="711" spans="2:11" ht="12.75" x14ac:dyDescent="0.2">
      <c r="B711" s="50"/>
      <c r="E711" s="45"/>
      <c r="J711" s="48"/>
      <c r="K711" s="48"/>
    </row>
    <row r="712" spans="2:11" ht="12.75" x14ac:dyDescent="0.2">
      <c r="B712" s="50"/>
      <c r="E712" s="45"/>
      <c r="J712" s="48"/>
      <c r="K712" s="48"/>
    </row>
    <row r="713" spans="2:11" ht="12.75" x14ac:dyDescent="0.2">
      <c r="B713" s="50"/>
      <c r="E713" s="45"/>
      <c r="J713" s="48"/>
      <c r="K713" s="48"/>
    </row>
    <row r="714" spans="2:11" ht="12.75" x14ac:dyDescent="0.2">
      <c r="B714" s="50"/>
      <c r="E714" s="45"/>
      <c r="J714" s="48"/>
      <c r="K714" s="48"/>
    </row>
    <row r="715" spans="2:11" ht="12.75" x14ac:dyDescent="0.2">
      <c r="B715" s="50"/>
      <c r="E715" s="45"/>
      <c r="J715" s="48"/>
      <c r="K715" s="48"/>
    </row>
    <row r="716" spans="2:11" ht="12.75" x14ac:dyDescent="0.2">
      <c r="B716" s="50"/>
      <c r="E716" s="45"/>
      <c r="J716" s="48"/>
      <c r="K716" s="48"/>
    </row>
    <row r="717" spans="2:11" ht="12.75" x14ac:dyDescent="0.2">
      <c r="B717" s="50"/>
      <c r="E717" s="45"/>
      <c r="J717" s="48"/>
      <c r="K717" s="48"/>
    </row>
    <row r="718" spans="2:11" ht="12.75" x14ac:dyDescent="0.2">
      <c r="B718" s="50"/>
      <c r="E718" s="45"/>
      <c r="J718" s="48"/>
      <c r="K718" s="48"/>
    </row>
    <row r="719" spans="2:11" ht="12.75" x14ac:dyDescent="0.2">
      <c r="B719" s="50"/>
      <c r="E719" s="45"/>
      <c r="J719" s="48"/>
      <c r="K719" s="48"/>
    </row>
    <row r="720" spans="2:11" ht="12.75" x14ac:dyDescent="0.2">
      <c r="B720" s="50"/>
      <c r="E720" s="45"/>
      <c r="J720" s="48"/>
      <c r="K720" s="48"/>
    </row>
    <row r="721" spans="2:11" ht="12.75" x14ac:dyDescent="0.2">
      <c r="B721" s="50"/>
      <c r="E721" s="45"/>
      <c r="J721" s="48"/>
      <c r="K721" s="48"/>
    </row>
    <row r="722" spans="2:11" ht="12.75" x14ac:dyDescent="0.2">
      <c r="B722" s="50"/>
      <c r="E722" s="45"/>
      <c r="J722" s="48"/>
      <c r="K722" s="48"/>
    </row>
    <row r="723" spans="2:11" ht="12.75" x14ac:dyDescent="0.2">
      <c r="B723" s="50"/>
      <c r="E723" s="45"/>
      <c r="J723" s="48"/>
      <c r="K723" s="48"/>
    </row>
    <row r="724" spans="2:11" ht="12.75" x14ac:dyDescent="0.2">
      <c r="B724" s="50"/>
      <c r="E724" s="45"/>
      <c r="J724" s="48"/>
      <c r="K724" s="48"/>
    </row>
    <row r="725" spans="2:11" ht="12.75" x14ac:dyDescent="0.2">
      <c r="B725" s="50"/>
      <c r="E725" s="45"/>
      <c r="J725" s="48"/>
      <c r="K725" s="48"/>
    </row>
    <row r="726" spans="2:11" ht="12.75" x14ac:dyDescent="0.2">
      <c r="B726" s="50"/>
      <c r="E726" s="45"/>
      <c r="J726" s="48"/>
      <c r="K726" s="48"/>
    </row>
    <row r="727" spans="2:11" ht="12.75" x14ac:dyDescent="0.2">
      <c r="B727" s="50"/>
      <c r="E727" s="45"/>
      <c r="J727" s="48"/>
      <c r="K727" s="48"/>
    </row>
    <row r="728" spans="2:11" ht="12.75" x14ac:dyDescent="0.2">
      <c r="B728" s="50"/>
      <c r="E728" s="45"/>
      <c r="J728" s="48"/>
      <c r="K728" s="48"/>
    </row>
    <row r="729" spans="2:11" ht="12.75" x14ac:dyDescent="0.2">
      <c r="B729" s="50"/>
      <c r="E729" s="45"/>
      <c r="J729" s="48"/>
      <c r="K729" s="48"/>
    </row>
    <row r="730" spans="2:11" ht="12.75" x14ac:dyDescent="0.2">
      <c r="B730" s="50"/>
      <c r="E730" s="45"/>
      <c r="J730" s="48"/>
      <c r="K730" s="48"/>
    </row>
    <row r="731" spans="2:11" ht="12.75" x14ac:dyDescent="0.2">
      <c r="B731" s="50"/>
      <c r="E731" s="45"/>
      <c r="J731" s="48"/>
      <c r="K731" s="48"/>
    </row>
    <row r="732" spans="2:11" ht="12.75" x14ac:dyDescent="0.2">
      <c r="B732" s="50"/>
      <c r="E732" s="45"/>
      <c r="J732" s="48"/>
      <c r="K732" s="48"/>
    </row>
    <row r="733" spans="2:11" ht="12.75" x14ac:dyDescent="0.2">
      <c r="B733" s="50"/>
      <c r="E733" s="45"/>
      <c r="J733" s="48"/>
      <c r="K733" s="48"/>
    </row>
    <row r="734" spans="2:11" ht="12.75" x14ac:dyDescent="0.2">
      <c r="B734" s="50"/>
      <c r="E734" s="45"/>
      <c r="J734" s="48"/>
      <c r="K734" s="48"/>
    </row>
    <row r="735" spans="2:11" ht="12.75" x14ac:dyDescent="0.2">
      <c r="B735" s="50"/>
      <c r="E735" s="45"/>
      <c r="J735" s="48"/>
      <c r="K735" s="48"/>
    </row>
    <row r="736" spans="2:11" ht="12.75" x14ac:dyDescent="0.2">
      <c r="B736" s="50"/>
      <c r="E736" s="45"/>
      <c r="J736" s="48"/>
      <c r="K736" s="48"/>
    </row>
    <row r="737" spans="2:11" ht="12.75" x14ac:dyDescent="0.2">
      <c r="B737" s="50"/>
      <c r="E737" s="45"/>
      <c r="J737" s="48"/>
      <c r="K737" s="48"/>
    </row>
    <row r="738" spans="2:11" ht="12.75" x14ac:dyDescent="0.2">
      <c r="B738" s="50"/>
      <c r="E738" s="45"/>
      <c r="J738" s="48"/>
      <c r="K738" s="48"/>
    </row>
    <row r="739" spans="2:11" ht="12.75" x14ac:dyDescent="0.2">
      <c r="B739" s="50"/>
      <c r="E739" s="45"/>
      <c r="J739" s="48"/>
      <c r="K739" s="48"/>
    </row>
    <row r="740" spans="2:11" ht="12.75" x14ac:dyDescent="0.2">
      <c r="B740" s="50"/>
      <c r="E740" s="45"/>
      <c r="J740" s="48"/>
      <c r="K740" s="48"/>
    </row>
    <row r="741" spans="2:11" ht="12.75" x14ac:dyDescent="0.2">
      <c r="B741" s="50"/>
      <c r="E741" s="45"/>
      <c r="J741" s="48"/>
      <c r="K741" s="48"/>
    </row>
    <row r="742" spans="2:11" ht="12.75" x14ac:dyDescent="0.2">
      <c r="B742" s="50"/>
      <c r="E742" s="45"/>
      <c r="J742" s="48"/>
      <c r="K742" s="48"/>
    </row>
    <row r="743" spans="2:11" ht="12.75" x14ac:dyDescent="0.2">
      <c r="B743" s="50"/>
      <c r="E743" s="45"/>
      <c r="J743" s="48"/>
      <c r="K743" s="48"/>
    </row>
    <row r="744" spans="2:11" ht="12.75" x14ac:dyDescent="0.2">
      <c r="B744" s="50"/>
      <c r="E744" s="45"/>
      <c r="J744" s="48"/>
      <c r="K744" s="48"/>
    </row>
    <row r="745" spans="2:11" ht="12.75" x14ac:dyDescent="0.2">
      <c r="B745" s="50"/>
      <c r="E745" s="45"/>
      <c r="J745" s="48"/>
      <c r="K745" s="48"/>
    </row>
    <row r="746" spans="2:11" ht="12.75" x14ac:dyDescent="0.2">
      <c r="B746" s="50"/>
      <c r="E746" s="45"/>
      <c r="J746" s="48"/>
      <c r="K746" s="48"/>
    </row>
    <row r="747" spans="2:11" ht="12.75" x14ac:dyDescent="0.2">
      <c r="B747" s="50"/>
      <c r="E747" s="45"/>
      <c r="J747" s="48"/>
      <c r="K747" s="48"/>
    </row>
    <row r="748" spans="2:11" ht="12.75" x14ac:dyDescent="0.2">
      <c r="B748" s="50"/>
      <c r="E748" s="45"/>
      <c r="J748" s="48"/>
      <c r="K748" s="48"/>
    </row>
    <row r="749" spans="2:11" ht="12.75" x14ac:dyDescent="0.2">
      <c r="B749" s="50"/>
      <c r="E749" s="45"/>
      <c r="J749" s="48"/>
      <c r="K749" s="48"/>
    </row>
    <row r="750" spans="2:11" ht="12.75" x14ac:dyDescent="0.2">
      <c r="B750" s="50"/>
      <c r="E750" s="45"/>
      <c r="J750" s="48"/>
      <c r="K750" s="48"/>
    </row>
    <row r="751" spans="2:11" ht="12.75" x14ac:dyDescent="0.2">
      <c r="B751" s="50"/>
      <c r="E751" s="45"/>
      <c r="J751" s="48"/>
      <c r="K751" s="48"/>
    </row>
    <row r="752" spans="2:11" ht="12.75" x14ac:dyDescent="0.2">
      <c r="B752" s="50"/>
      <c r="E752" s="45"/>
      <c r="J752" s="48"/>
      <c r="K752" s="48"/>
    </row>
    <row r="753" spans="2:11" ht="12.75" x14ac:dyDescent="0.2">
      <c r="B753" s="50"/>
      <c r="E753" s="45"/>
      <c r="J753" s="48"/>
      <c r="K753" s="48"/>
    </row>
    <row r="754" spans="2:11" ht="12.75" x14ac:dyDescent="0.2">
      <c r="B754" s="50"/>
      <c r="E754" s="45"/>
      <c r="J754" s="48"/>
      <c r="K754" s="48"/>
    </row>
    <row r="755" spans="2:11" ht="12.75" x14ac:dyDescent="0.2">
      <c r="B755" s="50"/>
      <c r="E755" s="45"/>
      <c r="J755" s="48"/>
      <c r="K755" s="48"/>
    </row>
    <row r="756" spans="2:11" ht="12.75" x14ac:dyDescent="0.2">
      <c r="B756" s="50"/>
      <c r="E756" s="45"/>
      <c r="J756" s="48"/>
      <c r="K756" s="48"/>
    </row>
    <row r="757" spans="2:11" ht="12.75" x14ac:dyDescent="0.2">
      <c r="B757" s="50"/>
      <c r="E757" s="45"/>
      <c r="J757" s="48"/>
      <c r="K757" s="48"/>
    </row>
    <row r="758" spans="2:11" ht="12.75" x14ac:dyDescent="0.2">
      <c r="B758" s="50"/>
      <c r="E758" s="45"/>
      <c r="J758" s="48"/>
      <c r="K758" s="48"/>
    </row>
    <row r="759" spans="2:11" ht="12.75" x14ac:dyDescent="0.2">
      <c r="B759" s="50"/>
      <c r="E759" s="45"/>
      <c r="J759" s="48"/>
      <c r="K759" s="48"/>
    </row>
    <row r="760" spans="2:11" ht="12.75" x14ac:dyDescent="0.2">
      <c r="B760" s="50"/>
      <c r="E760" s="45"/>
      <c r="J760" s="48"/>
      <c r="K760" s="48"/>
    </row>
    <row r="761" spans="2:11" ht="12.75" x14ac:dyDescent="0.2">
      <c r="B761" s="50"/>
      <c r="E761" s="45"/>
      <c r="J761" s="48"/>
      <c r="K761" s="48"/>
    </row>
    <row r="762" spans="2:11" ht="12.75" x14ac:dyDescent="0.2">
      <c r="B762" s="50"/>
      <c r="E762" s="45"/>
      <c r="J762" s="48"/>
      <c r="K762" s="48"/>
    </row>
    <row r="763" spans="2:11" ht="12.75" x14ac:dyDescent="0.2">
      <c r="B763" s="50"/>
      <c r="E763" s="45"/>
      <c r="J763" s="48"/>
      <c r="K763" s="48"/>
    </row>
    <row r="764" spans="2:11" ht="12.75" x14ac:dyDescent="0.2">
      <c r="B764" s="50"/>
      <c r="E764" s="45"/>
      <c r="J764" s="48"/>
      <c r="K764" s="48"/>
    </row>
    <row r="765" spans="2:11" ht="12.75" x14ac:dyDescent="0.2">
      <c r="B765" s="50"/>
      <c r="E765" s="45"/>
      <c r="J765" s="48"/>
      <c r="K765" s="48"/>
    </row>
    <row r="766" spans="2:11" ht="12.75" x14ac:dyDescent="0.2">
      <c r="B766" s="50"/>
      <c r="E766" s="45"/>
      <c r="J766" s="48"/>
      <c r="K766" s="48"/>
    </row>
    <row r="767" spans="2:11" ht="12.75" x14ac:dyDescent="0.2">
      <c r="B767" s="50"/>
      <c r="E767" s="45"/>
      <c r="J767" s="48"/>
      <c r="K767" s="48"/>
    </row>
    <row r="768" spans="2:11" ht="12.75" x14ac:dyDescent="0.2">
      <c r="B768" s="50"/>
      <c r="E768" s="45"/>
      <c r="J768" s="48"/>
      <c r="K768" s="48"/>
    </row>
    <row r="769" spans="2:11" ht="12.75" x14ac:dyDescent="0.2">
      <c r="B769" s="50"/>
      <c r="E769" s="45"/>
      <c r="J769" s="48"/>
      <c r="K769" s="48"/>
    </row>
    <row r="770" spans="2:11" ht="12.75" x14ac:dyDescent="0.2">
      <c r="B770" s="50"/>
      <c r="E770" s="45"/>
      <c r="J770" s="48"/>
      <c r="K770" s="48"/>
    </row>
    <row r="771" spans="2:11" ht="12.75" x14ac:dyDescent="0.2">
      <c r="B771" s="50"/>
      <c r="E771" s="45"/>
      <c r="J771" s="48"/>
      <c r="K771" s="48"/>
    </row>
    <row r="772" spans="2:11" ht="12.75" x14ac:dyDescent="0.2">
      <c r="B772" s="50"/>
      <c r="E772" s="45"/>
      <c r="J772" s="48"/>
      <c r="K772" s="48"/>
    </row>
    <row r="773" spans="2:11" ht="12.75" x14ac:dyDescent="0.2">
      <c r="B773" s="50"/>
      <c r="E773" s="45"/>
      <c r="J773" s="48"/>
      <c r="K773" s="48"/>
    </row>
    <row r="774" spans="2:11" ht="12.75" x14ac:dyDescent="0.2">
      <c r="B774" s="50"/>
      <c r="E774" s="45"/>
      <c r="J774" s="48"/>
      <c r="K774" s="48"/>
    </row>
    <row r="775" spans="2:11" ht="12.75" x14ac:dyDescent="0.2">
      <c r="B775" s="50"/>
      <c r="E775" s="45"/>
      <c r="J775" s="48"/>
      <c r="K775" s="48"/>
    </row>
    <row r="776" spans="2:11" ht="12.75" x14ac:dyDescent="0.2">
      <c r="B776" s="50"/>
      <c r="E776" s="45"/>
      <c r="J776" s="48"/>
      <c r="K776" s="48"/>
    </row>
    <row r="777" spans="2:11" ht="12.75" x14ac:dyDescent="0.2">
      <c r="B777" s="50"/>
      <c r="E777" s="45"/>
      <c r="J777" s="48"/>
      <c r="K777" s="48"/>
    </row>
    <row r="778" spans="2:11" ht="12.75" x14ac:dyDescent="0.2">
      <c r="B778" s="50"/>
      <c r="E778" s="45"/>
      <c r="J778" s="48"/>
      <c r="K778" s="48"/>
    </row>
    <row r="779" spans="2:11" ht="12.75" x14ac:dyDescent="0.2">
      <c r="B779" s="50"/>
      <c r="E779" s="45"/>
      <c r="J779" s="48"/>
      <c r="K779" s="48"/>
    </row>
    <row r="780" spans="2:11" ht="12.75" x14ac:dyDescent="0.2">
      <c r="B780" s="50"/>
      <c r="E780" s="45"/>
      <c r="J780" s="48"/>
      <c r="K780" s="48"/>
    </row>
    <row r="781" spans="2:11" ht="12.75" x14ac:dyDescent="0.2">
      <c r="B781" s="50"/>
      <c r="E781" s="45"/>
      <c r="J781" s="48"/>
      <c r="K781" s="48"/>
    </row>
    <row r="782" spans="2:11" ht="12.75" x14ac:dyDescent="0.2">
      <c r="B782" s="50"/>
      <c r="E782" s="45"/>
      <c r="J782" s="48"/>
      <c r="K782" s="48"/>
    </row>
    <row r="783" spans="2:11" ht="12.75" x14ac:dyDescent="0.2">
      <c r="B783" s="50"/>
      <c r="E783" s="45"/>
      <c r="J783" s="48"/>
      <c r="K783" s="48"/>
    </row>
    <row r="784" spans="2:11" ht="12.75" x14ac:dyDescent="0.2">
      <c r="B784" s="50"/>
      <c r="E784" s="45"/>
      <c r="J784" s="48"/>
      <c r="K784" s="48"/>
    </row>
    <row r="785" spans="2:11" ht="12.75" x14ac:dyDescent="0.2">
      <c r="B785" s="50"/>
      <c r="E785" s="45"/>
      <c r="J785" s="48"/>
      <c r="K785" s="48"/>
    </row>
    <row r="786" spans="2:11" ht="12.75" x14ac:dyDescent="0.2">
      <c r="B786" s="50"/>
      <c r="E786" s="45"/>
      <c r="J786" s="48"/>
      <c r="K786" s="48"/>
    </row>
    <row r="787" spans="2:11" ht="12.75" x14ac:dyDescent="0.2">
      <c r="B787" s="50"/>
      <c r="E787" s="45"/>
      <c r="J787" s="48"/>
      <c r="K787" s="48"/>
    </row>
    <row r="788" spans="2:11" ht="12.75" x14ac:dyDescent="0.2">
      <c r="B788" s="50"/>
      <c r="E788" s="45"/>
      <c r="J788" s="48"/>
      <c r="K788" s="48"/>
    </row>
    <row r="789" spans="2:11" ht="12.75" x14ac:dyDescent="0.2">
      <c r="B789" s="50"/>
      <c r="E789" s="45"/>
      <c r="J789" s="48"/>
      <c r="K789" s="48"/>
    </row>
    <row r="790" spans="2:11" ht="12.75" x14ac:dyDescent="0.2">
      <c r="B790" s="50"/>
      <c r="E790" s="45"/>
      <c r="J790" s="48"/>
      <c r="K790" s="48"/>
    </row>
    <row r="791" spans="2:11" ht="12.75" x14ac:dyDescent="0.2">
      <c r="B791" s="50"/>
      <c r="E791" s="45"/>
      <c r="J791" s="48"/>
      <c r="K791" s="48"/>
    </row>
    <row r="792" spans="2:11" ht="12.75" x14ac:dyDescent="0.2">
      <c r="B792" s="50"/>
      <c r="E792" s="45"/>
      <c r="J792" s="48"/>
      <c r="K792" s="48"/>
    </row>
    <row r="793" spans="2:11" ht="12.75" x14ac:dyDescent="0.2">
      <c r="B793" s="50"/>
      <c r="E793" s="45"/>
      <c r="J793" s="48"/>
      <c r="K793" s="48"/>
    </row>
    <row r="794" spans="2:11" ht="12.75" x14ac:dyDescent="0.2">
      <c r="B794" s="50"/>
      <c r="E794" s="45"/>
      <c r="J794" s="48"/>
      <c r="K794" s="48"/>
    </row>
    <row r="795" spans="2:11" ht="12.75" x14ac:dyDescent="0.2">
      <c r="B795" s="50"/>
      <c r="E795" s="45"/>
      <c r="J795" s="48"/>
      <c r="K795" s="48"/>
    </row>
    <row r="796" spans="2:11" ht="12.75" x14ac:dyDescent="0.2">
      <c r="B796" s="50"/>
      <c r="E796" s="45"/>
      <c r="J796" s="48"/>
      <c r="K796" s="48"/>
    </row>
    <row r="797" spans="2:11" ht="12.75" x14ac:dyDescent="0.2">
      <c r="B797" s="50"/>
      <c r="E797" s="45"/>
      <c r="J797" s="48"/>
      <c r="K797" s="48"/>
    </row>
    <row r="798" spans="2:11" ht="12.75" x14ac:dyDescent="0.2">
      <c r="B798" s="50"/>
      <c r="E798" s="45"/>
      <c r="J798" s="48"/>
      <c r="K798" s="48"/>
    </row>
    <row r="799" spans="2:11" ht="12.75" x14ac:dyDescent="0.2">
      <c r="B799" s="50"/>
      <c r="E799" s="45"/>
      <c r="J799" s="48"/>
      <c r="K799" s="48"/>
    </row>
    <row r="800" spans="2:11" ht="12.75" x14ac:dyDescent="0.2">
      <c r="B800" s="50"/>
      <c r="E800" s="45"/>
      <c r="J800" s="48"/>
      <c r="K800" s="48"/>
    </row>
    <row r="801" spans="2:11" ht="12.75" x14ac:dyDescent="0.2">
      <c r="B801" s="50"/>
      <c r="E801" s="45"/>
      <c r="J801" s="48"/>
      <c r="K801" s="48"/>
    </row>
    <row r="802" spans="2:11" ht="12.75" x14ac:dyDescent="0.2">
      <c r="B802" s="50"/>
      <c r="E802" s="45"/>
      <c r="J802" s="48"/>
      <c r="K802" s="48"/>
    </row>
    <row r="803" spans="2:11" ht="12.75" x14ac:dyDescent="0.2">
      <c r="B803" s="50"/>
      <c r="E803" s="45"/>
      <c r="J803" s="48"/>
      <c r="K803" s="48"/>
    </row>
    <row r="804" spans="2:11" ht="12.75" x14ac:dyDescent="0.2">
      <c r="B804" s="50"/>
      <c r="E804" s="45"/>
      <c r="J804" s="48"/>
      <c r="K804" s="48"/>
    </row>
    <row r="805" spans="2:11" ht="12.75" x14ac:dyDescent="0.2">
      <c r="B805" s="50"/>
      <c r="E805" s="45"/>
      <c r="J805" s="48"/>
      <c r="K805" s="48"/>
    </row>
    <row r="806" spans="2:11" ht="12.75" x14ac:dyDescent="0.2">
      <c r="B806" s="50"/>
      <c r="E806" s="45"/>
      <c r="J806" s="48"/>
      <c r="K806" s="48"/>
    </row>
    <row r="807" spans="2:11" ht="12.75" x14ac:dyDescent="0.2">
      <c r="B807" s="50"/>
      <c r="E807" s="45"/>
      <c r="J807" s="48"/>
      <c r="K807" s="48"/>
    </row>
    <row r="808" spans="2:11" ht="12.75" x14ac:dyDescent="0.2">
      <c r="B808" s="50"/>
      <c r="E808" s="45"/>
      <c r="J808" s="48"/>
      <c r="K808" s="48"/>
    </row>
    <row r="809" spans="2:11" ht="12.75" x14ac:dyDescent="0.2">
      <c r="B809" s="50"/>
      <c r="E809" s="45"/>
      <c r="J809" s="48"/>
      <c r="K809" s="48"/>
    </row>
    <row r="810" spans="2:11" ht="12.75" x14ac:dyDescent="0.2">
      <c r="B810" s="50"/>
      <c r="E810" s="45"/>
      <c r="J810" s="48"/>
      <c r="K810" s="48"/>
    </row>
    <row r="811" spans="2:11" ht="12.75" x14ac:dyDescent="0.2">
      <c r="B811" s="50"/>
      <c r="E811" s="45"/>
      <c r="J811" s="48"/>
      <c r="K811" s="48"/>
    </row>
    <row r="812" spans="2:11" ht="12.75" x14ac:dyDescent="0.2">
      <c r="B812" s="50"/>
      <c r="E812" s="45"/>
      <c r="J812" s="48"/>
      <c r="K812" s="48"/>
    </row>
    <row r="813" spans="2:11" ht="12.75" x14ac:dyDescent="0.2">
      <c r="B813" s="50"/>
      <c r="E813" s="45"/>
      <c r="J813" s="48"/>
      <c r="K813" s="48"/>
    </row>
    <row r="814" spans="2:11" ht="12.75" x14ac:dyDescent="0.2">
      <c r="B814" s="50"/>
      <c r="E814" s="45"/>
      <c r="J814" s="48"/>
      <c r="K814" s="48"/>
    </row>
    <row r="815" spans="2:11" ht="12.75" x14ac:dyDescent="0.2">
      <c r="B815" s="50"/>
      <c r="E815" s="45"/>
      <c r="J815" s="48"/>
      <c r="K815" s="48"/>
    </row>
    <row r="816" spans="2:11" ht="12.75" x14ac:dyDescent="0.2">
      <c r="B816" s="50"/>
      <c r="E816" s="45"/>
      <c r="J816" s="48"/>
      <c r="K816" s="48"/>
    </row>
    <row r="817" spans="2:11" ht="12.75" x14ac:dyDescent="0.2">
      <c r="B817" s="50"/>
      <c r="E817" s="45"/>
      <c r="J817" s="48"/>
      <c r="K817" s="48"/>
    </row>
    <row r="818" spans="2:11" ht="12.75" x14ac:dyDescent="0.2">
      <c r="B818" s="50"/>
      <c r="E818" s="45"/>
      <c r="J818" s="48"/>
      <c r="K818" s="48"/>
    </row>
    <row r="819" spans="2:11" ht="12.75" x14ac:dyDescent="0.2">
      <c r="B819" s="50"/>
      <c r="E819" s="45"/>
      <c r="J819" s="48"/>
      <c r="K819" s="48"/>
    </row>
    <row r="820" spans="2:11" ht="12.75" x14ac:dyDescent="0.2">
      <c r="B820" s="50"/>
      <c r="E820" s="45"/>
      <c r="J820" s="48"/>
      <c r="K820" s="48"/>
    </row>
    <row r="821" spans="2:11" ht="12.75" x14ac:dyDescent="0.2">
      <c r="B821" s="50"/>
      <c r="E821" s="45"/>
      <c r="J821" s="48"/>
      <c r="K821" s="48"/>
    </row>
    <row r="822" spans="2:11" ht="12.75" x14ac:dyDescent="0.2">
      <c r="B822" s="50"/>
      <c r="E822" s="45"/>
      <c r="J822" s="48"/>
      <c r="K822" s="48"/>
    </row>
    <row r="823" spans="2:11" ht="12.75" x14ac:dyDescent="0.2">
      <c r="B823" s="50"/>
      <c r="E823" s="45"/>
      <c r="J823" s="48"/>
      <c r="K823" s="48"/>
    </row>
    <row r="824" spans="2:11" ht="12.75" x14ac:dyDescent="0.2">
      <c r="B824" s="50"/>
      <c r="E824" s="45"/>
      <c r="J824" s="48"/>
      <c r="K824" s="48"/>
    </row>
    <row r="825" spans="2:11" ht="12.75" x14ac:dyDescent="0.2">
      <c r="B825" s="50"/>
      <c r="E825" s="45"/>
      <c r="J825" s="48"/>
      <c r="K825" s="48"/>
    </row>
    <row r="826" spans="2:11" ht="12.75" x14ac:dyDescent="0.2">
      <c r="B826" s="50"/>
      <c r="E826" s="45"/>
      <c r="J826" s="48"/>
      <c r="K826" s="48"/>
    </row>
    <row r="827" spans="2:11" ht="12.75" x14ac:dyDescent="0.2">
      <c r="B827" s="50"/>
      <c r="E827" s="45"/>
      <c r="J827" s="48"/>
      <c r="K827" s="48"/>
    </row>
    <row r="828" spans="2:11" ht="12.75" x14ac:dyDescent="0.2">
      <c r="B828" s="50"/>
      <c r="E828" s="45"/>
      <c r="J828" s="48"/>
      <c r="K828" s="48"/>
    </row>
    <row r="829" spans="2:11" ht="12.75" x14ac:dyDescent="0.2">
      <c r="B829" s="50"/>
      <c r="E829" s="45"/>
      <c r="J829" s="48"/>
      <c r="K829" s="48"/>
    </row>
    <row r="830" spans="2:11" ht="12.75" x14ac:dyDescent="0.2">
      <c r="B830" s="50"/>
      <c r="E830" s="45"/>
      <c r="J830" s="48"/>
      <c r="K830" s="48"/>
    </row>
    <row r="831" spans="2:11" ht="12.75" x14ac:dyDescent="0.2">
      <c r="B831" s="50"/>
      <c r="E831" s="45"/>
      <c r="J831" s="48"/>
      <c r="K831" s="48"/>
    </row>
    <row r="832" spans="2:11" ht="12.75" x14ac:dyDescent="0.2">
      <c r="B832" s="50"/>
      <c r="E832" s="45"/>
      <c r="J832" s="48"/>
      <c r="K832" s="48"/>
    </row>
    <row r="833" spans="2:11" ht="12.75" x14ac:dyDescent="0.2">
      <c r="B833" s="50"/>
      <c r="E833" s="45"/>
      <c r="J833" s="48"/>
      <c r="K833" s="48"/>
    </row>
    <row r="834" spans="2:11" ht="12.75" x14ac:dyDescent="0.2">
      <c r="B834" s="50"/>
      <c r="E834" s="45"/>
      <c r="J834" s="48"/>
      <c r="K834" s="48"/>
    </row>
    <row r="835" spans="2:11" ht="12.75" x14ac:dyDescent="0.2">
      <c r="B835" s="50"/>
      <c r="E835" s="45"/>
      <c r="J835" s="48"/>
      <c r="K835" s="48"/>
    </row>
    <row r="836" spans="2:11" ht="12.75" x14ac:dyDescent="0.2">
      <c r="B836" s="50"/>
      <c r="E836" s="45"/>
      <c r="J836" s="48"/>
      <c r="K836" s="48"/>
    </row>
    <row r="837" spans="2:11" ht="12.75" x14ac:dyDescent="0.2">
      <c r="B837" s="50"/>
      <c r="E837" s="45"/>
      <c r="J837" s="48"/>
      <c r="K837" s="48"/>
    </row>
    <row r="838" spans="2:11" ht="12.75" x14ac:dyDescent="0.2">
      <c r="B838" s="50"/>
      <c r="E838" s="45"/>
      <c r="J838" s="48"/>
      <c r="K838" s="48"/>
    </row>
    <row r="839" spans="2:11" ht="12.75" x14ac:dyDescent="0.2">
      <c r="B839" s="50"/>
      <c r="E839" s="45"/>
      <c r="J839" s="48"/>
      <c r="K839" s="48"/>
    </row>
    <row r="840" spans="2:11" ht="12.75" x14ac:dyDescent="0.2">
      <c r="B840" s="50"/>
      <c r="E840" s="45"/>
      <c r="J840" s="48"/>
      <c r="K840" s="48"/>
    </row>
    <row r="841" spans="2:11" ht="12.75" x14ac:dyDescent="0.2">
      <c r="B841" s="50"/>
      <c r="E841" s="45"/>
      <c r="J841" s="48"/>
      <c r="K841" s="48"/>
    </row>
    <row r="842" spans="2:11" ht="12.75" x14ac:dyDescent="0.2">
      <c r="B842" s="50"/>
      <c r="E842" s="45"/>
      <c r="J842" s="48"/>
      <c r="K842" s="48"/>
    </row>
    <row r="843" spans="2:11" ht="12.75" x14ac:dyDescent="0.2">
      <c r="B843" s="50"/>
      <c r="E843" s="45"/>
      <c r="J843" s="48"/>
      <c r="K843" s="48"/>
    </row>
    <row r="844" spans="2:11" ht="12.75" x14ac:dyDescent="0.2">
      <c r="B844" s="50"/>
      <c r="E844" s="45"/>
      <c r="J844" s="48"/>
      <c r="K844" s="48"/>
    </row>
    <row r="845" spans="2:11" ht="12.75" x14ac:dyDescent="0.2">
      <c r="B845" s="50"/>
      <c r="E845" s="45"/>
      <c r="J845" s="48"/>
      <c r="K845" s="48"/>
    </row>
    <row r="846" spans="2:11" ht="12.75" x14ac:dyDescent="0.2">
      <c r="B846" s="50"/>
      <c r="E846" s="45"/>
      <c r="J846" s="48"/>
      <c r="K846" s="48"/>
    </row>
    <row r="847" spans="2:11" ht="12.75" x14ac:dyDescent="0.2">
      <c r="B847" s="50"/>
      <c r="E847" s="45"/>
      <c r="J847" s="48"/>
      <c r="K847" s="48"/>
    </row>
    <row r="848" spans="2:11" ht="12.75" x14ac:dyDescent="0.2">
      <c r="B848" s="50"/>
      <c r="E848" s="45"/>
      <c r="J848" s="48"/>
      <c r="K848" s="48"/>
    </row>
    <row r="849" spans="2:11" ht="12.75" x14ac:dyDescent="0.2">
      <c r="B849" s="50"/>
      <c r="E849" s="45"/>
      <c r="J849" s="48"/>
      <c r="K849" s="48"/>
    </row>
    <row r="850" spans="2:11" ht="12.75" x14ac:dyDescent="0.2">
      <c r="B850" s="50"/>
      <c r="E850" s="45"/>
      <c r="J850" s="48"/>
      <c r="K850" s="48"/>
    </row>
    <row r="851" spans="2:11" ht="12.75" x14ac:dyDescent="0.2">
      <c r="B851" s="50"/>
      <c r="E851" s="45"/>
      <c r="J851" s="48"/>
      <c r="K851" s="48"/>
    </row>
    <row r="852" spans="2:11" ht="12.75" x14ac:dyDescent="0.2">
      <c r="B852" s="50"/>
      <c r="E852" s="45"/>
      <c r="J852" s="48"/>
      <c r="K852" s="48"/>
    </row>
    <row r="853" spans="2:11" ht="12.75" x14ac:dyDescent="0.2">
      <c r="B853" s="50"/>
      <c r="E853" s="45"/>
      <c r="J853" s="48"/>
      <c r="K853" s="48"/>
    </row>
    <row r="854" spans="2:11" ht="12.75" x14ac:dyDescent="0.2">
      <c r="B854" s="50"/>
      <c r="E854" s="45"/>
      <c r="J854" s="48"/>
      <c r="K854" s="48"/>
    </row>
    <row r="855" spans="2:11" ht="12.75" x14ac:dyDescent="0.2">
      <c r="B855" s="50"/>
      <c r="E855" s="45"/>
      <c r="J855" s="48"/>
      <c r="K855" s="48"/>
    </row>
    <row r="856" spans="2:11" ht="12.75" x14ac:dyDescent="0.2">
      <c r="B856" s="50"/>
      <c r="E856" s="45"/>
      <c r="J856" s="48"/>
      <c r="K856" s="48"/>
    </row>
    <row r="857" spans="2:11" ht="12.75" x14ac:dyDescent="0.2">
      <c r="B857" s="50"/>
      <c r="E857" s="45"/>
      <c r="J857" s="48"/>
      <c r="K857" s="48"/>
    </row>
    <row r="858" spans="2:11" ht="12.75" x14ac:dyDescent="0.2">
      <c r="B858" s="50"/>
      <c r="E858" s="45"/>
      <c r="J858" s="48"/>
      <c r="K858" s="48"/>
    </row>
    <row r="859" spans="2:11" ht="12.75" x14ac:dyDescent="0.2">
      <c r="B859" s="50"/>
      <c r="E859" s="45"/>
      <c r="J859" s="48"/>
      <c r="K859" s="48"/>
    </row>
    <row r="860" spans="2:11" ht="12.75" x14ac:dyDescent="0.2">
      <c r="B860" s="50"/>
      <c r="E860" s="45"/>
      <c r="J860" s="48"/>
      <c r="K860" s="48"/>
    </row>
    <row r="861" spans="2:11" ht="12.75" x14ac:dyDescent="0.2">
      <c r="B861" s="50"/>
      <c r="E861" s="45"/>
      <c r="J861" s="48"/>
      <c r="K861" s="48"/>
    </row>
    <row r="862" spans="2:11" ht="12.75" x14ac:dyDescent="0.2">
      <c r="B862" s="50"/>
      <c r="E862" s="45"/>
      <c r="J862" s="48"/>
      <c r="K862" s="48"/>
    </row>
    <row r="863" spans="2:11" ht="12.75" x14ac:dyDescent="0.2">
      <c r="B863" s="50"/>
      <c r="E863" s="45"/>
      <c r="J863" s="48"/>
      <c r="K863" s="48"/>
    </row>
    <row r="864" spans="2:11" ht="12.75" x14ac:dyDescent="0.2">
      <c r="B864" s="50"/>
      <c r="E864" s="45"/>
      <c r="J864" s="48"/>
      <c r="K864" s="48"/>
    </row>
    <row r="865" spans="2:11" ht="12.75" x14ac:dyDescent="0.2">
      <c r="B865" s="50"/>
      <c r="E865" s="45"/>
      <c r="J865" s="48"/>
      <c r="K865" s="48"/>
    </row>
    <row r="866" spans="2:11" ht="12.75" x14ac:dyDescent="0.2">
      <c r="B866" s="50"/>
      <c r="E866" s="45"/>
      <c r="J866" s="48"/>
      <c r="K866" s="48"/>
    </row>
    <row r="867" spans="2:11" ht="12.75" x14ac:dyDescent="0.2">
      <c r="B867" s="50"/>
      <c r="E867" s="45"/>
      <c r="J867" s="48"/>
      <c r="K867" s="48"/>
    </row>
    <row r="868" spans="2:11" ht="12.75" x14ac:dyDescent="0.2">
      <c r="B868" s="50"/>
      <c r="E868" s="45"/>
      <c r="J868" s="48"/>
      <c r="K868" s="48"/>
    </row>
    <row r="869" spans="2:11" ht="12.75" x14ac:dyDescent="0.2">
      <c r="B869" s="50"/>
      <c r="E869" s="45"/>
      <c r="J869" s="48"/>
      <c r="K869" s="48"/>
    </row>
    <row r="870" spans="2:11" ht="12.75" x14ac:dyDescent="0.2">
      <c r="B870" s="50"/>
      <c r="E870" s="45"/>
      <c r="J870" s="48"/>
      <c r="K870" s="48"/>
    </row>
    <row r="871" spans="2:11" ht="12.75" x14ac:dyDescent="0.2">
      <c r="B871" s="50"/>
      <c r="E871" s="45"/>
      <c r="J871" s="48"/>
      <c r="K871" s="48"/>
    </row>
    <row r="872" spans="2:11" ht="12.75" x14ac:dyDescent="0.2">
      <c r="B872" s="50"/>
      <c r="E872" s="45"/>
      <c r="J872" s="48"/>
      <c r="K872" s="48"/>
    </row>
    <row r="873" spans="2:11" ht="12.75" x14ac:dyDescent="0.2">
      <c r="B873" s="50"/>
      <c r="E873" s="45"/>
      <c r="J873" s="48"/>
      <c r="K873" s="48"/>
    </row>
    <row r="874" spans="2:11" ht="12.75" x14ac:dyDescent="0.2">
      <c r="B874" s="50"/>
      <c r="E874" s="45"/>
      <c r="J874" s="48"/>
      <c r="K874" s="48"/>
    </row>
    <row r="875" spans="2:11" ht="12.75" x14ac:dyDescent="0.2">
      <c r="B875" s="50"/>
      <c r="E875" s="45"/>
      <c r="J875" s="48"/>
      <c r="K875" s="48"/>
    </row>
    <row r="876" spans="2:11" ht="12.75" x14ac:dyDescent="0.2">
      <c r="B876" s="50"/>
      <c r="E876" s="45"/>
      <c r="J876" s="48"/>
      <c r="K876" s="48"/>
    </row>
    <row r="877" spans="2:11" ht="12.75" x14ac:dyDescent="0.2">
      <c r="B877" s="50"/>
      <c r="E877" s="45"/>
      <c r="J877" s="48"/>
      <c r="K877" s="48"/>
    </row>
    <row r="878" spans="2:11" ht="12.75" x14ac:dyDescent="0.2">
      <c r="B878" s="50"/>
      <c r="E878" s="45"/>
      <c r="J878" s="48"/>
      <c r="K878" s="48"/>
    </row>
    <row r="879" spans="2:11" ht="12.75" x14ac:dyDescent="0.2">
      <c r="B879" s="50"/>
      <c r="E879" s="45"/>
      <c r="J879" s="48"/>
      <c r="K879" s="48"/>
    </row>
    <row r="880" spans="2:11" ht="12.75" x14ac:dyDescent="0.2">
      <c r="B880" s="50"/>
      <c r="E880" s="45"/>
      <c r="J880" s="48"/>
      <c r="K880" s="48"/>
    </row>
    <row r="881" spans="2:11" ht="12.75" x14ac:dyDescent="0.2">
      <c r="B881" s="50"/>
      <c r="E881" s="45"/>
      <c r="J881" s="48"/>
      <c r="K881" s="48"/>
    </row>
    <row r="882" spans="2:11" ht="12.75" x14ac:dyDescent="0.2">
      <c r="B882" s="50"/>
      <c r="E882" s="45"/>
      <c r="J882" s="48"/>
      <c r="K882" s="48"/>
    </row>
    <row r="883" spans="2:11" ht="12.75" x14ac:dyDescent="0.2">
      <c r="B883" s="50"/>
      <c r="E883" s="45"/>
      <c r="J883" s="48"/>
      <c r="K883" s="48"/>
    </row>
    <row r="884" spans="2:11" ht="12.75" x14ac:dyDescent="0.2">
      <c r="B884" s="50"/>
      <c r="E884" s="45"/>
      <c r="J884" s="48"/>
      <c r="K884" s="48"/>
    </row>
    <row r="885" spans="2:11" ht="12.75" x14ac:dyDescent="0.2">
      <c r="B885" s="50"/>
      <c r="E885" s="45"/>
      <c r="J885" s="48"/>
      <c r="K885" s="48"/>
    </row>
    <row r="886" spans="2:11" ht="12.75" x14ac:dyDescent="0.2">
      <c r="B886" s="50"/>
      <c r="E886" s="45"/>
      <c r="J886" s="48"/>
      <c r="K886" s="48"/>
    </row>
    <row r="887" spans="2:11" ht="12.75" x14ac:dyDescent="0.2">
      <c r="B887" s="50"/>
      <c r="E887" s="45"/>
      <c r="J887" s="48"/>
      <c r="K887" s="48"/>
    </row>
    <row r="888" spans="2:11" ht="12.75" x14ac:dyDescent="0.2">
      <c r="B888" s="50"/>
      <c r="E888" s="45"/>
      <c r="J888" s="48"/>
      <c r="K888" s="48"/>
    </row>
    <row r="889" spans="2:11" ht="12.75" x14ac:dyDescent="0.2">
      <c r="B889" s="50"/>
      <c r="E889" s="45"/>
      <c r="J889" s="48"/>
      <c r="K889" s="48"/>
    </row>
    <row r="890" spans="2:11" ht="12.75" x14ac:dyDescent="0.2">
      <c r="B890" s="50"/>
      <c r="E890" s="45"/>
      <c r="J890" s="48"/>
      <c r="K890" s="48"/>
    </row>
    <row r="891" spans="2:11" ht="12.75" x14ac:dyDescent="0.2">
      <c r="B891" s="50"/>
      <c r="E891" s="45"/>
      <c r="J891" s="48"/>
      <c r="K891" s="48"/>
    </row>
    <row r="892" spans="2:11" ht="12.75" x14ac:dyDescent="0.2">
      <c r="B892" s="50"/>
      <c r="E892" s="45"/>
      <c r="J892" s="48"/>
      <c r="K892" s="48"/>
    </row>
    <row r="893" spans="2:11" ht="12.75" x14ac:dyDescent="0.2">
      <c r="B893" s="50"/>
      <c r="E893" s="45"/>
      <c r="J893" s="48"/>
      <c r="K893" s="48"/>
    </row>
    <row r="894" spans="2:11" ht="12.75" x14ac:dyDescent="0.2">
      <c r="B894" s="50"/>
      <c r="E894" s="45"/>
      <c r="J894" s="48"/>
      <c r="K894" s="48"/>
    </row>
    <row r="895" spans="2:11" ht="12.75" x14ac:dyDescent="0.2">
      <c r="B895" s="50"/>
      <c r="E895" s="45"/>
      <c r="J895" s="48"/>
      <c r="K895" s="48"/>
    </row>
    <row r="896" spans="2:11" ht="12.75" x14ac:dyDescent="0.2">
      <c r="B896" s="50"/>
      <c r="E896" s="45"/>
      <c r="J896" s="48"/>
      <c r="K896" s="48"/>
    </row>
    <row r="897" spans="2:11" ht="12.75" x14ac:dyDescent="0.2">
      <c r="B897" s="50"/>
      <c r="E897" s="45"/>
      <c r="J897" s="48"/>
      <c r="K897" s="48"/>
    </row>
    <row r="898" spans="2:11" ht="12.75" x14ac:dyDescent="0.2">
      <c r="B898" s="50"/>
      <c r="E898" s="45"/>
      <c r="J898" s="48"/>
      <c r="K898" s="48"/>
    </row>
    <row r="899" spans="2:11" ht="12.75" x14ac:dyDescent="0.2">
      <c r="B899" s="50"/>
      <c r="E899" s="45"/>
      <c r="J899" s="48"/>
      <c r="K899" s="48"/>
    </row>
    <row r="900" spans="2:11" ht="12.75" x14ac:dyDescent="0.2">
      <c r="B900" s="50"/>
      <c r="E900" s="45"/>
      <c r="J900" s="48"/>
      <c r="K900" s="48"/>
    </row>
    <row r="901" spans="2:11" ht="12.75" x14ac:dyDescent="0.2">
      <c r="B901" s="50"/>
      <c r="E901" s="45"/>
      <c r="J901" s="48"/>
      <c r="K901" s="48"/>
    </row>
    <row r="902" spans="2:11" ht="12.75" x14ac:dyDescent="0.2">
      <c r="B902" s="50"/>
      <c r="E902" s="45"/>
      <c r="J902" s="48"/>
      <c r="K902" s="48"/>
    </row>
    <row r="903" spans="2:11" ht="12.75" x14ac:dyDescent="0.2">
      <c r="B903" s="50"/>
      <c r="E903" s="45"/>
      <c r="J903" s="48"/>
      <c r="K903" s="48"/>
    </row>
    <row r="904" spans="2:11" ht="12.75" x14ac:dyDescent="0.2">
      <c r="B904" s="50"/>
      <c r="E904" s="45"/>
      <c r="J904" s="48"/>
      <c r="K904" s="48"/>
    </row>
    <row r="905" spans="2:11" ht="12.75" x14ac:dyDescent="0.2">
      <c r="B905" s="50"/>
      <c r="E905" s="45"/>
      <c r="J905" s="48"/>
      <c r="K905" s="48"/>
    </row>
    <row r="906" spans="2:11" ht="12.75" x14ac:dyDescent="0.2">
      <c r="B906" s="50"/>
      <c r="E906" s="45"/>
      <c r="J906" s="48"/>
      <c r="K906" s="48"/>
    </row>
    <row r="907" spans="2:11" ht="12.75" x14ac:dyDescent="0.2">
      <c r="B907" s="50"/>
      <c r="E907" s="45"/>
      <c r="J907" s="48"/>
      <c r="K907" s="48"/>
    </row>
    <row r="908" spans="2:11" ht="12.75" x14ac:dyDescent="0.2">
      <c r="B908" s="50"/>
      <c r="E908" s="45"/>
      <c r="J908" s="48"/>
      <c r="K908" s="48"/>
    </row>
    <row r="909" spans="2:11" ht="12.75" x14ac:dyDescent="0.2">
      <c r="B909" s="50"/>
      <c r="E909" s="45"/>
      <c r="J909" s="48"/>
      <c r="K909" s="48"/>
    </row>
    <row r="910" spans="2:11" ht="12.75" x14ac:dyDescent="0.2">
      <c r="B910" s="50"/>
      <c r="E910" s="45"/>
      <c r="J910" s="48"/>
      <c r="K910" s="48"/>
    </row>
    <row r="911" spans="2:11" ht="12.75" x14ac:dyDescent="0.2">
      <c r="B911" s="50"/>
      <c r="E911" s="45"/>
      <c r="J911" s="48"/>
      <c r="K911" s="48"/>
    </row>
    <row r="912" spans="2:11" ht="12.75" x14ac:dyDescent="0.2">
      <c r="B912" s="50"/>
      <c r="E912" s="45"/>
      <c r="J912" s="48"/>
      <c r="K912" s="48"/>
    </row>
    <row r="913" spans="2:11" ht="12.75" x14ac:dyDescent="0.2">
      <c r="B913" s="50"/>
      <c r="E913" s="45"/>
      <c r="J913" s="48"/>
      <c r="K913" s="48"/>
    </row>
    <row r="914" spans="2:11" ht="12.75" x14ac:dyDescent="0.2">
      <c r="B914" s="50"/>
      <c r="E914" s="45"/>
      <c r="J914" s="48"/>
      <c r="K914" s="48"/>
    </row>
    <row r="915" spans="2:11" ht="12.75" x14ac:dyDescent="0.2">
      <c r="B915" s="50"/>
      <c r="E915" s="45"/>
      <c r="J915" s="48"/>
      <c r="K915" s="48"/>
    </row>
    <row r="916" spans="2:11" ht="12.75" x14ac:dyDescent="0.2">
      <c r="B916" s="50"/>
      <c r="E916" s="45"/>
      <c r="J916" s="48"/>
      <c r="K916" s="48"/>
    </row>
    <row r="917" spans="2:11" ht="12.75" x14ac:dyDescent="0.2">
      <c r="B917" s="50"/>
      <c r="E917" s="45"/>
      <c r="J917" s="48"/>
      <c r="K917" s="48"/>
    </row>
    <row r="918" spans="2:11" ht="12.75" x14ac:dyDescent="0.2">
      <c r="B918" s="50"/>
      <c r="E918" s="45"/>
      <c r="J918" s="48"/>
      <c r="K918" s="48"/>
    </row>
    <row r="919" spans="2:11" ht="12.75" x14ac:dyDescent="0.2">
      <c r="B919" s="50"/>
      <c r="E919" s="45"/>
      <c r="J919" s="48"/>
      <c r="K919" s="48"/>
    </row>
    <row r="920" spans="2:11" ht="12.75" x14ac:dyDescent="0.2">
      <c r="B920" s="50"/>
      <c r="E920" s="45"/>
      <c r="J920" s="48"/>
      <c r="K920" s="48"/>
    </row>
    <row r="921" spans="2:11" ht="12.75" x14ac:dyDescent="0.2">
      <c r="B921" s="50"/>
      <c r="E921" s="45"/>
      <c r="J921" s="48"/>
      <c r="K921" s="48"/>
    </row>
    <row r="922" spans="2:11" ht="12.75" x14ac:dyDescent="0.2">
      <c r="B922" s="50"/>
      <c r="E922" s="45"/>
      <c r="J922" s="48"/>
      <c r="K922" s="48"/>
    </row>
    <row r="923" spans="2:11" ht="12.75" x14ac:dyDescent="0.2">
      <c r="B923" s="50"/>
      <c r="E923" s="45"/>
      <c r="J923" s="48"/>
      <c r="K923" s="48"/>
    </row>
    <row r="924" spans="2:11" ht="12.75" x14ac:dyDescent="0.2">
      <c r="B924" s="50"/>
      <c r="E924" s="45"/>
      <c r="J924" s="48"/>
      <c r="K924" s="48"/>
    </row>
    <row r="925" spans="2:11" ht="12.75" x14ac:dyDescent="0.2">
      <c r="B925" s="50"/>
      <c r="E925" s="45"/>
      <c r="J925" s="48"/>
      <c r="K925" s="48"/>
    </row>
    <row r="926" spans="2:11" ht="12.75" x14ac:dyDescent="0.2">
      <c r="B926" s="50"/>
      <c r="E926" s="45"/>
      <c r="J926" s="48"/>
      <c r="K926" s="48"/>
    </row>
    <row r="927" spans="2:11" ht="12.75" x14ac:dyDescent="0.2">
      <c r="B927" s="50"/>
      <c r="E927" s="45"/>
      <c r="J927" s="48"/>
      <c r="K927" s="48"/>
    </row>
    <row r="928" spans="2:11" ht="12.75" x14ac:dyDescent="0.2">
      <c r="B928" s="50"/>
      <c r="E928" s="45"/>
      <c r="J928" s="48"/>
      <c r="K928" s="48"/>
    </row>
    <row r="929" spans="2:11" ht="12.75" x14ac:dyDescent="0.2">
      <c r="B929" s="50"/>
      <c r="E929" s="45"/>
      <c r="J929" s="48"/>
      <c r="K929" s="48"/>
    </row>
    <row r="930" spans="2:11" ht="12.75" x14ac:dyDescent="0.2">
      <c r="B930" s="50"/>
      <c r="E930" s="45"/>
      <c r="J930" s="48"/>
      <c r="K930" s="48"/>
    </row>
    <row r="931" spans="2:11" ht="12.75" x14ac:dyDescent="0.2">
      <c r="B931" s="50"/>
      <c r="E931" s="45"/>
      <c r="J931" s="48"/>
      <c r="K931" s="48"/>
    </row>
    <row r="932" spans="2:11" ht="12.75" x14ac:dyDescent="0.2">
      <c r="B932" s="50"/>
      <c r="E932" s="45"/>
      <c r="J932" s="48"/>
      <c r="K932" s="48"/>
    </row>
    <row r="933" spans="2:11" ht="12.75" x14ac:dyDescent="0.2">
      <c r="B933" s="50"/>
      <c r="E933" s="45"/>
      <c r="J933" s="48"/>
      <c r="K933" s="48"/>
    </row>
    <row r="934" spans="2:11" ht="12.75" x14ac:dyDescent="0.2">
      <c r="B934" s="50"/>
      <c r="E934" s="45"/>
      <c r="J934" s="48"/>
      <c r="K934" s="48"/>
    </row>
    <row r="935" spans="2:11" ht="12.75" x14ac:dyDescent="0.2">
      <c r="B935" s="50"/>
      <c r="E935" s="45"/>
      <c r="J935" s="48"/>
      <c r="K935" s="48"/>
    </row>
    <row r="936" spans="2:11" ht="12.75" x14ac:dyDescent="0.2">
      <c r="B936" s="50"/>
      <c r="E936" s="45"/>
      <c r="J936" s="48"/>
      <c r="K936" s="48"/>
    </row>
    <row r="937" spans="2:11" ht="12.75" x14ac:dyDescent="0.2">
      <c r="B937" s="50"/>
      <c r="E937" s="45"/>
      <c r="J937" s="48"/>
      <c r="K937" s="48"/>
    </row>
    <row r="938" spans="2:11" ht="12.75" x14ac:dyDescent="0.2">
      <c r="B938" s="50"/>
      <c r="E938" s="45"/>
      <c r="J938" s="48"/>
      <c r="K938" s="48"/>
    </row>
    <row r="939" spans="2:11" ht="12.75" x14ac:dyDescent="0.2">
      <c r="B939" s="50"/>
      <c r="E939" s="45"/>
      <c r="J939" s="48"/>
      <c r="K939" s="48"/>
    </row>
    <row r="940" spans="2:11" ht="12.75" x14ac:dyDescent="0.2">
      <c r="B940" s="50"/>
      <c r="E940" s="45"/>
      <c r="J940" s="48"/>
      <c r="K940" s="48"/>
    </row>
    <row r="941" spans="2:11" ht="12.75" x14ac:dyDescent="0.2">
      <c r="B941" s="50"/>
      <c r="E941" s="45"/>
      <c r="J941" s="48"/>
      <c r="K941" s="48"/>
    </row>
    <row r="942" spans="2:11" ht="12.75" x14ac:dyDescent="0.2">
      <c r="B942" s="50"/>
      <c r="E942" s="45"/>
      <c r="J942" s="48"/>
      <c r="K942" s="48"/>
    </row>
    <row r="943" spans="2:11" ht="12.75" x14ac:dyDescent="0.2">
      <c r="B943" s="50"/>
      <c r="E943" s="45"/>
      <c r="J943" s="48"/>
      <c r="K943" s="48"/>
    </row>
    <row r="944" spans="2:11" ht="12.75" x14ac:dyDescent="0.2">
      <c r="B944" s="50"/>
      <c r="E944" s="45"/>
      <c r="J944" s="48"/>
      <c r="K944" s="48"/>
    </row>
    <row r="945" spans="2:11" ht="12.75" x14ac:dyDescent="0.2">
      <c r="B945" s="50"/>
      <c r="E945" s="45"/>
      <c r="J945" s="48"/>
      <c r="K945" s="48"/>
    </row>
    <row r="946" spans="2:11" ht="12.75" x14ac:dyDescent="0.2">
      <c r="B946" s="50"/>
      <c r="E946" s="45"/>
      <c r="J946" s="48"/>
      <c r="K946" s="48"/>
    </row>
    <row r="947" spans="2:11" ht="12.75" x14ac:dyDescent="0.2">
      <c r="B947" s="50"/>
      <c r="E947" s="45"/>
      <c r="J947" s="48"/>
      <c r="K947" s="48"/>
    </row>
    <row r="948" spans="2:11" ht="12.75" x14ac:dyDescent="0.2">
      <c r="B948" s="50"/>
      <c r="E948" s="45"/>
      <c r="J948" s="48"/>
      <c r="K948" s="48"/>
    </row>
    <row r="949" spans="2:11" ht="12.75" x14ac:dyDescent="0.2">
      <c r="B949" s="50"/>
      <c r="E949" s="45"/>
      <c r="J949" s="48"/>
      <c r="K949" s="48"/>
    </row>
    <row r="950" spans="2:11" ht="12.75" x14ac:dyDescent="0.2">
      <c r="B950" s="50"/>
      <c r="E950" s="45"/>
      <c r="J950" s="48"/>
      <c r="K950" s="48"/>
    </row>
    <row r="951" spans="2:11" ht="12.75" x14ac:dyDescent="0.2">
      <c r="B951" s="50"/>
      <c r="E951" s="45"/>
      <c r="J951" s="48"/>
      <c r="K951" s="48"/>
    </row>
    <row r="952" spans="2:11" ht="12.75" x14ac:dyDescent="0.2">
      <c r="B952" s="50"/>
      <c r="E952" s="45"/>
      <c r="J952" s="48"/>
      <c r="K952" s="48"/>
    </row>
    <row r="953" spans="2:11" ht="12.75" x14ac:dyDescent="0.2">
      <c r="B953" s="50"/>
      <c r="E953" s="45"/>
      <c r="J953" s="48"/>
      <c r="K953" s="48"/>
    </row>
    <row r="954" spans="2:11" ht="12.75" x14ac:dyDescent="0.2">
      <c r="B954" s="50"/>
      <c r="E954" s="45"/>
      <c r="J954" s="48"/>
      <c r="K954" s="48"/>
    </row>
    <row r="955" spans="2:11" ht="12.75" x14ac:dyDescent="0.2">
      <c r="B955" s="50"/>
      <c r="E955" s="45"/>
      <c r="J955" s="48"/>
      <c r="K955" s="48"/>
    </row>
    <row r="956" spans="2:11" ht="12.75" x14ac:dyDescent="0.2">
      <c r="B956" s="50"/>
      <c r="E956" s="45"/>
      <c r="J956" s="48"/>
      <c r="K956" s="48"/>
    </row>
    <row r="957" spans="2:11" ht="12.75" x14ac:dyDescent="0.2">
      <c r="B957" s="50"/>
      <c r="E957" s="45"/>
      <c r="J957" s="48"/>
      <c r="K957" s="48"/>
    </row>
    <row r="958" spans="2:11" ht="12.75" x14ac:dyDescent="0.2">
      <c r="B958" s="50"/>
      <c r="E958" s="45"/>
      <c r="J958" s="48"/>
      <c r="K958" s="48"/>
    </row>
    <row r="959" spans="2:11" ht="12.75" x14ac:dyDescent="0.2">
      <c r="B959" s="50"/>
      <c r="E959" s="45"/>
      <c r="J959" s="48"/>
      <c r="K959" s="48"/>
    </row>
    <row r="960" spans="2:11" ht="12.75" x14ac:dyDescent="0.2">
      <c r="B960" s="50"/>
      <c r="E960" s="45"/>
      <c r="J960" s="48"/>
      <c r="K960" s="48"/>
    </row>
    <row r="961" spans="2:11" ht="12.75" x14ac:dyDescent="0.2">
      <c r="B961" s="50"/>
      <c r="E961" s="45"/>
      <c r="J961" s="48"/>
      <c r="K961" s="48"/>
    </row>
    <row r="962" spans="2:11" ht="12.75" x14ac:dyDescent="0.2">
      <c r="B962" s="50"/>
      <c r="E962" s="45"/>
      <c r="J962" s="48"/>
      <c r="K962" s="48"/>
    </row>
    <row r="963" spans="2:11" ht="12.75" x14ac:dyDescent="0.2">
      <c r="B963" s="50"/>
      <c r="E963" s="45"/>
      <c r="J963" s="48"/>
      <c r="K963" s="48"/>
    </row>
    <row r="964" spans="2:11" ht="12.75" x14ac:dyDescent="0.2">
      <c r="B964" s="50"/>
      <c r="E964" s="45"/>
      <c r="J964" s="48"/>
      <c r="K964" s="48"/>
    </row>
    <row r="965" spans="2:11" ht="12.75" x14ac:dyDescent="0.2">
      <c r="B965" s="50"/>
      <c r="E965" s="45"/>
      <c r="J965" s="48"/>
      <c r="K965" s="48"/>
    </row>
    <row r="966" spans="2:11" ht="12.75" x14ac:dyDescent="0.2">
      <c r="B966" s="50"/>
      <c r="E966" s="45"/>
      <c r="J966" s="48"/>
      <c r="K966" s="48"/>
    </row>
    <row r="967" spans="2:11" ht="12.75" x14ac:dyDescent="0.2">
      <c r="B967" s="50"/>
      <c r="E967" s="45"/>
      <c r="J967" s="48"/>
      <c r="K967" s="48"/>
    </row>
    <row r="968" spans="2:11" ht="12.75" x14ac:dyDescent="0.2">
      <c r="B968" s="50"/>
      <c r="E968" s="45"/>
      <c r="J968" s="48"/>
      <c r="K968" s="48"/>
    </row>
    <row r="969" spans="2:11" ht="12.75" x14ac:dyDescent="0.2">
      <c r="B969" s="50"/>
      <c r="E969" s="45"/>
      <c r="J969" s="48"/>
      <c r="K969" s="48"/>
    </row>
    <row r="970" spans="2:11" ht="12.75" x14ac:dyDescent="0.2">
      <c r="B970" s="50"/>
      <c r="E970" s="45"/>
      <c r="J970" s="48"/>
      <c r="K970" s="48"/>
    </row>
    <row r="971" spans="2:11" ht="12.75" x14ac:dyDescent="0.2">
      <c r="B971" s="50"/>
      <c r="E971" s="45"/>
      <c r="J971" s="48"/>
      <c r="K971" s="48"/>
    </row>
    <row r="972" spans="2:11" ht="12.75" x14ac:dyDescent="0.2">
      <c r="B972" s="50"/>
      <c r="E972" s="45"/>
      <c r="J972" s="48"/>
      <c r="K972" s="48"/>
    </row>
    <row r="973" spans="2:11" ht="12.75" x14ac:dyDescent="0.2">
      <c r="B973" s="50"/>
      <c r="E973" s="45"/>
      <c r="J973" s="48"/>
      <c r="K973" s="48"/>
    </row>
    <row r="974" spans="2:11" ht="12.75" x14ac:dyDescent="0.2">
      <c r="B974" s="50"/>
      <c r="E974" s="45"/>
      <c r="J974" s="48"/>
      <c r="K974" s="48"/>
    </row>
    <row r="975" spans="2:11" ht="12.75" x14ac:dyDescent="0.2">
      <c r="B975" s="50"/>
      <c r="E975" s="45"/>
      <c r="J975" s="48"/>
      <c r="K975" s="48"/>
    </row>
    <row r="976" spans="2:11" ht="12.75" x14ac:dyDescent="0.2">
      <c r="B976" s="50"/>
      <c r="E976" s="45"/>
      <c r="J976" s="48"/>
      <c r="K976" s="48"/>
    </row>
    <row r="977" spans="2:11" ht="12.75" x14ac:dyDescent="0.2">
      <c r="B977" s="50"/>
      <c r="E977" s="45"/>
      <c r="J977" s="48"/>
      <c r="K977" s="48"/>
    </row>
    <row r="978" spans="2:11" ht="12.75" x14ac:dyDescent="0.2">
      <c r="B978" s="50"/>
      <c r="E978" s="45"/>
      <c r="J978" s="48"/>
      <c r="K978" s="48"/>
    </row>
    <row r="979" spans="2:11" ht="12.75" x14ac:dyDescent="0.2">
      <c r="B979" s="50"/>
      <c r="E979" s="45"/>
      <c r="J979" s="48"/>
      <c r="K979" s="48"/>
    </row>
    <row r="980" spans="2:11" ht="12.75" x14ac:dyDescent="0.2">
      <c r="B980" s="50"/>
      <c r="E980" s="45"/>
      <c r="J980" s="48"/>
      <c r="K980" s="48"/>
    </row>
    <row r="981" spans="2:11" ht="12.75" x14ac:dyDescent="0.2">
      <c r="B981" s="50"/>
      <c r="E981" s="45"/>
      <c r="J981" s="48"/>
      <c r="K981" s="48"/>
    </row>
    <row r="982" spans="2:11" ht="12.75" x14ac:dyDescent="0.2">
      <c r="B982" s="50"/>
      <c r="E982" s="45"/>
      <c r="J982" s="48"/>
      <c r="K982" s="48"/>
    </row>
    <row r="983" spans="2:11" ht="12.75" x14ac:dyDescent="0.2">
      <c r="B983" s="50"/>
      <c r="E983" s="45"/>
      <c r="J983" s="48"/>
      <c r="K983" s="48"/>
    </row>
    <row r="984" spans="2:11" ht="12.75" x14ac:dyDescent="0.2">
      <c r="B984" s="50"/>
      <c r="E984" s="45"/>
      <c r="J984" s="48"/>
      <c r="K984" s="48"/>
    </row>
    <row r="985" spans="2:11" ht="12.75" x14ac:dyDescent="0.2">
      <c r="B985" s="50"/>
      <c r="E985" s="45"/>
      <c r="J985" s="48"/>
      <c r="K985" s="48"/>
    </row>
    <row r="986" spans="2:11" ht="12.75" x14ac:dyDescent="0.2">
      <c r="B986" s="50"/>
      <c r="E986" s="45"/>
      <c r="J986" s="48"/>
      <c r="K986" s="48"/>
    </row>
    <row r="987" spans="2:11" ht="12.75" x14ac:dyDescent="0.2">
      <c r="B987" s="50"/>
      <c r="E987" s="45"/>
      <c r="J987" s="48"/>
      <c r="K987" s="48"/>
    </row>
    <row r="988" spans="2:11" ht="12.75" x14ac:dyDescent="0.2">
      <c r="B988" s="50"/>
      <c r="E988" s="45"/>
      <c r="J988" s="48"/>
      <c r="K988" s="48"/>
    </row>
    <row r="989" spans="2:11" ht="12.75" x14ac:dyDescent="0.2">
      <c r="B989" s="50"/>
      <c r="E989" s="45"/>
      <c r="J989" s="48"/>
      <c r="K989" s="48"/>
    </row>
    <row r="990" spans="2:11" ht="12.75" x14ac:dyDescent="0.2">
      <c r="B990" s="50"/>
      <c r="E990" s="45"/>
      <c r="J990" s="48"/>
      <c r="K990" s="48"/>
    </row>
    <row r="991" spans="2:11" ht="12.75" x14ac:dyDescent="0.2">
      <c r="B991" s="50"/>
      <c r="E991" s="45"/>
      <c r="J991" s="48"/>
      <c r="K991" s="48"/>
    </row>
    <row r="992" spans="2:11" ht="12.75" x14ac:dyDescent="0.2">
      <c r="B992" s="50"/>
      <c r="E992" s="45"/>
      <c r="J992" s="48"/>
      <c r="K992" s="48"/>
    </row>
    <row r="993" spans="2:11" ht="12.75" x14ac:dyDescent="0.2">
      <c r="B993" s="50"/>
      <c r="E993" s="45"/>
      <c r="J993" s="48"/>
      <c r="K993" s="48"/>
    </row>
    <row r="994" spans="2:11" ht="12.75" x14ac:dyDescent="0.2">
      <c r="B994" s="50"/>
      <c r="E994" s="45"/>
      <c r="J994" s="48"/>
      <c r="K994" s="48"/>
    </row>
    <row r="995" spans="2:11" ht="12.75" x14ac:dyDescent="0.2">
      <c r="B995" s="50"/>
      <c r="E995" s="45"/>
      <c r="J995" s="48"/>
      <c r="K995" s="48"/>
    </row>
    <row r="996" spans="2:11" ht="12.75" x14ac:dyDescent="0.2">
      <c r="B996" s="50"/>
      <c r="E996" s="45"/>
      <c r="J996" s="48"/>
      <c r="K996" s="48"/>
    </row>
    <row r="997" spans="2:11" ht="12.75" x14ac:dyDescent="0.2">
      <c r="B997" s="50"/>
      <c r="E997" s="45"/>
      <c r="J997" s="48"/>
      <c r="K997" s="48"/>
    </row>
    <row r="998" spans="2:11" ht="12.75" x14ac:dyDescent="0.2">
      <c r="B998" s="50"/>
      <c r="E998" s="45"/>
      <c r="J998" s="48"/>
      <c r="K998" s="48"/>
    </row>
    <row r="999" spans="2:11" ht="12.75" x14ac:dyDescent="0.2">
      <c r="B999" s="50"/>
      <c r="E999" s="45"/>
      <c r="J999" s="48"/>
      <c r="K999" s="48"/>
    </row>
    <row r="1000" spans="2:11" ht="12.75" x14ac:dyDescent="0.2">
      <c r="B1000" s="50"/>
      <c r="E1000" s="45"/>
      <c r="J1000" s="48"/>
      <c r="K1000" s="48"/>
    </row>
    <row r="1001" spans="2:11" ht="15.75" customHeight="1" x14ac:dyDescent="0.2">
      <c r="B1001" s="50"/>
      <c r="E1001" s="45"/>
      <c r="J1001" s="48"/>
      <c r="K1001" s="48"/>
    </row>
    <row r="1002" spans="2:11" ht="15.75" customHeight="1" x14ac:dyDescent="0.2">
      <c r="B1002" s="50"/>
      <c r="E1002" s="45"/>
      <c r="J1002" s="48"/>
      <c r="K1002" s="48"/>
    </row>
    <row r="1003" spans="2:11" ht="15.75" customHeight="1" x14ac:dyDescent="0.2">
      <c r="B1003" s="50"/>
      <c r="E1003" s="45"/>
      <c r="J1003" s="48"/>
      <c r="K1003" s="48"/>
    </row>
    <row r="1004" spans="2:11" ht="15.75" customHeight="1" x14ac:dyDescent="0.2">
      <c r="B1004" s="50"/>
      <c r="E1004" s="45"/>
      <c r="J1004" s="48"/>
      <c r="K1004" s="48"/>
    </row>
    <row r="1005" spans="2:11" ht="15.75" customHeight="1" x14ac:dyDescent="0.2">
      <c r="B1005" s="50"/>
      <c r="E1005" s="45"/>
      <c r="J1005" s="48"/>
      <c r="K1005" s="48"/>
    </row>
    <row r="1006" spans="2:11" ht="15.75" customHeight="1" x14ac:dyDescent="0.2">
      <c r="B1006" s="50"/>
      <c r="E1006" s="45"/>
      <c r="J1006" s="48"/>
      <c r="K1006" s="48"/>
    </row>
    <row r="1007" spans="2:11" ht="15.75" customHeight="1" x14ac:dyDescent="0.2">
      <c r="B1007" s="50"/>
      <c r="E1007" s="45"/>
      <c r="J1007" s="48"/>
      <c r="K1007" s="48"/>
    </row>
    <row r="1008" spans="2:11" ht="15.75" customHeight="1" x14ac:dyDescent="0.2">
      <c r="B1008" s="50"/>
      <c r="E1008" s="45"/>
      <c r="J1008" s="48"/>
      <c r="K1008" s="48"/>
    </row>
    <row r="1009" spans="2:11" ht="15.75" customHeight="1" x14ac:dyDescent="0.2">
      <c r="B1009" s="50"/>
      <c r="E1009" s="45"/>
      <c r="J1009" s="48"/>
      <c r="K1009" s="48"/>
    </row>
    <row r="1010" spans="2:11" ht="15.75" customHeight="1" x14ac:dyDescent="0.2">
      <c r="B1010" s="50"/>
      <c r="E1010" s="45"/>
      <c r="J1010" s="48"/>
      <c r="K1010" s="48"/>
    </row>
    <row r="1011" spans="2:11" ht="15.75" customHeight="1" x14ac:dyDescent="0.2">
      <c r="B1011" s="50"/>
      <c r="E1011" s="45"/>
      <c r="J1011" s="48"/>
      <c r="K1011" s="48"/>
    </row>
    <row r="1012" spans="2:11" ht="15.75" customHeight="1" x14ac:dyDescent="0.2">
      <c r="B1012" s="50"/>
      <c r="E1012" s="45"/>
      <c r="J1012" s="48"/>
      <c r="K1012" s="48"/>
    </row>
    <row r="1013" spans="2:11" ht="15.75" customHeight="1" x14ac:dyDescent="0.2">
      <c r="B1013" s="50"/>
      <c r="E1013" s="45"/>
      <c r="J1013" s="48"/>
      <c r="K1013" s="48"/>
    </row>
    <row r="1014" spans="2:11" ht="15.75" customHeight="1" x14ac:dyDescent="0.2">
      <c r="B1014" s="50"/>
      <c r="E1014" s="45"/>
      <c r="J1014" s="48"/>
      <c r="K1014" s="48"/>
    </row>
    <row r="1015" spans="2:11" ht="15.75" customHeight="1" x14ac:dyDescent="0.2">
      <c r="B1015" s="50"/>
      <c r="E1015" s="45"/>
      <c r="J1015" s="48"/>
      <c r="K1015" s="48"/>
    </row>
    <row r="1016" spans="2:11" ht="15.75" customHeight="1" x14ac:dyDescent="0.2">
      <c r="B1016" s="50"/>
      <c r="E1016" s="45"/>
      <c r="J1016" s="48"/>
      <c r="K1016" s="48"/>
    </row>
    <row r="1017" spans="2:11" ht="15.75" customHeight="1" x14ac:dyDescent="0.2">
      <c r="B1017" s="50"/>
      <c r="E1017" s="45"/>
      <c r="J1017" s="48"/>
      <c r="K1017" s="48"/>
    </row>
    <row r="1018" spans="2:11" ht="15.75" customHeight="1" x14ac:dyDescent="0.2">
      <c r="B1018" s="50"/>
      <c r="E1018" s="45"/>
      <c r="J1018" s="48"/>
      <c r="K1018" s="48"/>
    </row>
    <row r="1019" spans="2:11" ht="15.75" customHeight="1" x14ac:dyDescent="0.2">
      <c r="B1019" s="50"/>
      <c r="E1019" s="45"/>
      <c r="J1019" s="48"/>
      <c r="K1019" s="48"/>
    </row>
    <row r="1020" spans="2:11" ht="15.75" customHeight="1" x14ac:dyDescent="0.2">
      <c r="B1020" s="50"/>
      <c r="E1020" s="45"/>
      <c r="J1020" s="48"/>
      <c r="K1020" s="48"/>
    </row>
    <row r="1021" spans="2:11" ht="15.75" customHeight="1" x14ac:dyDescent="0.2">
      <c r="B1021" s="50"/>
      <c r="E1021" s="45"/>
      <c r="J1021" s="48"/>
      <c r="K1021" s="48"/>
    </row>
    <row r="1022" spans="2:11" ht="15.75" customHeight="1" x14ac:dyDescent="0.2">
      <c r="B1022" s="50"/>
      <c r="E1022" s="45"/>
      <c r="J1022" s="48"/>
      <c r="K1022" s="48"/>
    </row>
    <row r="1023" spans="2:11" ht="15.75" customHeight="1" x14ac:dyDescent="0.2">
      <c r="B1023" s="50"/>
      <c r="E1023" s="45"/>
      <c r="J1023" s="48"/>
      <c r="K1023" s="48"/>
    </row>
    <row r="1024" spans="2:11" ht="15.75" customHeight="1" x14ac:dyDescent="0.2">
      <c r="B1024" s="50"/>
      <c r="E1024" s="45"/>
      <c r="J1024" s="48"/>
      <c r="K1024" s="48"/>
    </row>
    <row r="1025" spans="2:11" ht="15.75" customHeight="1" x14ac:dyDescent="0.2">
      <c r="B1025" s="50"/>
      <c r="E1025" s="45"/>
      <c r="J1025" s="48"/>
      <c r="K1025" s="48"/>
    </row>
    <row r="1026" spans="2:11" ht="15.75" customHeight="1" x14ac:dyDescent="0.2">
      <c r="B1026" s="50"/>
      <c r="E1026" s="45"/>
      <c r="J1026" s="48"/>
      <c r="K1026" s="48"/>
    </row>
  </sheetData>
  <conditionalFormatting sqref="AB1">
    <cfRule type="notContainsBlanks" dxfId="0" priority="1">
      <formula>LEN(TRIM(AB1))&gt;0</formula>
    </cfRule>
  </conditionalFormatting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810E-BBAC-470C-BFB6-25850D4C5D7E}">
  <dimension ref="A2:N15"/>
  <sheetViews>
    <sheetView workbookViewId="0">
      <selection activeCell="B9" sqref="B9"/>
    </sheetView>
  </sheetViews>
  <sheetFormatPr defaultRowHeight="12.75" x14ac:dyDescent="0.2"/>
  <cols>
    <col min="1" max="1" width="60.28515625" bestFit="1" customWidth="1"/>
    <col min="2" max="2" width="31.85546875" style="73" customWidth="1"/>
  </cols>
  <sheetData>
    <row r="2" spans="1:14" ht="15" x14ac:dyDescent="0.25">
      <c r="A2" t="s">
        <v>47</v>
      </c>
      <c r="B2" s="73" t="s">
        <v>2172</v>
      </c>
      <c r="C2" s="9">
        <v>9.8800000000000008</v>
      </c>
      <c r="D2" s="9">
        <v>0.9</v>
      </c>
      <c r="E2" s="9">
        <v>0.7</v>
      </c>
      <c r="F2" s="9">
        <v>8.1999999999999993</v>
      </c>
      <c r="G2" s="9">
        <v>24</v>
      </c>
      <c r="H2" s="9">
        <f t="shared" ref="H2" si="0">C2+D2+E2</f>
        <v>11.48</v>
      </c>
      <c r="I2" s="9">
        <f t="shared" ref="I2" si="1">H2 / (1 - F2/100 - (1 - 1/(1 + G2/100)))</f>
        <v>15.846468964288894</v>
      </c>
      <c r="J2" s="9">
        <f t="shared" ref="J2" si="2">I2 * F2 / 100</f>
        <v>1.2994104550716892</v>
      </c>
      <c r="K2" s="9">
        <f t="shared" ref="K2" si="3">I2 - (I2 / (1 + G2/100))</f>
        <v>3.0670585092172047</v>
      </c>
      <c r="L2" s="9">
        <f t="shared" ref="L2" si="4">I2 - J2 - K2</f>
        <v>11.48</v>
      </c>
      <c r="M2" s="88">
        <f t="shared" ref="M2" si="5">J2 - (J2 / (1 + H2/100))</f>
        <v>0.13381083624168455</v>
      </c>
      <c r="N2" s="88">
        <f t="shared" ref="N2" si="6">J2 - L2 - M2</f>
        <v>-10.314400381169996</v>
      </c>
    </row>
    <row r="3" spans="1:14" ht="15" x14ac:dyDescent="0.25">
      <c r="A3" t="s">
        <v>45</v>
      </c>
      <c r="B3" s="73" t="s">
        <v>2173</v>
      </c>
      <c r="C3" s="9">
        <v>13.6</v>
      </c>
      <c r="D3" s="9">
        <v>0.9</v>
      </c>
      <c r="E3" s="9">
        <v>0.7</v>
      </c>
      <c r="F3" s="9">
        <v>8.1999999999999993</v>
      </c>
      <c r="G3" s="9">
        <v>24</v>
      </c>
      <c r="H3" s="9">
        <f t="shared" ref="H3:H15" si="7">C3+D3+E3</f>
        <v>15.2</v>
      </c>
      <c r="I3" s="9">
        <f t="shared" ref="I3:I15" si="8">H3 / (1 - F3/100 - (1 - 1/(1 + G3/100)))</f>
        <v>20.981387478849403</v>
      </c>
      <c r="J3" s="9">
        <f t="shared" ref="J3:J15" si="9">I3 * F3 / 100</f>
        <v>1.7204737732656508</v>
      </c>
      <c r="K3" s="9">
        <f t="shared" ref="K3:K15" si="10">I3 - (I3 / (1 + G3/100))</f>
        <v>4.0609137055837543</v>
      </c>
      <c r="L3" s="9">
        <f t="shared" ref="L3:L15" si="11">I3 - J3 - K3</f>
        <v>15.2</v>
      </c>
      <c r="M3" s="88">
        <f t="shared" ref="M3:M15" si="12">J3 - (J3 / (1 + H3/100))</f>
        <v>0.22700695619477318</v>
      </c>
      <c r="N3" s="88">
        <f t="shared" ref="N3:N15" si="13">J3 - L3 - M3</f>
        <v>-13.706533182929121</v>
      </c>
    </row>
    <row r="4" spans="1:14" ht="15" x14ac:dyDescent="0.25">
      <c r="A4" t="s">
        <v>249</v>
      </c>
      <c r="B4" s="73" t="s">
        <v>2174</v>
      </c>
      <c r="C4" s="9">
        <v>9.0399999999999991</v>
      </c>
      <c r="D4" s="9">
        <v>0.9</v>
      </c>
      <c r="E4" s="9">
        <v>0.7</v>
      </c>
      <c r="F4" s="9">
        <v>8.1999999999999993</v>
      </c>
      <c r="G4" s="9">
        <v>24</v>
      </c>
      <c r="H4" s="9">
        <f t="shared" si="7"/>
        <v>10.639999999999999</v>
      </c>
      <c r="I4" s="9">
        <f t="shared" si="8"/>
        <v>14.686971235194582</v>
      </c>
      <c r="J4" s="9">
        <f t="shared" si="9"/>
        <v>1.2043316412859557</v>
      </c>
      <c r="K4" s="9">
        <f t="shared" si="10"/>
        <v>2.8426395939086291</v>
      </c>
      <c r="L4" s="9">
        <f t="shared" si="11"/>
        <v>10.639999999999997</v>
      </c>
      <c r="M4" s="88">
        <f t="shared" si="12"/>
        <v>0.1158178657201967</v>
      </c>
      <c r="N4" s="88">
        <f t="shared" si="13"/>
        <v>-9.5514862244342389</v>
      </c>
    </row>
    <row r="5" spans="1:14" ht="15" x14ac:dyDescent="0.25">
      <c r="A5" t="s">
        <v>284</v>
      </c>
      <c r="B5" s="73" t="s">
        <v>2175</v>
      </c>
      <c r="C5" s="9">
        <v>8.6</v>
      </c>
      <c r="D5" s="9">
        <v>0.9</v>
      </c>
      <c r="E5" s="9">
        <v>0.7</v>
      </c>
      <c r="F5" s="9">
        <v>8.1999999999999993</v>
      </c>
      <c r="G5" s="9">
        <v>24</v>
      </c>
      <c r="H5" s="9">
        <f t="shared" si="7"/>
        <v>10.199999999999999</v>
      </c>
      <c r="I5" s="9">
        <f t="shared" si="8"/>
        <v>14.079615281859468</v>
      </c>
      <c r="J5" s="9">
        <f t="shared" si="9"/>
        <v>1.1545284531124762</v>
      </c>
      <c r="K5" s="9">
        <f t="shared" si="10"/>
        <v>2.7250868287469938</v>
      </c>
      <c r="L5" s="9">
        <f t="shared" si="11"/>
        <v>10.199999999999998</v>
      </c>
      <c r="M5" s="88">
        <f t="shared" si="12"/>
        <v>0.10686198023364124</v>
      </c>
      <c r="N5" s="88">
        <f t="shared" si="13"/>
        <v>-9.1523335271211614</v>
      </c>
    </row>
    <row r="6" spans="1:14" ht="15" x14ac:dyDescent="0.25">
      <c r="A6" t="s">
        <v>48</v>
      </c>
      <c r="B6" s="73" t="s">
        <v>2176</v>
      </c>
      <c r="C6" s="9">
        <v>7.64</v>
      </c>
      <c r="D6" s="9">
        <v>0.9</v>
      </c>
      <c r="E6" s="9">
        <v>0.7</v>
      </c>
      <c r="F6" s="9">
        <v>8.1999999999999993</v>
      </c>
      <c r="G6" s="9">
        <v>24</v>
      </c>
      <c r="H6" s="9">
        <f t="shared" si="7"/>
        <v>9.2399999999999984</v>
      </c>
      <c r="I6" s="9">
        <f t="shared" si="8"/>
        <v>12.754475020037399</v>
      </c>
      <c r="J6" s="9">
        <f t="shared" si="9"/>
        <v>1.0458669516430665</v>
      </c>
      <c r="K6" s="9">
        <f t="shared" si="10"/>
        <v>2.4686080683943352</v>
      </c>
      <c r="L6" s="9">
        <f t="shared" si="11"/>
        <v>9.2399999999999967</v>
      </c>
      <c r="M6" s="88">
        <f t="shared" si="12"/>
        <v>8.8464029963218005E-2</v>
      </c>
      <c r="N6" s="88">
        <f t="shared" si="13"/>
        <v>-8.2825970783201477</v>
      </c>
    </row>
    <row r="7" spans="1:14" ht="15" x14ac:dyDescent="0.25">
      <c r="A7" t="s">
        <v>117</v>
      </c>
      <c r="B7" s="73" t="s">
        <v>2177</v>
      </c>
      <c r="C7" s="9">
        <v>10.45</v>
      </c>
      <c r="D7" s="9">
        <v>0.9</v>
      </c>
      <c r="E7" s="9">
        <v>0.7</v>
      </c>
      <c r="F7" s="9">
        <v>8.1999999999999993</v>
      </c>
      <c r="G7" s="9">
        <v>24</v>
      </c>
      <c r="H7" s="9">
        <f t="shared" si="7"/>
        <v>12.049999999999999</v>
      </c>
      <c r="I7" s="9">
        <f t="shared" si="8"/>
        <v>16.633270994745743</v>
      </c>
      <c r="J7" s="9">
        <f t="shared" si="9"/>
        <v>1.3639282215691508</v>
      </c>
      <c r="K7" s="9">
        <f t="shared" si="10"/>
        <v>3.2193427731765958</v>
      </c>
      <c r="L7" s="9">
        <f t="shared" si="11"/>
        <v>12.049999999999997</v>
      </c>
      <c r="M7" s="88">
        <f t="shared" si="12"/>
        <v>0.14667858161453173</v>
      </c>
      <c r="N7" s="88">
        <f t="shared" si="13"/>
        <v>-10.832750360045379</v>
      </c>
    </row>
    <row r="8" spans="1:14" ht="15" x14ac:dyDescent="0.25">
      <c r="A8" t="s">
        <v>95</v>
      </c>
      <c r="B8" s="73" t="s">
        <v>2178</v>
      </c>
      <c r="C8" s="9">
        <v>11.37</v>
      </c>
      <c r="D8" s="9">
        <v>0.9</v>
      </c>
      <c r="E8" s="9">
        <v>0.7</v>
      </c>
      <c r="F8" s="9">
        <v>8.1999999999999993</v>
      </c>
      <c r="G8" s="9">
        <v>24</v>
      </c>
      <c r="H8" s="9">
        <f t="shared" si="7"/>
        <v>12.969999999999999</v>
      </c>
      <c r="I8" s="9">
        <f t="shared" si="8"/>
        <v>17.903197078991891</v>
      </c>
      <c r="J8" s="9">
        <f t="shared" si="9"/>
        <v>1.468062160477335</v>
      </c>
      <c r="K8" s="9">
        <f t="shared" si="10"/>
        <v>3.4651349185145595</v>
      </c>
      <c r="L8" s="9">
        <f t="shared" si="11"/>
        <v>12.969999999999997</v>
      </c>
      <c r="M8" s="88">
        <f t="shared" si="12"/>
        <v>0.16854710295999853</v>
      </c>
      <c r="N8" s="88">
        <f t="shared" si="13"/>
        <v>-11.670484942482661</v>
      </c>
    </row>
    <row r="9" spans="1:14" ht="15" x14ac:dyDescent="0.25">
      <c r="A9" t="s">
        <v>250</v>
      </c>
      <c r="B9" s="73" t="s">
        <v>2179</v>
      </c>
      <c r="C9" s="9">
        <v>9.0399999999999991</v>
      </c>
      <c r="D9" s="9">
        <v>0.9</v>
      </c>
      <c r="E9" s="9">
        <v>0.7</v>
      </c>
      <c r="F9" s="9">
        <v>8.1999999999999993</v>
      </c>
      <c r="G9" s="9">
        <v>24</v>
      </c>
      <c r="H9" s="9">
        <f t="shared" si="7"/>
        <v>10.639999999999999</v>
      </c>
      <c r="I9" s="9">
        <f t="shared" si="8"/>
        <v>14.686971235194582</v>
      </c>
      <c r="J9" s="9">
        <f t="shared" si="9"/>
        <v>1.2043316412859557</v>
      </c>
      <c r="K9" s="9">
        <f t="shared" si="10"/>
        <v>2.8426395939086291</v>
      </c>
      <c r="L9" s="9">
        <f t="shared" si="11"/>
        <v>10.639999999999997</v>
      </c>
      <c r="M9" s="88">
        <f t="shared" si="12"/>
        <v>0.1158178657201967</v>
      </c>
      <c r="N9" s="88">
        <f t="shared" si="13"/>
        <v>-9.5514862244342389</v>
      </c>
    </row>
    <row r="10" spans="1:14" ht="15" x14ac:dyDescent="0.25">
      <c r="C10" s="9">
        <v>1</v>
      </c>
      <c r="D10" s="9">
        <v>0.9</v>
      </c>
      <c r="E10" s="9">
        <v>0.7</v>
      </c>
      <c r="F10" s="9">
        <v>8.1999999999999993</v>
      </c>
      <c r="G10" s="9">
        <v>24</v>
      </c>
      <c r="H10" s="9">
        <f t="shared" si="7"/>
        <v>2.5999999999999996</v>
      </c>
      <c r="I10" s="9">
        <f t="shared" si="8"/>
        <v>3.588921542434766</v>
      </c>
      <c r="J10" s="9">
        <f t="shared" si="9"/>
        <v>0.29429156647965082</v>
      </c>
      <c r="K10" s="9">
        <f t="shared" si="10"/>
        <v>0.69462997595511577</v>
      </c>
      <c r="L10" s="9">
        <f t="shared" si="11"/>
        <v>2.5999999999999996</v>
      </c>
      <c r="M10" s="88">
        <f t="shared" si="12"/>
        <v>7.4576810219014744E-3</v>
      </c>
      <c r="N10" s="88">
        <f t="shared" si="13"/>
        <v>-2.3131661145422502</v>
      </c>
    </row>
    <row r="11" spans="1:14" ht="15" x14ac:dyDescent="0.25">
      <c r="C11" s="9">
        <v>1</v>
      </c>
      <c r="D11" s="9">
        <v>0.9</v>
      </c>
      <c r="E11" s="9">
        <v>0.7</v>
      </c>
      <c r="F11" s="9">
        <v>8.1999999999999993</v>
      </c>
      <c r="G11" s="9">
        <v>24</v>
      </c>
      <c r="H11" s="9">
        <f t="shared" si="7"/>
        <v>2.5999999999999996</v>
      </c>
      <c r="I11" s="9">
        <f t="shared" si="8"/>
        <v>3.588921542434766</v>
      </c>
      <c r="J11" s="9">
        <f t="shared" si="9"/>
        <v>0.29429156647965082</v>
      </c>
      <c r="K11" s="9">
        <f t="shared" si="10"/>
        <v>0.69462997595511577</v>
      </c>
      <c r="L11" s="9">
        <f t="shared" si="11"/>
        <v>2.5999999999999996</v>
      </c>
      <c r="M11" s="88">
        <f t="shared" si="12"/>
        <v>7.4576810219014744E-3</v>
      </c>
      <c r="N11" s="88">
        <f t="shared" si="13"/>
        <v>-2.3131661145422502</v>
      </c>
    </row>
    <row r="12" spans="1:14" ht="15" x14ac:dyDescent="0.25">
      <c r="C12" s="9">
        <v>1</v>
      </c>
      <c r="D12" s="9">
        <v>0.9</v>
      </c>
      <c r="E12" s="9">
        <v>0.7</v>
      </c>
      <c r="F12" s="9">
        <v>8.1999999999999993</v>
      </c>
      <c r="G12" s="9">
        <v>24</v>
      </c>
      <c r="H12" s="9">
        <f t="shared" si="7"/>
        <v>2.5999999999999996</v>
      </c>
      <c r="I12" s="9">
        <f t="shared" si="8"/>
        <v>3.588921542434766</v>
      </c>
      <c r="J12" s="9">
        <f t="shared" si="9"/>
        <v>0.29429156647965082</v>
      </c>
      <c r="K12" s="9">
        <f t="shared" si="10"/>
        <v>0.69462997595511577</v>
      </c>
      <c r="L12" s="9">
        <f t="shared" si="11"/>
        <v>2.5999999999999996</v>
      </c>
      <c r="M12" s="88">
        <f t="shared" si="12"/>
        <v>7.4576810219014744E-3</v>
      </c>
      <c r="N12" s="88">
        <f t="shared" si="13"/>
        <v>-2.3131661145422502</v>
      </c>
    </row>
    <row r="13" spans="1:14" ht="15" x14ac:dyDescent="0.25">
      <c r="C13" s="9">
        <v>1</v>
      </c>
      <c r="D13" s="9">
        <v>0.9</v>
      </c>
      <c r="E13" s="9">
        <v>0.7</v>
      </c>
      <c r="F13" s="9">
        <v>8.1999999999999993</v>
      </c>
      <c r="G13" s="9">
        <v>24</v>
      </c>
      <c r="H13" s="9">
        <f t="shared" si="7"/>
        <v>2.5999999999999996</v>
      </c>
      <c r="I13" s="9">
        <f t="shared" si="8"/>
        <v>3.588921542434766</v>
      </c>
      <c r="J13" s="9">
        <f t="shared" si="9"/>
        <v>0.29429156647965082</v>
      </c>
      <c r="K13" s="9">
        <f t="shared" si="10"/>
        <v>0.69462997595511577</v>
      </c>
      <c r="L13" s="9">
        <f t="shared" si="11"/>
        <v>2.5999999999999996</v>
      </c>
      <c r="M13" s="88">
        <f t="shared" si="12"/>
        <v>7.4576810219014744E-3</v>
      </c>
      <c r="N13" s="88">
        <f t="shared" si="13"/>
        <v>-2.3131661145422502</v>
      </c>
    </row>
    <row r="14" spans="1:14" ht="15" x14ac:dyDescent="0.25">
      <c r="C14" s="9">
        <v>1</v>
      </c>
      <c r="D14" s="9">
        <v>0.9</v>
      </c>
      <c r="E14" s="9">
        <v>0.7</v>
      </c>
      <c r="F14" s="9">
        <v>8.1999999999999993</v>
      </c>
      <c r="G14" s="9">
        <v>24</v>
      </c>
      <c r="H14" s="9">
        <f t="shared" si="7"/>
        <v>2.5999999999999996</v>
      </c>
      <c r="I14" s="9">
        <f t="shared" si="8"/>
        <v>3.588921542434766</v>
      </c>
      <c r="J14" s="9">
        <f t="shared" si="9"/>
        <v>0.29429156647965082</v>
      </c>
      <c r="K14" s="9">
        <f t="shared" si="10"/>
        <v>0.69462997595511577</v>
      </c>
      <c r="L14" s="9">
        <f t="shared" si="11"/>
        <v>2.5999999999999996</v>
      </c>
      <c r="M14" s="88">
        <f t="shared" si="12"/>
        <v>7.4576810219014744E-3</v>
      </c>
      <c r="N14" s="88">
        <f t="shared" si="13"/>
        <v>-2.3131661145422502</v>
      </c>
    </row>
    <row r="15" spans="1:14" ht="15" x14ac:dyDescent="0.25">
      <c r="C15" s="9">
        <v>1</v>
      </c>
      <c r="D15" s="9">
        <v>0.9</v>
      </c>
      <c r="E15" s="9">
        <v>0.7</v>
      </c>
      <c r="F15" s="9">
        <v>8.1999999999999993</v>
      </c>
      <c r="G15" s="9">
        <v>24</v>
      </c>
      <c r="H15" s="9">
        <f t="shared" si="7"/>
        <v>2.5999999999999996</v>
      </c>
      <c r="I15" s="9">
        <f t="shared" si="8"/>
        <v>3.588921542434766</v>
      </c>
      <c r="J15" s="9">
        <f t="shared" si="9"/>
        <v>0.29429156647965082</v>
      </c>
      <c r="K15" s="9">
        <f t="shared" si="10"/>
        <v>0.69462997595511577</v>
      </c>
      <c r="L15" s="9">
        <f t="shared" si="11"/>
        <v>2.5999999999999996</v>
      </c>
      <c r="M15" s="88">
        <f t="shared" si="12"/>
        <v>7.4576810219014744E-3</v>
      </c>
      <c r="N15" s="88">
        <f t="shared" si="13"/>
        <v>-2.3131661145422502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O20"/>
  <sheetViews>
    <sheetView workbookViewId="0">
      <selection activeCell="E2" sqref="E2"/>
    </sheetView>
  </sheetViews>
  <sheetFormatPr defaultColWidth="12.5703125" defaultRowHeight="15.75" customHeight="1" x14ac:dyDescent="0.2"/>
  <cols>
    <col min="1" max="1" width="21" customWidth="1"/>
    <col min="2" max="2" width="21.140625" customWidth="1"/>
  </cols>
  <sheetData>
    <row r="1" spans="1:15" ht="15.75" customHeight="1" x14ac:dyDescent="0.35">
      <c r="A1" s="55"/>
      <c r="B1" s="56"/>
      <c r="C1" s="55" t="s">
        <v>314</v>
      </c>
      <c r="D1" s="55" t="s">
        <v>315</v>
      </c>
      <c r="E1" s="77" t="s">
        <v>316</v>
      </c>
      <c r="F1" s="55" t="s">
        <v>317</v>
      </c>
      <c r="G1" s="55" t="s">
        <v>2086</v>
      </c>
      <c r="H1" s="55" t="s">
        <v>318</v>
      </c>
      <c r="I1" s="55" t="s">
        <v>319</v>
      </c>
      <c r="J1" s="58" t="s">
        <v>320</v>
      </c>
      <c r="K1" s="58" t="s">
        <v>2087</v>
      </c>
      <c r="L1" s="55" t="s">
        <v>321</v>
      </c>
      <c r="M1" s="55" t="s">
        <v>322</v>
      </c>
      <c r="N1" s="55" t="s">
        <v>323</v>
      </c>
      <c r="O1" s="55"/>
    </row>
    <row r="2" spans="1:15" ht="15.75" customHeight="1" x14ac:dyDescent="0.25">
      <c r="A2" t="s">
        <v>2089</v>
      </c>
      <c r="B2" t="s">
        <v>2098</v>
      </c>
      <c r="C2" s="11">
        <v>15.45</v>
      </c>
      <c r="D2" s="11">
        <v>0.9</v>
      </c>
      <c r="E2" s="78" t="e">
        <f>IFERROR(
_xlfn.XLOOKUP(
B2,#REF!,#REF!
),
_xlfn.XLOOKUP(
A2,#REF!,#REF!
)
)</f>
        <v>#REF!</v>
      </c>
      <c r="F2" s="11" t="str">
        <f>IFERROR(
VLOOKUP(
B2,#REF!,
6,
FALSE
),
""
)</f>
        <v/>
      </c>
      <c r="G2" s="11">
        <v>0</v>
      </c>
      <c r="H2" s="11">
        <v>24</v>
      </c>
      <c r="I2" s="46" t="e">
        <f t="shared" ref="I2:I20" si="0">C2+D2+E2</f>
        <v>#REF!</v>
      </c>
      <c r="J2" s="10" t="e">
        <f>(I2+G2) / (1 - F2/100 - (1 - 1/(1 + H2/100)))</f>
        <v>#REF!</v>
      </c>
      <c r="K2" s="10"/>
      <c r="L2" s="11" t="e">
        <f t="shared" ref="L2:L20" si="1">J2 * F2 / 100</f>
        <v>#REF!</v>
      </c>
      <c r="M2" s="11" t="e">
        <f t="shared" ref="M2:M20" si="2">J2 - (J2 / (1 + H2/100))</f>
        <v>#REF!</v>
      </c>
      <c r="N2" s="11" t="e">
        <f t="shared" ref="N2:N20" si="3">J2 - L2 - M2</f>
        <v>#REF!</v>
      </c>
      <c r="O2" s="11"/>
    </row>
    <row r="3" spans="1:15" ht="15.75" customHeight="1" x14ac:dyDescent="0.25">
      <c r="A3" t="s">
        <v>2090</v>
      </c>
      <c r="B3" t="s">
        <v>2099</v>
      </c>
      <c r="C3" s="9">
        <v>26.94</v>
      </c>
      <c r="D3" s="9">
        <v>0.9</v>
      </c>
      <c r="E3" s="81" t="e">
        <f>IFERROR(
_xlfn.XLOOKUP(
B3,#REF!,#REF!
),
_xlfn.XLOOKUP(
A3,#REF!,#REF!
)
)</f>
        <v>#REF!</v>
      </c>
      <c r="F3" s="11" t="str">
        <f>IFERROR(
VLOOKUP(
B3,#REF!,
6,
FALSE
),
""
)</f>
        <v/>
      </c>
      <c r="G3" s="11">
        <v>0</v>
      </c>
      <c r="H3" s="9">
        <v>24</v>
      </c>
      <c r="I3" s="47" t="e">
        <f t="shared" si="0"/>
        <v>#REF!</v>
      </c>
      <c r="J3" s="10" t="e">
        <f t="shared" ref="J3:J20" si="4">(I3+G3) / (1 - F3/100 - (1 - 1/(1 + H3/100)))</f>
        <v>#REF!</v>
      </c>
      <c r="K3" s="10">
        <v>40.36</v>
      </c>
      <c r="L3" s="9" t="e">
        <f t="shared" si="1"/>
        <v>#REF!</v>
      </c>
      <c r="M3" s="9" t="e">
        <f t="shared" si="2"/>
        <v>#REF!</v>
      </c>
      <c r="N3" s="9" t="e">
        <f t="shared" si="3"/>
        <v>#REF!</v>
      </c>
      <c r="O3" s="9"/>
    </row>
    <row r="4" spans="1:15" ht="15.75" customHeight="1" x14ac:dyDescent="0.25">
      <c r="A4" t="s">
        <v>2091</v>
      </c>
      <c r="B4" t="s">
        <v>2100</v>
      </c>
      <c r="C4" s="11">
        <v>18.89</v>
      </c>
      <c r="D4" s="11">
        <v>0.9</v>
      </c>
      <c r="E4" s="78" t="e">
        <f>IFERROR(
_xlfn.XLOOKUP(
B4,#REF!,#REF!
),
_xlfn.XLOOKUP(
A4,#REF!,#REF!
)
)</f>
        <v>#REF!</v>
      </c>
      <c r="F4" s="11" t="str">
        <f>IFERROR(
VLOOKUP(
B4,#REF!,
6,
FALSE
),
""
)</f>
        <v/>
      </c>
      <c r="G4" s="11"/>
      <c r="H4" s="11">
        <v>24</v>
      </c>
      <c r="I4" s="46" t="e">
        <f t="shared" si="0"/>
        <v>#REF!</v>
      </c>
      <c r="J4" s="10" t="e">
        <f t="shared" si="4"/>
        <v>#REF!</v>
      </c>
      <c r="K4" s="10">
        <v>29.25</v>
      </c>
      <c r="L4" s="11" t="e">
        <f t="shared" si="1"/>
        <v>#REF!</v>
      </c>
      <c r="M4" s="11" t="e">
        <f t="shared" si="2"/>
        <v>#REF!</v>
      </c>
      <c r="N4" s="11" t="e">
        <f t="shared" si="3"/>
        <v>#REF!</v>
      </c>
      <c r="O4" s="11"/>
    </row>
    <row r="5" spans="1:15" ht="15.75" customHeight="1" x14ac:dyDescent="0.25">
      <c r="A5" t="s">
        <v>2092</v>
      </c>
      <c r="B5" t="s">
        <v>2101</v>
      </c>
      <c r="C5" s="9">
        <v>29.3</v>
      </c>
      <c r="D5" s="9">
        <v>0.9</v>
      </c>
      <c r="E5" s="81" t="e">
        <f>IFERROR(
_xlfn.XLOOKUP(
B5,#REF!,#REF!
),
_xlfn.XLOOKUP(
A5,#REF!,#REF!
)
)</f>
        <v>#REF!</v>
      </c>
      <c r="F5" s="11" t="str">
        <f>IFERROR(
VLOOKUP(
B5,#REF!,
6,
FALSE
),
""
)</f>
        <v/>
      </c>
      <c r="G5" s="11"/>
      <c r="H5" s="9">
        <v>24</v>
      </c>
      <c r="I5" s="47" t="e">
        <f t="shared" si="0"/>
        <v>#REF!</v>
      </c>
      <c r="J5" s="10" t="e">
        <f t="shared" si="4"/>
        <v>#REF!</v>
      </c>
      <c r="K5" s="10">
        <v>43.61</v>
      </c>
      <c r="L5" s="9" t="e">
        <f t="shared" si="1"/>
        <v>#REF!</v>
      </c>
      <c r="M5" s="9" t="e">
        <f t="shared" si="2"/>
        <v>#REF!</v>
      </c>
      <c r="N5" s="9" t="e">
        <f t="shared" si="3"/>
        <v>#REF!</v>
      </c>
      <c r="O5" s="9"/>
    </row>
    <row r="6" spans="1:15" ht="15.75" customHeight="1" x14ac:dyDescent="0.25">
      <c r="A6" t="s">
        <v>2093</v>
      </c>
      <c r="B6" t="s">
        <v>2102</v>
      </c>
      <c r="C6" s="11">
        <v>22.5</v>
      </c>
      <c r="D6" s="11">
        <v>0.9</v>
      </c>
      <c r="E6" s="78" t="e">
        <f>IFERROR(
_xlfn.XLOOKUP(
B6,#REF!,#REF!
),
_xlfn.XLOOKUP(
A6,#REF!,#REF!
)
)</f>
        <v>#REF!</v>
      </c>
      <c r="F6" s="11" t="str">
        <f>IFERROR(
VLOOKUP(
B6,#REF!,
6,
FALSE
),
""
)</f>
        <v/>
      </c>
      <c r="G6" s="11"/>
      <c r="H6" s="11">
        <v>24</v>
      </c>
      <c r="I6" s="46" t="e">
        <f t="shared" si="0"/>
        <v>#REF!</v>
      </c>
      <c r="J6" s="10" t="e">
        <f t="shared" si="4"/>
        <v>#REF!</v>
      </c>
      <c r="K6" s="10"/>
      <c r="L6" s="11" t="e">
        <f t="shared" si="1"/>
        <v>#REF!</v>
      </c>
      <c r="M6" s="11" t="e">
        <f t="shared" si="2"/>
        <v>#REF!</v>
      </c>
      <c r="N6" s="11" t="e">
        <f t="shared" si="3"/>
        <v>#REF!</v>
      </c>
      <c r="O6" s="11"/>
    </row>
    <row r="7" spans="1:15" ht="15.75" customHeight="1" x14ac:dyDescent="0.25">
      <c r="A7" t="s">
        <v>2094</v>
      </c>
      <c r="B7" t="s">
        <v>2103</v>
      </c>
      <c r="C7" s="9">
        <v>24.73</v>
      </c>
      <c r="D7" s="9">
        <v>0.9</v>
      </c>
      <c r="E7" s="81" t="e">
        <f>IFERROR(
_xlfn.XLOOKUP(
B7,#REF!,#REF!
),
_xlfn.XLOOKUP(
A7,#REF!,#REF!
)
)</f>
        <v>#REF!</v>
      </c>
      <c r="F7" s="11" t="str">
        <f>IFERROR(
VLOOKUP(
B7,#REF!,
6,
FALSE
),
""
)</f>
        <v/>
      </c>
      <c r="G7" s="11"/>
      <c r="H7" s="9">
        <v>24</v>
      </c>
      <c r="I7" s="47" t="e">
        <f t="shared" si="0"/>
        <v>#REF!</v>
      </c>
      <c r="J7" s="10" t="e">
        <f t="shared" si="4"/>
        <v>#REF!</v>
      </c>
      <c r="K7" s="10"/>
      <c r="L7" s="9" t="e">
        <f t="shared" si="1"/>
        <v>#REF!</v>
      </c>
      <c r="M7" s="9" t="e">
        <f t="shared" si="2"/>
        <v>#REF!</v>
      </c>
      <c r="N7" s="9" t="e">
        <f t="shared" si="3"/>
        <v>#REF!</v>
      </c>
      <c r="O7" s="9"/>
    </row>
    <row r="8" spans="1:15" ht="15.75" customHeight="1" x14ac:dyDescent="0.25">
      <c r="A8" t="s">
        <v>2095</v>
      </c>
      <c r="B8" t="s">
        <v>2104</v>
      </c>
      <c r="C8" s="11">
        <v>12.5</v>
      </c>
      <c r="D8" s="11">
        <v>0.9</v>
      </c>
      <c r="E8" s="78" t="e">
        <f>IFERROR(
_xlfn.XLOOKUP(
B8,#REF!,#REF!
),
_xlfn.XLOOKUP(
A8,#REF!,#REF!
)
)</f>
        <v>#REF!</v>
      </c>
      <c r="F8" s="11" t="str">
        <f>IFERROR(
VLOOKUP(
B8,#REF!,
6,
FALSE
),
""
)</f>
        <v/>
      </c>
      <c r="G8" s="11"/>
      <c r="H8" s="11">
        <v>24</v>
      </c>
      <c r="I8" s="46" t="e">
        <f t="shared" si="0"/>
        <v>#REF!</v>
      </c>
      <c r="J8" s="10" t="e">
        <f t="shared" si="4"/>
        <v>#REF!</v>
      </c>
      <c r="K8" s="10"/>
      <c r="L8" s="11" t="e">
        <f t="shared" si="1"/>
        <v>#REF!</v>
      </c>
      <c r="M8" s="11" t="e">
        <f t="shared" si="2"/>
        <v>#REF!</v>
      </c>
      <c r="N8" s="11" t="e">
        <f t="shared" si="3"/>
        <v>#REF!</v>
      </c>
      <c r="O8" s="11"/>
    </row>
    <row r="9" spans="1:15" ht="15.75" customHeight="1" x14ac:dyDescent="0.25">
      <c r="A9" t="s">
        <v>2096</v>
      </c>
      <c r="B9" t="s">
        <v>2105</v>
      </c>
      <c r="C9" s="9">
        <v>19.649999999999999</v>
      </c>
      <c r="D9" s="9">
        <v>0.9</v>
      </c>
      <c r="E9" s="81" t="e">
        <f>IFERROR(
_xlfn.XLOOKUP(
B9,#REF!,#REF!
),
_xlfn.XLOOKUP(
A9,#REF!,#REF!
)
)</f>
        <v>#REF!</v>
      </c>
      <c r="F9" s="11" t="str">
        <f>IFERROR(
VLOOKUP(
B9,#REF!,
6,
FALSE
),
""
)</f>
        <v/>
      </c>
      <c r="G9" s="11"/>
      <c r="H9" s="9">
        <v>24</v>
      </c>
      <c r="I9" s="47" t="e">
        <f t="shared" si="0"/>
        <v>#REF!</v>
      </c>
      <c r="J9" s="10" t="e">
        <f t="shared" si="4"/>
        <v>#REF!</v>
      </c>
      <c r="K9" s="10"/>
      <c r="L9" s="9" t="e">
        <f t="shared" si="1"/>
        <v>#REF!</v>
      </c>
      <c r="M9" s="9" t="e">
        <f t="shared" si="2"/>
        <v>#REF!</v>
      </c>
      <c r="N9" s="9" t="e">
        <f t="shared" si="3"/>
        <v>#REF!</v>
      </c>
      <c r="O9" s="9"/>
    </row>
    <row r="10" spans="1:15" ht="15.75" customHeight="1" x14ac:dyDescent="0.25">
      <c r="A10" t="s">
        <v>2097</v>
      </c>
      <c r="B10" t="s">
        <v>2106</v>
      </c>
      <c r="C10" s="11">
        <v>32.35</v>
      </c>
      <c r="D10" s="11">
        <v>0.9</v>
      </c>
      <c r="E10" s="78" t="e">
        <f>IFERROR(
_xlfn.XLOOKUP(
B10,#REF!,#REF!
),
_xlfn.XLOOKUP(
A10,#REF!,#REF!
)
)</f>
        <v>#REF!</v>
      </c>
      <c r="F10" s="11" t="str">
        <f>IFERROR(
VLOOKUP(
B10,#REF!,
6,
FALSE
),
""
)</f>
        <v/>
      </c>
      <c r="G10" s="11"/>
      <c r="H10" s="11">
        <v>24</v>
      </c>
      <c r="I10" s="46" t="e">
        <f t="shared" si="0"/>
        <v>#REF!</v>
      </c>
      <c r="J10" s="10" t="e">
        <f t="shared" si="4"/>
        <v>#REF!</v>
      </c>
      <c r="K10" s="10"/>
      <c r="L10" s="11" t="e">
        <f t="shared" si="1"/>
        <v>#REF!</v>
      </c>
      <c r="M10" s="11" t="e">
        <f t="shared" si="2"/>
        <v>#REF!</v>
      </c>
      <c r="N10" s="11" t="e">
        <f t="shared" si="3"/>
        <v>#REF!</v>
      </c>
      <c r="O10" s="11"/>
    </row>
    <row r="11" spans="1:15" ht="15.75" customHeight="1" x14ac:dyDescent="0.25">
      <c r="A11" s="79"/>
      <c r="B11" s="84"/>
      <c r="C11" s="9">
        <v>27.26</v>
      </c>
      <c r="D11" s="9">
        <v>0.9</v>
      </c>
      <c r="E11" s="81" t="e">
        <f>IFERROR(
_xlfn.XLOOKUP(
B11,#REF!,#REF!
),
_xlfn.XLOOKUP(
A11,#REF!,#REF!
)
)</f>
        <v>#REF!</v>
      </c>
      <c r="F11" s="11" t="str">
        <f>IFERROR(
VLOOKUP(
B11,#REF!,
6,
FALSE
),
""
)</f>
        <v/>
      </c>
      <c r="G11" s="11"/>
      <c r="H11" s="9">
        <v>24</v>
      </c>
      <c r="I11" s="47" t="e">
        <f t="shared" si="0"/>
        <v>#REF!</v>
      </c>
      <c r="J11" s="10" t="e">
        <f t="shared" si="4"/>
        <v>#REF!</v>
      </c>
      <c r="K11" s="10"/>
      <c r="L11" s="9" t="e">
        <f t="shared" si="1"/>
        <v>#REF!</v>
      </c>
      <c r="M11" s="9" t="e">
        <f t="shared" si="2"/>
        <v>#REF!</v>
      </c>
      <c r="N11" s="9" t="e">
        <f t="shared" si="3"/>
        <v>#REF!</v>
      </c>
      <c r="O11" s="9"/>
    </row>
    <row r="12" spans="1:15" ht="15.75" customHeight="1" x14ac:dyDescent="0.25">
      <c r="A12" s="82"/>
      <c r="B12" s="83"/>
      <c r="C12" s="11">
        <v>10.14</v>
      </c>
      <c r="D12" s="11">
        <v>0.9</v>
      </c>
      <c r="E12" s="78" t="e">
        <f>IFERROR(
_xlfn.XLOOKUP(
B12,#REF!,#REF!
),
_xlfn.XLOOKUP(
A12,#REF!,#REF!
)
)</f>
        <v>#REF!</v>
      </c>
      <c r="F12" s="11" t="str">
        <f>IFERROR(
VLOOKUP(
B12,#REF!,
6,
FALSE
),
""
)</f>
        <v/>
      </c>
      <c r="G12" s="11"/>
      <c r="H12" s="11">
        <v>24</v>
      </c>
      <c r="I12" s="46" t="e">
        <f t="shared" si="0"/>
        <v>#REF!</v>
      </c>
      <c r="J12" s="10" t="e">
        <f t="shared" si="4"/>
        <v>#REF!</v>
      </c>
      <c r="K12" s="10">
        <v>16.2</v>
      </c>
      <c r="L12" s="11" t="e">
        <f t="shared" si="1"/>
        <v>#REF!</v>
      </c>
      <c r="M12" s="11" t="e">
        <f t="shared" si="2"/>
        <v>#REF!</v>
      </c>
      <c r="N12" s="11" t="e">
        <f t="shared" si="3"/>
        <v>#REF!</v>
      </c>
      <c r="O12" s="11"/>
    </row>
    <row r="13" spans="1:15" ht="15.75" customHeight="1" x14ac:dyDescent="0.25">
      <c r="A13" s="79"/>
      <c r="B13" s="80"/>
      <c r="C13" s="9">
        <v>16.329999999999998</v>
      </c>
      <c r="D13" s="9">
        <v>0.9</v>
      </c>
      <c r="E13" s="81" t="e">
        <f>IFERROR(
_xlfn.XLOOKUP(
B13,#REF!,#REF!
),
_xlfn.XLOOKUP(
A13,#REF!,#REF!
)
)</f>
        <v>#REF!</v>
      </c>
      <c r="F13" s="11" t="str">
        <f>IFERROR(
VLOOKUP(
B13,#REF!,
6,
FALSE
),
""
)</f>
        <v/>
      </c>
      <c r="G13" s="11"/>
      <c r="H13" s="9">
        <v>24</v>
      </c>
      <c r="I13" s="47" t="e">
        <f t="shared" si="0"/>
        <v>#REF!</v>
      </c>
      <c r="J13" s="10" t="e">
        <f t="shared" si="4"/>
        <v>#REF!</v>
      </c>
      <c r="K13" s="10">
        <v>24.74</v>
      </c>
      <c r="L13" s="9" t="e">
        <f t="shared" si="1"/>
        <v>#REF!</v>
      </c>
      <c r="M13" s="9" t="e">
        <f t="shared" si="2"/>
        <v>#REF!</v>
      </c>
      <c r="N13" s="9" t="e">
        <f t="shared" si="3"/>
        <v>#REF!</v>
      </c>
      <c r="O13" s="9"/>
    </row>
    <row r="14" spans="1:15" ht="15.75" customHeight="1" x14ac:dyDescent="0.25">
      <c r="A14" s="85"/>
      <c r="B14" s="86"/>
      <c r="C14" s="11">
        <v>9.4</v>
      </c>
      <c r="D14" s="11">
        <v>0.9</v>
      </c>
      <c r="E14" s="78" t="e">
        <f>IFERROR(
_xlfn.XLOOKUP(
B14,#REF!,#REF!
),
_xlfn.XLOOKUP(
A14,#REF!,#REF!
)
)</f>
        <v>#REF!</v>
      </c>
      <c r="F14" s="11" t="str">
        <f>IFERROR(
VLOOKUP(
B14,#REF!,
6,
FALSE
),
""
)</f>
        <v/>
      </c>
      <c r="G14" s="11"/>
      <c r="H14" s="11">
        <v>24</v>
      </c>
      <c r="I14" s="46" t="e">
        <f t="shared" si="0"/>
        <v>#REF!</v>
      </c>
      <c r="J14" s="10" t="e">
        <f t="shared" si="4"/>
        <v>#REF!</v>
      </c>
      <c r="K14" s="10">
        <v>15.18</v>
      </c>
      <c r="L14" s="11" t="e">
        <f t="shared" si="1"/>
        <v>#REF!</v>
      </c>
      <c r="M14" s="11" t="e">
        <f t="shared" si="2"/>
        <v>#REF!</v>
      </c>
      <c r="N14" s="11" t="e">
        <f t="shared" si="3"/>
        <v>#REF!</v>
      </c>
      <c r="O14" s="11"/>
    </row>
    <row r="15" spans="1:15" ht="15.75" customHeight="1" x14ac:dyDescent="0.25">
      <c r="A15" s="63"/>
      <c r="B15" s="64"/>
      <c r="C15" s="63">
        <v>8.9600000000000009</v>
      </c>
      <c r="D15" s="63">
        <v>0.9</v>
      </c>
      <c r="E15" s="87" t="e">
        <f>IFERROR(
_xlfn.XLOOKUP(
B15,#REF!,#REF!
),
_xlfn.XLOOKUP(
A15,#REF!,#REF!
)
)</f>
        <v>#REF!</v>
      </c>
      <c r="F15" s="66" t="str">
        <f>IFERROR(
VLOOKUP(
B15,#REF!,
6,
FALSE
),
""
)</f>
        <v/>
      </c>
      <c r="G15" s="66"/>
      <c r="H15" s="63">
        <v>24</v>
      </c>
      <c r="I15" s="67" t="e">
        <f t="shared" si="0"/>
        <v>#REF!</v>
      </c>
      <c r="J15" s="10" t="e">
        <f t="shared" si="4"/>
        <v>#REF!</v>
      </c>
      <c r="K15" s="10"/>
      <c r="L15" s="9" t="e">
        <f t="shared" si="1"/>
        <v>#REF!</v>
      </c>
      <c r="M15" s="9" t="e">
        <f t="shared" si="2"/>
        <v>#REF!</v>
      </c>
      <c r="N15" s="9" t="e">
        <f t="shared" si="3"/>
        <v>#REF!</v>
      </c>
      <c r="O15" s="9"/>
    </row>
    <row r="16" spans="1:15" ht="15.75" customHeight="1" x14ac:dyDescent="0.25">
      <c r="A16" s="66"/>
      <c r="B16" s="68"/>
      <c r="C16" s="66">
        <v>16.52</v>
      </c>
      <c r="D16" s="66">
        <v>0.9</v>
      </c>
      <c r="E16" s="87" t="e">
        <f>IFERROR(
_xlfn.XLOOKUP(
B16,#REF!,#REF!
),
_xlfn.XLOOKUP(
A16,#REF!,#REF!
)
)</f>
        <v>#REF!</v>
      </c>
      <c r="F16" s="66" t="str">
        <f>IFERROR(
VLOOKUP(
B16,#REF!,
6,
FALSE
),
""
)</f>
        <v/>
      </c>
      <c r="G16" s="66"/>
      <c r="H16" s="66">
        <v>24</v>
      </c>
      <c r="I16" s="69" t="e">
        <f t="shared" si="0"/>
        <v>#REF!</v>
      </c>
      <c r="J16" s="10" t="e">
        <f t="shared" si="4"/>
        <v>#REF!</v>
      </c>
      <c r="K16" s="10">
        <v>35</v>
      </c>
      <c r="L16" s="11" t="e">
        <f t="shared" si="1"/>
        <v>#REF!</v>
      </c>
      <c r="M16" s="11" t="e">
        <f t="shared" si="2"/>
        <v>#REF!</v>
      </c>
      <c r="N16" s="11" t="e">
        <f t="shared" si="3"/>
        <v>#REF!</v>
      </c>
      <c r="O16" s="11"/>
    </row>
    <row r="17" spans="1:15" ht="15.75" customHeight="1" x14ac:dyDescent="0.25">
      <c r="A17" s="9"/>
      <c r="B17" s="51"/>
      <c r="C17" s="9">
        <v>12.18</v>
      </c>
      <c r="D17" s="9">
        <v>0.9</v>
      </c>
      <c r="E17" s="81" t="e">
        <f>IFERROR(
_xlfn.XLOOKUP(
B17,#REF!,#REF!
),
_xlfn.XLOOKUP(
A17,#REF!,#REF!
)
)</f>
        <v>#REF!</v>
      </c>
      <c r="F17" s="11" t="str">
        <f>IFERROR(
VLOOKUP(
B17,#REF!,
6,
FALSE
),
""
)</f>
        <v/>
      </c>
      <c r="G17" s="11"/>
      <c r="H17" s="9">
        <v>24</v>
      </c>
      <c r="I17" s="47" t="e">
        <f t="shared" si="0"/>
        <v>#REF!</v>
      </c>
      <c r="J17" s="10" t="e">
        <f t="shared" si="4"/>
        <v>#REF!</v>
      </c>
      <c r="K17" s="10">
        <v>19.02</v>
      </c>
      <c r="L17" s="9" t="e">
        <f t="shared" si="1"/>
        <v>#REF!</v>
      </c>
      <c r="M17" s="9" t="e">
        <f t="shared" si="2"/>
        <v>#REF!</v>
      </c>
      <c r="N17" s="9" t="e">
        <f t="shared" si="3"/>
        <v>#REF!</v>
      </c>
      <c r="O17" s="9"/>
    </row>
    <row r="18" spans="1:15" ht="15.75" customHeight="1" x14ac:dyDescent="0.25">
      <c r="A18" s="11"/>
      <c r="B18" s="61"/>
      <c r="C18" s="11">
        <v>15.95</v>
      </c>
      <c r="D18" s="11">
        <v>0.9</v>
      </c>
      <c r="E18" s="78" t="e">
        <f>IFERROR(
_xlfn.XLOOKUP(
B18,#REF!,#REF!
),
_xlfn.XLOOKUP(
A18,#REF!,#REF!
)
)</f>
        <v>#REF!</v>
      </c>
      <c r="F18" s="11" t="str">
        <f>IFERROR(
VLOOKUP(
B18,#REF!,
6,
FALSE
),
""
)</f>
        <v/>
      </c>
      <c r="G18" s="11"/>
      <c r="H18" s="11">
        <v>24</v>
      </c>
      <c r="I18" s="46" t="e">
        <f t="shared" si="0"/>
        <v>#REF!</v>
      </c>
      <c r="J18" s="10" t="e">
        <f t="shared" si="4"/>
        <v>#REF!</v>
      </c>
      <c r="K18" s="10">
        <v>24.22</v>
      </c>
      <c r="L18" s="11" t="e">
        <f t="shared" si="1"/>
        <v>#REF!</v>
      </c>
      <c r="M18" s="11" t="e">
        <f t="shared" si="2"/>
        <v>#REF!</v>
      </c>
      <c r="N18" s="11" t="e">
        <f t="shared" si="3"/>
        <v>#REF!</v>
      </c>
      <c r="O18" s="11"/>
    </row>
    <row r="19" spans="1:15" ht="15.75" customHeight="1" x14ac:dyDescent="0.25">
      <c r="A19" s="9"/>
      <c r="B19" s="51"/>
      <c r="C19" s="9">
        <v>23.92</v>
      </c>
      <c r="D19" s="9">
        <v>0.9</v>
      </c>
      <c r="E19" s="81" t="e">
        <f>IFERROR(
_xlfn.XLOOKUP(
B19,#REF!,#REF!
),
_xlfn.XLOOKUP(
A19,#REF!,#REF!
)
)</f>
        <v>#REF!</v>
      </c>
      <c r="F19" s="11" t="str">
        <f>IFERROR(
VLOOKUP(
B19,#REF!,
6,
FALSE
),
""
)</f>
        <v/>
      </c>
      <c r="G19" s="11"/>
      <c r="H19" s="9">
        <v>24</v>
      </c>
      <c r="I19" s="47" t="e">
        <f t="shared" si="0"/>
        <v>#REF!</v>
      </c>
      <c r="J19" s="10" t="e">
        <f t="shared" si="4"/>
        <v>#REF!</v>
      </c>
      <c r="K19" s="10"/>
      <c r="L19" s="9" t="e">
        <f t="shared" si="1"/>
        <v>#REF!</v>
      </c>
      <c r="M19" s="9" t="e">
        <f t="shared" si="2"/>
        <v>#REF!</v>
      </c>
      <c r="N19" s="9" t="e">
        <f t="shared" si="3"/>
        <v>#REF!</v>
      </c>
      <c r="O19" s="9"/>
    </row>
    <row r="20" spans="1:15" ht="15.75" customHeight="1" x14ac:dyDescent="0.25">
      <c r="A20" s="11"/>
      <c r="B20" s="52"/>
      <c r="C20" s="9">
        <v>23.92</v>
      </c>
      <c r="D20" s="9">
        <v>0.9</v>
      </c>
      <c r="E20" s="78" t="e">
        <f>IFERROR(
_xlfn.XLOOKUP(
B20,#REF!,#REF!
),
_xlfn.XLOOKUP(
A20,#REF!,#REF!
)
)</f>
        <v>#REF!</v>
      </c>
      <c r="F20" s="11" t="str">
        <f>IFERROR(
VLOOKUP(
B20,#REF!,
6,
FALSE
),
""
)</f>
        <v/>
      </c>
      <c r="G20" s="11"/>
      <c r="H20" s="9">
        <v>24</v>
      </c>
      <c r="I20" s="47" t="e">
        <f t="shared" si="0"/>
        <v>#REF!</v>
      </c>
      <c r="J20" s="10" t="e">
        <f t="shared" si="4"/>
        <v>#REF!</v>
      </c>
      <c r="K20" s="10"/>
      <c r="L20" s="9" t="e">
        <f t="shared" si="1"/>
        <v>#REF!</v>
      </c>
      <c r="M20" s="9" t="e">
        <f t="shared" si="2"/>
        <v>#REF!</v>
      </c>
      <c r="N20" s="9" t="e">
        <f t="shared" si="3"/>
        <v>#REF!</v>
      </c>
      <c r="O20" s="11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AC57"/>
  <sheetViews>
    <sheetView workbookViewId="0"/>
  </sheetViews>
  <sheetFormatPr defaultColWidth="12.5703125" defaultRowHeight="15.75" customHeight="1" x14ac:dyDescent="0.2"/>
  <cols>
    <col min="1" max="1" width="19.7109375" customWidth="1"/>
    <col min="2" max="2" width="14" customWidth="1"/>
  </cols>
  <sheetData>
    <row r="1" spans="1:29" ht="17.25" customHeight="1" x14ac:dyDescent="0.2">
      <c r="A1" s="12"/>
      <c r="B1" s="25"/>
      <c r="C1" s="12" t="s">
        <v>542</v>
      </c>
      <c r="D1" s="12"/>
      <c r="E1" s="12" t="s">
        <v>497</v>
      </c>
      <c r="F1" s="12" t="s">
        <v>498</v>
      </c>
      <c r="G1" s="12" t="s">
        <v>497</v>
      </c>
      <c r="H1" s="12" t="s">
        <v>499</v>
      </c>
      <c r="I1" s="12" t="s">
        <v>497</v>
      </c>
      <c r="J1" s="12" t="s">
        <v>500</v>
      </c>
      <c r="K1" s="12" t="s">
        <v>497</v>
      </c>
    </row>
    <row r="2" spans="1:29" ht="13.5" customHeight="1" x14ac:dyDescent="0.2">
      <c r="A2" s="12"/>
      <c r="B2" s="25"/>
    </row>
    <row r="3" spans="1:29" ht="12.75" x14ac:dyDescent="0.2">
      <c r="A3" s="13" t="s">
        <v>1894</v>
      </c>
      <c r="B3" s="15">
        <v>8809454980133</v>
      </c>
      <c r="C3" s="15">
        <v>21.07</v>
      </c>
      <c r="D3" s="15">
        <v>0.9</v>
      </c>
      <c r="E3" s="15">
        <f t="shared" ref="E3:E57" si="0">SUM(C3)+D3</f>
        <v>21.97</v>
      </c>
      <c r="F3" s="15">
        <v>1.24</v>
      </c>
      <c r="G3" s="15">
        <f t="shared" ref="G3:G57" si="1">SUM(E3)*F3</f>
        <v>27.242799999999999</v>
      </c>
      <c r="H3" s="15">
        <v>1.1214999999999999</v>
      </c>
      <c r="I3" s="15">
        <f t="shared" ref="I3:I57" si="2">SUM(G3)*H3</f>
        <v>30.552800199999997</v>
      </c>
      <c r="J3" s="15">
        <v>0.74</v>
      </c>
      <c r="K3" s="15">
        <f t="shared" ref="K3:K57" si="3">SUM(I3)+J3</f>
        <v>31.292800199999995</v>
      </c>
      <c r="L3" s="15">
        <v>36</v>
      </c>
      <c r="M3" s="15">
        <f t="shared" ref="M3:M36" si="4">SUM(L3)-K3</f>
        <v>4.707199800000005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29" ht="12.75" x14ac:dyDescent="0.2">
      <c r="A4" s="13" t="s">
        <v>1895</v>
      </c>
      <c r="B4" s="15">
        <v>8809454981734</v>
      </c>
      <c r="C4" s="15">
        <v>8.8699999999999992</v>
      </c>
      <c r="D4" s="15">
        <v>0.9</v>
      </c>
      <c r="E4" s="15">
        <f t="shared" si="0"/>
        <v>9.77</v>
      </c>
      <c r="F4" s="15">
        <v>1.24</v>
      </c>
      <c r="G4" s="15">
        <f t="shared" si="1"/>
        <v>12.114799999999999</v>
      </c>
      <c r="H4" s="15">
        <v>1.1214999999999999</v>
      </c>
      <c r="I4" s="15">
        <f t="shared" si="2"/>
        <v>13.586748199999999</v>
      </c>
      <c r="J4" s="15">
        <v>0.74</v>
      </c>
      <c r="K4" s="15">
        <f t="shared" si="3"/>
        <v>14.326748199999999</v>
      </c>
      <c r="L4" s="15">
        <v>15.3</v>
      </c>
      <c r="M4" s="15">
        <f t="shared" si="4"/>
        <v>0.97325180000000167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29" ht="12.75" x14ac:dyDescent="0.2">
      <c r="A5" s="13" t="s">
        <v>1896</v>
      </c>
      <c r="B5" s="15">
        <v>8809454981758</v>
      </c>
      <c r="C5" s="15">
        <v>14.23</v>
      </c>
      <c r="D5" s="15">
        <v>0.9</v>
      </c>
      <c r="E5" s="15">
        <f t="shared" si="0"/>
        <v>15.13</v>
      </c>
      <c r="F5" s="15">
        <v>1.24</v>
      </c>
      <c r="G5" s="15">
        <f t="shared" si="1"/>
        <v>18.761200000000002</v>
      </c>
      <c r="H5" s="15">
        <v>1.1214999999999999</v>
      </c>
      <c r="I5" s="15">
        <f t="shared" si="2"/>
        <v>21.040685800000002</v>
      </c>
      <c r="J5" s="15">
        <v>0.74</v>
      </c>
      <c r="K5" s="15">
        <f t="shared" si="3"/>
        <v>21.780685800000001</v>
      </c>
      <c r="L5" s="15">
        <v>24.3</v>
      </c>
      <c r="M5" s="15">
        <f t="shared" si="4"/>
        <v>2.5193142000000002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1:29" ht="12.75" x14ac:dyDescent="0.2">
      <c r="A6" s="13" t="s">
        <v>1897</v>
      </c>
      <c r="B6" s="15">
        <v>8809454982281</v>
      </c>
      <c r="C6" s="15">
        <v>10.54</v>
      </c>
      <c r="D6" s="15">
        <v>0.9</v>
      </c>
      <c r="E6" s="15">
        <f t="shared" si="0"/>
        <v>11.44</v>
      </c>
      <c r="F6" s="15">
        <v>1.24</v>
      </c>
      <c r="G6" s="15">
        <f t="shared" si="1"/>
        <v>14.185599999999999</v>
      </c>
      <c r="H6" s="15">
        <v>1.1214999999999999</v>
      </c>
      <c r="I6" s="15">
        <f t="shared" si="2"/>
        <v>15.909150399999998</v>
      </c>
      <c r="J6" s="15">
        <v>0.74</v>
      </c>
      <c r="K6" s="15">
        <f t="shared" si="3"/>
        <v>16.649150399999996</v>
      </c>
      <c r="L6" s="15">
        <v>18</v>
      </c>
      <c r="M6" s="15">
        <f t="shared" si="4"/>
        <v>1.3508496000000036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spans="1:29" ht="12.75" x14ac:dyDescent="0.2">
      <c r="A7" s="13" t="s">
        <v>1898</v>
      </c>
      <c r="B7" s="15">
        <v>8809454982083</v>
      </c>
      <c r="C7" s="15">
        <v>9.48</v>
      </c>
      <c r="D7" s="15">
        <v>0.9</v>
      </c>
      <c r="E7" s="15">
        <f t="shared" si="0"/>
        <v>10.38</v>
      </c>
      <c r="F7" s="15">
        <v>1.24</v>
      </c>
      <c r="G7" s="15">
        <f t="shared" si="1"/>
        <v>12.871200000000002</v>
      </c>
      <c r="H7" s="15">
        <v>1.1214999999999999</v>
      </c>
      <c r="I7" s="15">
        <f t="shared" si="2"/>
        <v>14.435050800000001</v>
      </c>
      <c r="J7" s="15">
        <v>0.74</v>
      </c>
      <c r="K7" s="15">
        <f t="shared" si="3"/>
        <v>15.175050800000001</v>
      </c>
      <c r="L7" s="15">
        <v>16.2</v>
      </c>
      <c r="M7" s="15">
        <f t="shared" si="4"/>
        <v>1.0249491999999982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29" ht="12.75" x14ac:dyDescent="0.2">
      <c r="A8" s="13" t="s">
        <v>1899</v>
      </c>
      <c r="B8" s="15">
        <v>8809454980010</v>
      </c>
      <c r="C8" s="15">
        <v>10.54</v>
      </c>
      <c r="D8" s="15">
        <v>0.9</v>
      </c>
      <c r="E8" s="15">
        <f t="shared" si="0"/>
        <v>11.44</v>
      </c>
      <c r="F8" s="15">
        <v>1.24</v>
      </c>
      <c r="G8" s="15">
        <f t="shared" si="1"/>
        <v>14.185599999999999</v>
      </c>
      <c r="H8" s="15">
        <v>1.1214999999999999</v>
      </c>
      <c r="I8" s="15">
        <f t="shared" si="2"/>
        <v>15.909150399999998</v>
      </c>
      <c r="J8" s="15">
        <v>0.74</v>
      </c>
      <c r="K8" s="15">
        <f t="shared" si="3"/>
        <v>16.649150399999996</v>
      </c>
      <c r="L8" s="15">
        <v>18</v>
      </c>
      <c r="M8" s="15">
        <f t="shared" si="4"/>
        <v>1.3508496000000036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29" ht="12.75" x14ac:dyDescent="0.2">
      <c r="A9" s="13" t="s">
        <v>1900</v>
      </c>
      <c r="B9" s="15">
        <v>8809454980027</v>
      </c>
      <c r="C9" s="15">
        <v>12.12</v>
      </c>
      <c r="D9" s="15">
        <v>0.9</v>
      </c>
      <c r="E9" s="15">
        <f t="shared" si="0"/>
        <v>13.02</v>
      </c>
      <c r="F9" s="15">
        <v>1.24</v>
      </c>
      <c r="G9" s="15">
        <f t="shared" si="1"/>
        <v>16.1448</v>
      </c>
      <c r="H9" s="15">
        <v>1.1214999999999999</v>
      </c>
      <c r="I9" s="15">
        <f t="shared" si="2"/>
        <v>18.106393199999999</v>
      </c>
      <c r="J9" s="15">
        <v>0.74</v>
      </c>
      <c r="K9" s="15">
        <f t="shared" si="3"/>
        <v>18.846393199999998</v>
      </c>
      <c r="L9" s="15">
        <v>20.7</v>
      </c>
      <c r="M9" s="15">
        <f t="shared" si="4"/>
        <v>1.8536068000000014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29" ht="12.75" x14ac:dyDescent="0.2">
      <c r="A10" s="13" t="s">
        <v>1901</v>
      </c>
      <c r="B10" s="15">
        <v>8809454980034</v>
      </c>
      <c r="C10" s="15">
        <v>12.12</v>
      </c>
      <c r="D10" s="15">
        <v>0.9</v>
      </c>
      <c r="E10" s="15">
        <f t="shared" si="0"/>
        <v>13.02</v>
      </c>
      <c r="F10" s="15">
        <v>1.24</v>
      </c>
      <c r="G10" s="15">
        <f t="shared" si="1"/>
        <v>16.1448</v>
      </c>
      <c r="H10" s="15">
        <v>1.1214999999999999</v>
      </c>
      <c r="I10" s="15">
        <f t="shared" si="2"/>
        <v>18.106393199999999</v>
      </c>
      <c r="J10" s="15">
        <v>0.74</v>
      </c>
      <c r="K10" s="15">
        <f t="shared" si="3"/>
        <v>18.846393199999998</v>
      </c>
      <c r="L10" s="15">
        <v>20.7</v>
      </c>
      <c r="M10" s="15">
        <f t="shared" si="4"/>
        <v>1.8536068000000014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spans="1:29" ht="12.75" x14ac:dyDescent="0.2">
      <c r="A11" s="13" t="s">
        <v>1902</v>
      </c>
      <c r="B11" s="15">
        <v>8809454980119</v>
      </c>
      <c r="C11" s="15">
        <v>21.6</v>
      </c>
      <c r="D11" s="15">
        <v>0.9</v>
      </c>
      <c r="E11" s="15">
        <f t="shared" si="0"/>
        <v>22.5</v>
      </c>
      <c r="F11" s="15">
        <v>1.24</v>
      </c>
      <c r="G11" s="15">
        <f t="shared" si="1"/>
        <v>27.9</v>
      </c>
      <c r="H11" s="15">
        <v>1.1214999999999999</v>
      </c>
      <c r="I11" s="15">
        <f t="shared" si="2"/>
        <v>31.289849999999998</v>
      </c>
      <c r="J11" s="15">
        <v>0.74</v>
      </c>
      <c r="K11" s="15">
        <f t="shared" si="3"/>
        <v>32.029849999999996</v>
      </c>
      <c r="L11" s="15">
        <v>36.9</v>
      </c>
      <c r="M11" s="15">
        <f t="shared" si="4"/>
        <v>4.8701500000000024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29" ht="12.75" x14ac:dyDescent="0.2">
      <c r="A12" s="13" t="s">
        <v>1903</v>
      </c>
      <c r="B12" s="15">
        <v>8809454980201</v>
      </c>
      <c r="C12" s="15">
        <v>15.28</v>
      </c>
      <c r="D12" s="15">
        <v>0.9</v>
      </c>
      <c r="E12" s="15">
        <f t="shared" si="0"/>
        <v>16.18</v>
      </c>
      <c r="F12" s="15">
        <v>1.24</v>
      </c>
      <c r="G12" s="15">
        <f t="shared" si="1"/>
        <v>20.063199999999998</v>
      </c>
      <c r="H12" s="15">
        <v>1.1214999999999999</v>
      </c>
      <c r="I12" s="15">
        <f t="shared" si="2"/>
        <v>22.500878799999995</v>
      </c>
      <c r="J12" s="15">
        <v>0.74</v>
      </c>
      <c r="K12" s="15">
        <f t="shared" si="3"/>
        <v>23.240878799999994</v>
      </c>
      <c r="L12" s="15">
        <v>26.1</v>
      </c>
      <c r="M12" s="15">
        <f t="shared" si="4"/>
        <v>2.8591212000000077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29" ht="12.75" x14ac:dyDescent="0.2">
      <c r="A13" s="13" t="s">
        <v>1904</v>
      </c>
      <c r="B13" s="15">
        <v>8809454980164</v>
      </c>
      <c r="C13" s="15">
        <v>2.11</v>
      </c>
      <c r="D13" s="15">
        <v>0.9</v>
      </c>
      <c r="E13" s="15">
        <f t="shared" si="0"/>
        <v>3.01</v>
      </c>
      <c r="F13" s="15">
        <v>1.24</v>
      </c>
      <c r="G13" s="15">
        <f t="shared" si="1"/>
        <v>3.7323999999999997</v>
      </c>
      <c r="H13" s="15">
        <v>1.1214999999999999</v>
      </c>
      <c r="I13" s="15">
        <f t="shared" si="2"/>
        <v>4.1858865999999999</v>
      </c>
      <c r="J13" s="15">
        <v>0.25</v>
      </c>
      <c r="K13" s="15">
        <f t="shared" si="3"/>
        <v>4.4358865999999999</v>
      </c>
      <c r="L13" s="15">
        <v>3.6</v>
      </c>
      <c r="M13" s="15">
        <f t="shared" si="4"/>
        <v>-0.83588659999999981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spans="1:29" ht="12.75" x14ac:dyDescent="0.2">
      <c r="A14" s="6" t="s">
        <v>1905</v>
      </c>
      <c r="B14" s="21">
        <v>8809454980225</v>
      </c>
      <c r="C14" s="15">
        <v>15.28</v>
      </c>
      <c r="D14" s="15">
        <v>0.9</v>
      </c>
      <c r="E14" s="15">
        <f t="shared" si="0"/>
        <v>16.18</v>
      </c>
      <c r="F14" s="15">
        <v>1.24</v>
      </c>
      <c r="G14" s="15">
        <f t="shared" si="1"/>
        <v>20.063199999999998</v>
      </c>
      <c r="H14" s="15">
        <v>1.1214999999999999</v>
      </c>
      <c r="I14" s="15">
        <f t="shared" si="2"/>
        <v>22.500878799999995</v>
      </c>
      <c r="J14" s="15">
        <v>0.74</v>
      </c>
      <c r="K14" s="15">
        <f t="shared" si="3"/>
        <v>23.240878799999994</v>
      </c>
      <c r="L14" s="15">
        <v>26.1</v>
      </c>
      <c r="M14" s="15">
        <f t="shared" si="4"/>
        <v>2.8591212000000077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spans="1:29" ht="12.75" x14ac:dyDescent="0.2">
      <c r="A15" s="6" t="s">
        <v>1906</v>
      </c>
      <c r="B15" s="21">
        <v>8809454980096</v>
      </c>
      <c r="C15" s="15">
        <v>20.55</v>
      </c>
      <c r="D15" s="15">
        <v>0.9</v>
      </c>
      <c r="E15" s="15">
        <f t="shared" si="0"/>
        <v>21.45</v>
      </c>
      <c r="F15" s="15">
        <v>1.24</v>
      </c>
      <c r="G15" s="15">
        <f t="shared" si="1"/>
        <v>26.597999999999999</v>
      </c>
      <c r="H15" s="15">
        <v>1.1214999999999999</v>
      </c>
      <c r="I15" s="15">
        <f t="shared" si="2"/>
        <v>29.829656999999997</v>
      </c>
      <c r="J15" s="15">
        <v>0.74</v>
      </c>
      <c r="K15" s="15">
        <f t="shared" si="3"/>
        <v>30.569656999999996</v>
      </c>
      <c r="L15" s="15">
        <v>35.1</v>
      </c>
      <c r="M15" s="15">
        <f t="shared" si="4"/>
        <v>4.5303430000000056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spans="1:29" ht="12.75" x14ac:dyDescent="0.2">
      <c r="A16" s="6" t="s">
        <v>1907</v>
      </c>
      <c r="B16" s="21">
        <v>8809454981574</v>
      </c>
      <c r="C16" s="15">
        <v>9.48</v>
      </c>
      <c r="D16" s="15">
        <v>0.9</v>
      </c>
      <c r="E16" s="15">
        <f t="shared" si="0"/>
        <v>10.38</v>
      </c>
      <c r="F16" s="15">
        <v>1.24</v>
      </c>
      <c r="G16" s="15">
        <f t="shared" si="1"/>
        <v>12.871200000000002</v>
      </c>
      <c r="H16" s="15">
        <v>1.1214999999999999</v>
      </c>
      <c r="I16" s="15">
        <f t="shared" si="2"/>
        <v>14.435050800000001</v>
      </c>
      <c r="J16" s="15">
        <v>0.74</v>
      </c>
      <c r="K16" s="15">
        <f t="shared" si="3"/>
        <v>15.175050800000001</v>
      </c>
      <c r="L16" s="15">
        <v>16.2</v>
      </c>
      <c r="M16" s="15">
        <f t="shared" si="4"/>
        <v>1.0249491999999982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spans="1:29" ht="12.75" x14ac:dyDescent="0.2">
      <c r="A17" s="13" t="s">
        <v>1908</v>
      </c>
      <c r="B17" s="15">
        <v>8809454982274</v>
      </c>
      <c r="C17" s="15">
        <v>17.39</v>
      </c>
      <c r="D17" s="15">
        <v>0.9</v>
      </c>
      <c r="E17" s="15">
        <f t="shared" si="0"/>
        <v>18.29</v>
      </c>
      <c r="F17" s="15">
        <v>1.24</v>
      </c>
      <c r="G17" s="15">
        <f t="shared" si="1"/>
        <v>22.679599999999997</v>
      </c>
      <c r="H17" s="15">
        <v>1.1214999999999999</v>
      </c>
      <c r="I17" s="15">
        <f t="shared" si="2"/>
        <v>25.435171399999994</v>
      </c>
      <c r="J17" s="15">
        <v>0.74</v>
      </c>
      <c r="K17" s="15">
        <f t="shared" si="3"/>
        <v>26.175171399999993</v>
      </c>
      <c r="L17" s="15">
        <v>29.7</v>
      </c>
      <c r="M17" s="15">
        <f t="shared" si="4"/>
        <v>3.5248286000000064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spans="1:29" ht="12.75" x14ac:dyDescent="0.2">
      <c r="A18" s="13" t="s">
        <v>1909</v>
      </c>
      <c r="B18" s="15">
        <v>8809454981741</v>
      </c>
      <c r="C18" s="15">
        <v>11.59</v>
      </c>
      <c r="D18" s="15">
        <v>0.9</v>
      </c>
      <c r="E18" s="15">
        <f t="shared" si="0"/>
        <v>12.49</v>
      </c>
      <c r="F18" s="15">
        <v>1.24</v>
      </c>
      <c r="G18" s="15">
        <f t="shared" si="1"/>
        <v>15.4876</v>
      </c>
      <c r="H18" s="15">
        <v>1.1214999999999999</v>
      </c>
      <c r="I18" s="15">
        <f t="shared" si="2"/>
        <v>17.369343399999998</v>
      </c>
      <c r="J18" s="15">
        <v>0.74</v>
      </c>
      <c r="K18" s="15">
        <f t="shared" si="3"/>
        <v>18.109343399999997</v>
      </c>
      <c r="L18" s="15">
        <v>19.8</v>
      </c>
      <c r="M18" s="15">
        <f t="shared" si="4"/>
        <v>1.6906566000000041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spans="1:29" ht="12.75" x14ac:dyDescent="0.2">
      <c r="A19" s="13" t="s">
        <v>1910</v>
      </c>
      <c r="B19" s="15">
        <v>8809454980102</v>
      </c>
      <c r="C19" s="15">
        <v>20.55</v>
      </c>
      <c r="D19" s="15">
        <v>0.9</v>
      </c>
      <c r="E19" s="15">
        <f t="shared" si="0"/>
        <v>21.45</v>
      </c>
      <c r="F19" s="15">
        <v>1.24</v>
      </c>
      <c r="G19" s="15">
        <f t="shared" si="1"/>
        <v>26.597999999999999</v>
      </c>
      <c r="H19" s="15">
        <v>1.1214999999999999</v>
      </c>
      <c r="I19" s="15">
        <f t="shared" si="2"/>
        <v>29.829656999999997</v>
      </c>
      <c r="J19" s="15">
        <v>0.73999999999999899</v>
      </c>
      <c r="K19" s="15">
        <f t="shared" si="3"/>
        <v>30.569656999999996</v>
      </c>
      <c r="L19" s="15">
        <v>35.1</v>
      </c>
      <c r="M19" s="15">
        <f t="shared" si="4"/>
        <v>4.5303430000000056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spans="1:29" ht="12.75" x14ac:dyDescent="0.2">
      <c r="A20" s="6" t="s">
        <v>1911</v>
      </c>
      <c r="B20" s="21" t="s">
        <v>1912</v>
      </c>
      <c r="C20" s="15">
        <v>14.23</v>
      </c>
      <c r="D20" s="15">
        <v>0.9</v>
      </c>
      <c r="E20" s="15">
        <f t="shared" si="0"/>
        <v>15.13</v>
      </c>
      <c r="F20" s="15">
        <v>1.24</v>
      </c>
      <c r="G20" s="15">
        <f t="shared" si="1"/>
        <v>18.761200000000002</v>
      </c>
      <c r="H20" s="15">
        <v>1.1214999999999999</v>
      </c>
      <c r="I20" s="15">
        <f t="shared" si="2"/>
        <v>21.040685800000002</v>
      </c>
      <c r="J20" s="15">
        <v>0.73999999999999899</v>
      </c>
      <c r="K20" s="15">
        <f t="shared" si="3"/>
        <v>21.780685800000001</v>
      </c>
      <c r="L20" s="15">
        <v>24.3</v>
      </c>
      <c r="M20" s="15">
        <f t="shared" si="4"/>
        <v>2.5193142000000002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spans="1:29" ht="12.75" x14ac:dyDescent="0.2">
      <c r="A21" s="13" t="s">
        <v>1913</v>
      </c>
      <c r="B21" s="15">
        <v>8809454982403</v>
      </c>
      <c r="C21" s="15">
        <v>15.06</v>
      </c>
      <c r="D21" s="15">
        <v>0.9</v>
      </c>
      <c r="E21" s="15">
        <f t="shared" si="0"/>
        <v>15.96</v>
      </c>
      <c r="F21" s="15">
        <v>1.24</v>
      </c>
      <c r="G21" s="15">
        <f t="shared" si="1"/>
        <v>19.790400000000002</v>
      </c>
      <c r="H21" s="15">
        <v>1.1214999999999999</v>
      </c>
      <c r="I21" s="15">
        <f t="shared" si="2"/>
        <v>22.194933600000002</v>
      </c>
      <c r="J21" s="15">
        <v>0.73999999999999899</v>
      </c>
      <c r="K21" s="15">
        <f t="shared" si="3"/>
        <v>22.934933600000001</v>
      </c>
      <c r="L21" s="15">
        <v>25.2</v>
      </c>
      <c r="M21" s="15">
        <f t="shared" si="4"/>
        <v>2.2650663999999985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 ht="12.75" x14ac:dyDescent="0.2">
      <c r="A22" s="13" t="s">
        <v>1914</v>
      </c>
      <c r="B22" s="15">
        <v>8809454982342</v>
      </c>
      <c r="C22" s="15">
        <v>18.440000000000001</v>
      </c>
      <c r="D22" s="15">
        <v>0.9</v>
      </c>
      <c r="E22" s="15">
        <f t="shared" si="0"/>
        <v>19.34</v>
      </c>
      <c r="F22" s="15">
        <v>1.24</v>
      </c>
      <c r="G22" s="15">
        <f t="shared" si="1"/>
        <v>23.9816</v>
      </c>
      <c r="H22" s="15">
        <v>1.1214999999999999</v>
      </c>
      <c r="I22" s="15">
        <f t="shared" si="2"/>
        <v>26.895364399999998</v>
      </c>
      <c r="J22" s="15">
        <v>0.73999999999999899</v>
      </c>
      <c r="K22" s="15">
        <f t="shared" si="3"/>
        <v>27.635364399999997</v>
      </c>
      <c r="L22" s="15">
        <v>31.5</v>
      </c>
      <c r="M22" s="15">
        <f t="shared" si="4"/>
        <v>3.8646356000000033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1:29" ht="12.75" x14ac:dyDescent="0.2">
      <c r="A23" s="13" t="s">
        <v>1915</v>
      </c>
      <c r="B23" s="15">
        <v>8809454981468</v>
      </c>
      <c r="C23" s="15">
        <v>6.85</v>
      </c>
      <c r="D23" s="15">
        <v>0.9</v>
      </c>
      <c r="E23" s="15">
        <f t="shared" si="0"/>
        <v>7.75</v>
      </c>
      <c r="F23" s="15">
        <v>1.24</v>
      </c>
      <c r="G23" s="15">
        <f t="shared" si="1"/>
        <v>9.61</v>
      </c>
      <c r="H23" s="15">
        <v>1.1214999999999999</v>
      </c>
      <c r="I23" s="15">
        <f t="shared" si="2"/>
        <v>10.777614999999999</v>
      </c>
      <c r="J23" s="15">
        <v>0.73999999999999899</v>
      </c>
      <c r="K23" s="15">
        <f t="shared" si="3"/>
        <v>11.517614999999997</v>
      </c>
      <c r="L23" s="15">
        <v>11.7</v>
      </c>
      <c r="M23" s="15">
        <f t="shared" si="4"/>
        <v>0.1823850000000018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:29" ht="12.75" x14ac:dyDescent="0.2">
      <c r="A24" s="13" t="s">
        <v>1916</v>
      </c>
      <c r="B24" s="15">
        <v>8809454980089</v>
      </c>
      <c r="C24" s="15">
        <v>19.489999999999998</v>
      </c>
      <c r="D24" s="15">
        <v>0.9</v>
      </c>
      <c r="E24" s="15">
        <f t="shared" si="0"/>
        <v>20.389999999999997</v>
      </c>
      <c r="F24" s="15">
        <v>1.24</v>
      </c>
      <c r="G24" s="15">
        <f t="shared" si="1"/>
        <v>25.283599999999996</v>
      </c>
      <c r="H24" s="15">
        <v>1.1214999999999999</v>
      </c>
      <c r="I24" s="15">
        <f t="shared" si="2"/>
        <v>28.355557399999995</v>
      </c>
      <c r="J24" s="15">
        <v>0.73999999999999899</v>
      </c>
      <c r="K24" s="15">
        <f t="shared" si="3"/>
        <v>29.095557399999993</v>
      </c>
      <c r="L24" s="15">
        <v>33.299999999999997</v>
      </c>
      <c r="M24" s="15">
        <f t="shared" si="4"/>
        <v>4.2044426000000037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spans="1:29" ht="12.75" x14ac:dyDescent="0.2">
      <c r="A25" s="13" t="s">
        <v>1917</v>
      </c>
      <c r="B25" s="15">
        <v>8809454980072</v>
      </c>
      <c r="C25" s="15">
        <v>16.86</v>
      </c>
      <c r="D25" s="15">
        <v>0.9</v>
      </c>
      <c r="E25" s="15">
        <f t="shared" si="0"/>
        <v>17.759999999999998</v>
      </c>
      <c r="F25" s="15">
        <v>1.24</v>
      </c>
      <c r="G25" s="15">
        <f t="shared" si="1"/>
        <v>22.022399999999998</v>
      </c>
      <c r="H25" s="15">
        <v>1.1214999999999999</v>
      </c>
      <c r="I25" s="15">
        <f t="shared" si="2"/>
        <v>24.698121599999997</v>
      </c>
      <c r="J25" s="15">
        <v>0.73999999999999899</v>
      </c>
      <c r="K25" s="15">
        <f t="shared" si="3"/>
        <v>25.438121599999995</v>
      </c>
      <c r="L25" s="15">
        <v>28.79</v>
      </c>
      <c r="M25" s="15">
        <f t="shared" si="4"/>
        <v>3.3518784000000039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spans="1:29" ht="12.75" x14ac:dyDescent="0.2">
      <c r="A26" s="6" t="s">
        <v>1918</v>
      </c>
      <c r="B26" s="21" t="s">
        <v>1919</v>
      </c>
      <c r="C26" s="15">
        <v>17.39</v>
      </c>
      <c r="D26" s="15">
        <v>0.9</v>
      </c>
      <c r="E26" s="15">
        <f t="shared" si="0"/>
        <v>18.29</v>
      </c>
      <c r="F26" s="15">
        <v>1.24</v>
      </c>
      <c r="G26" s="15">
        <f t="shared" si="1"/>
        <v>22.679599999999997</v>
      </c>
      <c r="H26" s="15">
        <v>1.1214999999999999</v>
      </c>
      <c r="I26" s="15">
        <f t="shared" si="2"/>
        <v>25.435171399999994</v>
      </c>
      <c r="J26" s="15">
        <v>0.73999999999999899</v>
      </c>
      <c r="K26" s="15">
        <f t="shared" si="3"/>
        <v>26.175171399999993</v>
      </c>
      <c r="L26" s="15">
        <v>29.7</v>
      </c>
      <c r="M26" s="15">
        <f t="shared" si="4"/>
        <v>3.5248286000000064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 spans="1:29" ht="12.75" x14ac:dyDescent="0.2">
      <c r="A27" s="6" t="s">
        <v>1920</v>
      </c>
      <c r="B27" s="21" t="s">
        <v>1921</v>
      </c>
      <c r="C27" s="15">
        <v>10.53</v>
      </c>
      <c r="D27" s="15">
        <v>0.9</v>
      </c>
      <c r="E27" s="15">
        <f t="shared" si="0"/>
        <v>11.43</v>
      </c>
      <c r="F27" s="15">
        <v>1.24</v>
      </c>
      <c r="G27" s="15">
        <f t="shared" si="1"/>
        <v>14.1732</v>
      </c>
      <c r="H27" s="15">
        <v>1.1214999999999999</v>
      </c>
      <c r="I27" s="15">
        <f t="shared" si="2"/>
        <v>15.895243799999999</v>
      </c>
      <c r="J27" s="15">
        <v>0.73999999999999899</v>
      </c>
      <c r="K27" s="15">
        <f t="shared" si="3"/>
        <v>16.635243799999998</v>
      </c>
      <c r="L27" s="15">
        <v>18</v>
      </c>
      <c r="M27" s="15">
        <f t="shared" si="4"/>
        <v>1.3647562000000022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spans="1:29" ht="12.75" x14ac:dyDescent="0.2">
      <c r="A28" s="13" t="s">
        <v>1922</v>
      </c>
      <c r="B28" s="15">
        <v>8809454980157</v>
      </c>
      <c r="C28" s="15">
        <v>15.81</v>
      </c>
      <c r="D28" s="15">
        <v>0.9</v>
      </c>
      <c r="E28" s="15">
        <f t="shared" si="0"/>
        <v>16.71</v>
      </c>
      <c r="F28" s="15">
        <v>1.24</v>
      </c>
      <c r="G28" s="15">
        <f t="shared" si="1"/>
        <v>20.720400000000001</v>
      </c>
      <c r="H28" s="15">
        <v>1.1214999999999999</v>
      </c>
      <c r="I28" s="15">
        <f t="shared" si="2"/>
        <v>23.2379286</v>
      </c>
      <c r="J28" s="15">
        <v>0.73999999999999899</v>
      </c>
      <c r="K28" s="15">
        <f t="shared" si="3"/>
        <v>23.977928599999998</v>
      </c>
      <c r="L28" s="15">
        <v>27</v>
      </c>
      <c r="M28" s="15">
        <f t="shared" si="4"/>
        <v>3.0220714000000015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spans="1:29" ht="12.75" x14ac:dyDescent="0.2">
      <c r="A29" s="13" t="s">
        <v>1923</v>
      </c>
      <c r="B29" s="15">
        <v>8809454980188</v>
      </c>
      <c r="C29" s="15">
        <v>2.11</v>
      </c>
      <c r="D29" s="40">
        <v>0.4</v>
      </c>
      <c r="E29" s="15">
        <f t="shared" si="0"/>
        <v>2.5099999999999998</v>
      </c>
      <c r="F29" s="15">
        <v>1.24</v>
      </c>
      <c r="G29" s="15">
        <f t="shared" si="1"/>
        <v>3.1123999999999996</v>
      </c>
      <c r="H29" s="15">
        <v>1.1214999999999999</v>
      </c>
      <c r="I29" s="15">
        <f t="shared" si="2"/>
        <v>3.4905565999999992</v>
      </c>
      <c r="J29" s="15">
        <v>0.25</v>
      </c>
      <c r="K29" s="15">
        <f t="shared" si="3"/>
        <v>3.7405565999999992</v>
      </c>
      <c r="L29" s="13"/>
      <c r="M29" s="15">
        <f t="shared" si="4"/>
        <v>-3.7405565999999992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spans="1:29" ht="12.75" x14ac:dyDescent="0.2">
      <c r="A30" s="13" t="s">
        <v>1924</v>
      </c>
      <c r="B30" s="15">
        <v>8809454980126</v>
      </c>
      <c r="C30" s="15">
        <v>20.55</v>
      </c>
      <c r="D30" s="15">
        <v>0.9</v>
      </c>
      <c r="E30" s="15">
        <f t="shared" si="0"/>
        <v>21.45</v>
      </c>
      <c r="F30" s="15">
        <v>1.24</v>
      </c>
      <c r="G30" s="15">
        <f t="shared" si="1"/>
        <v>26.597999999999999</v>
      </c>
      <c r="H30" s="15">
        <v>1.1214999999999999</v>
      </c>
      <c r="I30" s="15">
        <f t="shared" si="2"/>
        <v>29.829656999999997</v>
      </c>
      <c r="J30" s="15">
        <v>0.73999999999999899</v>
      </c>
      <c r="K30" s="15">
        <f t="shared" si="3"/>
        <v>30.569656999999996</v>
      </c>
      <c r="L30" s="15">
        <v>35.1</v>
      </c>
      <c r="M30" s="15">
        <f t="shared" si="4"/>
        <v>4.5303430000000056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spans="1:29" ht="12.75" x14ac:dyDescent="0.2">
      <c r="A31" s="13" t="s">
        <v>1925</v>
      </c>
      <c r="B31" s="15">
        <v>8809454982441</v>
      </c>
      <c r="C31" s="15">
        <v>8.06</v>
      </c>
      <c r="D31" s="15">
        <v>0.9</v>
      </c>
      <c r="E31" s="15">
        <f t="shared" si="0"/>
        <v>8.9600000000000009</v>
      </c>
      <c r="F31" s="15">
        <v>1.24</v>
      </c>
      <c r="G31" s="15">
        <f t="shared" si="1"/>
        <v>11.1104</v>
      </c>
      <c r="H31" s="15">
        <v>1.1214999999999999</v>
      </c>
      <c r="I31" s="15">
        <f t="shared" si="2"/>
        <v>12.460313599999999</v>
      </c>
      <c r="J31" s="15">
        <v>0.73999999999999899</v>
      </c>
      <c r="K31" s="15">
        <f t="shared" si="3"/>
        <v>13.200313599999998</v>
      </c>
      <c r="L31" s="15">
        <v>13.49</v>
      </c>
      <c r="M31" s="15">
        <f t="shared" si="4"/>
        <v>0.28968640000000256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 spans="1:29" ht="12.75" x14ac:dyDescent="0.2">
      <c r="A32" s="13" t="s">
        <v>1926</v>
      </c>
      <c r="B32" s="15">
        <v>8809454982113</v>
      </c>
      <c r="C32" s="15">
        <v>12.65</v>
      </c>
      <c r="D32" s="15">
        <v>0.9</v>
      </c>
      <c r="E32" s="15">
        <f t="shared" si="0"/>
        <v>13.55</v>
      </c>
      <c r="F32" s="15">
        <v>1.24</v>
      </c>
      <c r="G32" s="15">
        <f t="shared" si="1"/>
        <v>16.802</v>
      </c>
      <c r="H32" s="15">
        <v>1.1214999999999999</v>
      </c>
      <c r="I32" s="15">
        <f t="shared" si="2"/>
        <v>18.843442999999997</v>
      </c>
      <c r="J32" s="15">
        <v>0.73999999999999899</v>
      </c>
      <c r="K32" s="15">
        <f t="shared" si="3"/>
        <v>19.583442999999995</v>
      </c>
      <c r="L32" s="15">
        <v>21.59</v>
      </c>
      <c r="M32" s="15">
        <f t="shared" si="4"/>
        <v>2.0065570000000044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spans="1:29" ht="12.75" x14ac:dyDescent="0.2">
      <c r="A33" s="13" t="s">
        <v>1927</v>
      </c>
      <c r="B33" s="15">
        <v>8809454980140</v>
      </c>
      <c r="C33" s="15">
        <v>12.65</v>
      </c>
      <c r="D33" s="15">
        <v>0.9</v>
      </c>
      <c r="E33" s="15">
        <f t="shared" si="0"/>
        <v>13.55</v>
      </c>
      <c r="F33" s="15">
        <v>1.24</v>
      </c>
      <c r="G33" s="15">
        <f t="shared" si="1"/>
        <v>16.802</v>
      </c>
      <c r="H33" s="15">
        <v>1.1214999999999999</v>
      </c>
      <c r="I33" s="15">
        <f t="shared" si="2"/>
        <v>18.843442999999997</v>
      </c>
      <c r="J33" s="15">
        <v>0.73999999999999899</v>
      </c>
      <c r="K33" s="15">
        <f t="shared" si="3"/>
        <v>19.583442999999995</v>
      </c>
      <c r="L33" s="15">
        <v>21.6</v>
      </c>
      <c r="M33" s="15">
        <f t="shared" si="4"/>
        <v>2.0165570000000059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 spans="1:29" ht="12.75" x14ac:dyDescent="0.2">
      <c r="A34" s="12" t="s">
        <v>1922</v>
      </c>
      <c r="B34" s="25">
        <v>8809454980157</v>
      </c>
      <c r="C34" s="12">
        <v>15.81</v>
      </c>
      <c r="D34" s="12">
        <v>0.9</v>
      </c>
      <c r="E34" s="12">
        <f t="shared" si="0"/>
        <v>16.71</v>
      </c>
      <c r="F34" s="12">
        <v>1.24</v>
      </c>
      <c r="G34" s="12">
        <f t="shared" si="1"/>
        <v>20.720400000000001</v>
      </c>
      <c r="H34" s="12">
        <v>1.1214999999999999</v>
      </c>
      <c r="I34" s="12">
        <f t="shared" si="2"/>
        <v>23.2379286</v>
      </c>
      <c r="J34" s="12">
        <v>0.73999999999999899</v>
      </c>
      <c r="K34" s="12">
        <f t="shared" si="3"/>
        <v>23.977928599999998</v>
      </c>
      <c r="L34" s="12">
        <v>27</v>
      </c>
      <c r="M34" s="15">
        <f t="shared" si="4"/>
        <v>3.0220714000000015</v>
      </c>
    </row>
    <row r="35" spans="1:29" ht="12.75" x14ac:dyDescent="0.2">
      <c r="A35" s="12" t="s">
        <v>1928</v>
      </c>
      <c r="B35" s="12">
        <v>8809454980386</v>
      </c>
      <c r="C35" s="12">
        <v>12.12</v>
      </c>
      <c r="D35" s="12">
        <v>0.9</v>
      </c>
      <c r="E35" s="12">
        <f t="shared" si="0"/>
        <v>13.02</v>
      </c>
      <c r="F35" s="12">
        <v>1.24</v>
      </c>
      <c r="G35" s="12">
        <f t="shared" si="1"/>
        <v>16.1448</v>
      </c>
      <c r="H35" s="12">
        <v>1.1214999999999999</v>
      </c>
      <c r="I35" s="12">
        <f t="shared" si="2"/>
        <v>18.106393199999999</v>
      </c>
      <c r="J35" s="12">
        <v>0.73999999999999899</v>
      </c>
      <c r="K35" s="12">
        <f t="shared" si="3"/>
        <v>18.846393199999998</v>
      </c>
      <c r="L35" s="12">
        <v>20.7</v>
      </c>
      <c r="M35" s="15">
        <f t="shared" si="4"/>
        <v>1.8536068000000014</v>
      </c>
    </row>
    <row r="36" spans="1:29" ht="12.75" x14ac:dyDescent="0.2">
      <c r="A36" s="12" t="s">
        <v>1929</v>
      </c>
      <c r="B36" s="12">
        <v>8809454980218</v>
      </c>
      <c r="C36" s="12">
        <v>15.28</v>
      </c>
      <c r="D36" s="12">
        <v>0.9</v>
      </c>
      <c r="E36" s="12">
        <f t="shared" si="0"/>
        <v>16.18</v>
      </c>
      <c r="F36" s="12">
        <v>1.24</v>
      </c>
      <c r="G36" s="12">
        <f t="shared" si="1"/>
        <v>20.063199999999998</v>
      </c>
      <c r="H36" s="12">
        <v>1.1214999999999999</v>
      </c>
      <c r="I36" s="12">
        <f t="shared" si="2"/>
        <v>22.500878799999995</v>
      </c>
      <c r="J36" s="12">
        <v>0.73999999999999899</v>
      </c>
      <c r="K36" s="12">
        <f t="shared" si="3"/>
        <v>23.240878799999994</v>
      </c>
      <c r="L36" s="12">
        <v>26.1</v>
      </c>
      <c r="M36" s="15">
        <f t="shared" si="4"/>
        <v>2.8591212000000077</v>
      </c>
    </row>
    <row r="37" spans="1:29" ht="12.75" x14ac:dyDescent="0.2">
      <c r="A37" s="12" t="s">
        <v>1930</v>
      </c>
      <c r="B37" s="12">
        <v>8809454982106</v>
      </c>
      <c r="C37" s="12">
        <v>15.59</v>
      </c>
      <c r="D37" s="12">
        <v>0.9</v>
      </c>
      <c r="E37" s="12">
        <f t="shared" si="0"/>
        <v>16.489999999999998</v>
      </c>
      <c r="F37" s="12">
        <v>1.24</v>
      </c>
      <c r="G37" s="12">
        <f t="shared" si="1"/>
        <v>20.447599999999998</v>
      </c>
      <c r="H37" s="12">
        <v>1.1214999999999999</v>
      </c>
      <c r="I37" s="12">
        <f t="shared" si="2"/>
        <v>22.931983399999996</v>
      </c>
      <c r="J37" s="12">
        <v>0.73999999999999899</v>
      </c>
      <c r="K37" s="12">
        <f t="shared" si="3"/>
        <v>23.671983399999995</v>
      </c>
      <c r="L37" s="12">
        <v>26.9</v>
      </c>
    </row>
    <row r="38" spans="1:29" ht="12.75" x14ac:dyDescent="0.2">
      <c r="A38" s="12" t="s">
        <v>1931</v>
      </c>
      <c r="B38" s="12">
        <v>8809454982489</v>
      </c>
      <c r="C38" s="12">
        <v>10.76</v>
      </c>
      <c r="D38" s="12">
        <v>0.9</v>
      </c>
      <c r="E38" s="12">
        <f t="shared" si="0"/>
        <v>11.66</v>
      </c>
      <c r="F38" s="12">
        <v>1.24</v>
      </c>
      <c r="G38" s="12">
        <f t="shared" si="1"/>
        <v>14.458399999999999</v>
      </c>
      <c r="H38" s="12">
        <v>1.1214999999999999</v>
      </c>
      <c r="I38" s="12">
        <f t="shared" si="2"/>
        <v>16.215095599999998</v>
      </c>
      <c r="J38" s="12">
        <v>0.73999999999999899</v>
      </c>
      <c r="K38" s="12">
        <f t="shared" si="3"/>
        <v>16.955095599999996</v>
      </c>
      <c r="L38" s="12">
        <v>18.190000000000001</v>
      </c>
    </row>
    <row r="39" spans="1:29" ht="12.75" x14ac:dyDescent="0.2">
      <c r="A39" s="12" t="s">
        <v>1932</v>
      </c>
      <c r="B39" s="12">
        <v>8809454982793</v>
      </c>
      <c r="C39" s="12">
        <v>15.12</v>
      </c>
      <c r="D39" s="12">
        <v>0.9</v>
      </c>
      <c r="E39" s="12">
        <f t="shared" si="0"/>
        <v>16.02</v>
      </c>
      <c r="F39" s="12">
        <v>1.24</v>
      </c>
      <c r="G39" s="12">
        <f t="shared" si="1"/>
        <v>19.864799999999999</v>
      </c>
      <c r="H39" s="12">
        <v>1.1214999999999999</v>
      </c>
      <c r="I39" s="12">
        <f t="shared" si="2"/>
        <v>22.278373199999997</v>
      </c>
      <c r="J39" s="12">
        <v>0.73999999999999899</v>
      </c>
      <c r="K39" s="12">
        <f t="shared" si="3"/>
        <v>23.018373199999996</v>
      </c>
      <c r="L39" s="12">
        <v>25.32</v>
      </c>
    </row>
    <row r="40" spans="1:29" ht="12.75" x14ac:dyDescent="0.2">
      <c r="A40" s="6" t="s">
        <v>1933</v>
      </c>
      <c r="B40" s="6" t="s">
        <v>1934</v>
      </c>
      <c r="C40" s="12">
        <v>15.12</v>
      </c>
      <c r="D40" s="12">
        <v>0.9</v>
      </c>
      <c r="E40" s="12">
        <f t="shared" si="0"/>
        <v>16.02</v>
      </c>
      <c r="F40" s="12">
        <v>1.24</v>
      </c>
      <c r="G40" s="12">
        <f t="shared" si="1"/>
        <v>19.864799999999999</v>
      </c>
      <c r="H40" s="12">
        <v>1.1214999999999999</v>
      </c>
      <c r="I40" s="12">
        <f t="shared" si="2"/>
        <v>22.278373199999997</v>
      </c>
      <c r="J40" s="12">
        <v>0.73999999999999899</v>
      </c>
      <c r="K40" s="12">
        <f t="shared" si="3"/>
        <v>23.018373199999996</v>
      </c>
      <c r="L40" s="12">
        <v>25.33</v>
      </c>
    </row>
    <row r="41" spans="1:29" ht="12.75" x14ac:dyDescent="0.2">
      <c r="A41" s="6" t="s">
        <v>1935</v>
      </c>
      <c r="B41" s="6" t="s">
        <v>1936</v>
      </c>
      <c r="C41" s="12">
        <v>14.08</v>
      </c>
      <c r="D41" s="12">
        <v>0.9</v>
      </c>
      <c r="E41" s="12">
        <f t="shared" si="0"/>
        <v>14.98</v>
      </c>
      <c r="F41" s="12">
        <v>1.24</v>
      </c>
      <c r="G41" s="12">
        <f t="shared" si="1"/>
        <v>18.575199999999999</v>
      </c>
      <c r="H41" s="12">
        <v>1.1214999999999999</v>
      </c>
      <c r="I41" s="12">
        <f t="shared" si="2"/>
        <v>20.832086799999999</v>
      </c>
      <c r="J41" s="12">
        <v>0.73999999999999899</v>
      </c>
      <c r="K41" s="12">
        <f t="shared" si="3"/>
        <v>21.572086799999997</v>
      </c>
      <c r="L41" s="12">
        <v>24.3</v>
      </c>
    </row>
    <row r="42" spans="1:29" ht="12.75" x14ac:dyDescent="0.2">
      <c r="A42" s="12" t="s">
        <v>1937</v>
      </c>
      <c r="B42" s="12">
        <v>8809454982649</v>
      </c>
      <c r="C42" s="12">
        <v>13.03</v>
      </c>
      <c r="D42" s="12">
        <v>0.9</v>
      </c>
      <c r="E42" s="12">
        <f t="shared" si="0"/>
        <v>13.93</v>
      </c>
      <c r="F42" s="12">
        <v>1.24</v>
      </c>
      <c r="G42" s="12">
        <f t="shared" si="1"/>
        <v>17.273199999999999</v>
      </c>
      <c r="H42" s="12">
        <v>1.1214999999999999</v>
      </c>
      <c r="I42" s="12">
        <f t="shared" si="2"/>
        <v>19.371893799999999</v>
      </c>
      <c r="J42" s="12">
        <v>0.73999999999999899</v>
      </c>
      <c r="K42" s="12">
        <f t="shared" si="3"/>
        <v>20.111893799999997</v>
      </c>
    </row>
    <row r="43" spans="1:29" ht="12.75" x14ac:dyDescent="0.2">
      <c r="A43" s="12" t="s">
        <v>1938</v>
      </c>
      <c r="B43" s="12">
        <v>8809454982670</v>
      </c>
      <c r="C43" s="12">
        <v>15.64</v>
      </c>
      <c r="D43" s="12">
        <v>0.9</v>
      </c>
      <c r="E43" s="12">
        <f t="shared" si="0"/>
        <v>16.54</v>
      </c>
      <c r="F43" s="12">
        <v>1.24</v>
      </c>
      <c r="G43" s="12">
        <f t="shared" si="1"/>
        <v>20.509599999999999</v>
      </c>
      <c r="H43" s="12">
        <v>1.1214999999999999</v>
      </c>
      <c r="I43" s="12">
        <f t="shared" si="2"/>
        <v>23.001516399999996</v>
      </c>
      <c r="J43" s="12">
        <v>0.73999999999999899</v>
      </c>
      <c r="K43" s="12">
        <f t="shared" si="3"/>
        <v>23.741516399999995</v>
      </c>
      <c r="L43" s="12">
        <v>26.99</v>
      </c>
    </row>
    <row r="44" spans="1:29" ht="12.75" x14ac:dyDescent="0.2">
      <c r="C44" s="12">
        <v>0</v>
      </c>
      <c r="D44" s="12">
        <v>0.9</v>
      </c>
      <c r="E44" s="12">
        <f t="shared" si="0"/>
        <v>0.9</v>
      </c>
      <c r="F44" s="12">
        <v>1.24</v>
      </c>
      <c r="G44" s="12">
        <f t="shared" si="1"/>
        <v>1.1160000000000001</v>
      </c>
      <c r="H44" s="12">
        <v>1.1214999999999999</v>
      </c>
      <c r="I44" s="12">
        <f t="shared" si="2"/>
        <v>1.2515940000000001</v>
      </c>
      <c r="J44" s="12">
        <v>0.73999999999999899</v>
      </c>
      <c r="K44" s="12">
        <f t="shared" si="3"/>
        <v>1.9915939999999992</v>
      </c>
    </row>
    <row r="45" spans="1:29" ht="12.75" x14ac:dyDescent="0.2">
      <c r="C45" s="12">
        <v>0</v>
      </c>
      <c r="D45" s="12">
        <v>0.9</v>
      </c>
      <c r="E45" s="12">
        <f t="shared" si="0"/>
        <v>0.9</v>
      </c>
      <c r="F45" s="12">
        <v>1.24</v>
      </c>
      <c r="G45" s="12">
        <f t="shared" si="1"/>
        <v>1.1160000000000001</v>
      </c>
      <c r="H45" s="12">
        <v>1.1214999999999999</v>
      </c>
      <c r="I45" s="12">
        <f t="shared" si="2"/>
        <v>1.2515940000000001</v>
      </c>
      <c r="J45" s="12">
        <v>0.73999999999999899</v>
      </c>
      <c r="K45" s="12">
        <f t="shared" si="3"/>
        <v>1.9915939999999992</v>
      </c>
    </row>
    <row r="46" spans="1:29" ht="12.75" x14ac:dyDescent="0.2">
      <c r="C46" s="12">
        <v>0</v>
      </c>
      <c r="D46" s="12">
        <v>0.9</v>
      </c>
      <c r="E46" s="12">
        <f t="shared" si="0"/>
        <v>0.9</v>
      </c>
      <c r="F46" s="12">
        <v>1.24</v>
      </c>
      <c r="G46" s="12">
        <f t="shared" si="1"/>
        <v>1.1160000000000001</v>
      </c>
      <c r="H46" s="12">
        <v>1.1214999999999999</v>
      </c>
      <c r="I46" s="12">
        <f t="shared" si="2"/>
        <v>1.2515940000000001</v>
      </c>
      <c r="J46" s="12">
        <v>0.73999999999999899</v>
      </c>
      <c r="K46" s="12">
        <f t="shared" si="3"/>
        <v>1.9915939999999992</v>
      </c>
    </row>
    <row r="47" spans="1:29" ht="12.75" x14ac:dyDescent="0.2">
      <c r="C47" s="12">
        <v>0</v>
      </c>
      <c r="D47" s="12">
        <v>0.9</v>
      </c>
      <c r="E47" s="12">
        <f t="shared" si="0"/>
        <v>0.9</v>
      </c>
      <c r="F47" s="12">
        <v>1.24</v>
      </c>
      <c r="G47" s="12">
        <f t="shared" si="1"/>
        <v>1.1160000000000001</v>
      </c>
      <c r="H47" s="12">
        <v>1.1214999999999999</v>
      </c>
      <c r="I47" s="12">
        <f t="shared" si="2"/>
        <v>1.2515940000000001</v>
      </c>
      <c r="J47" s="12">
        <v>0.73999999999999899</v>
      </c>
      <c r="K47" s="12">
        <f t="shared" si="3"/>
        <v>1.9915939999999992</v>
      </c>
    </row>
    <row r="48" spans="1:29" ht="12.75" x14ac:dyDescent="0.2">
      <c r="C48" s="12">
        <v>0</v>
      </c>
      <c r="D48" s="12">
        <v>0.9</v>
      </c>
      <c r="E48" s="12">
        <f t="shared" si="0"/>
        <v>0.9</v>
      </c>
      <c r="F48" s="12">
        <v>1.24</v>
      </c>
      <c r="G48" s="12">
        <f t="shared" si="1"/>
        <v>1.1160000000000001</v>
      </c>
      <c r="H48" s="12">
        <v>1.1214999999999999</v>
      </c>
      <c r="I48" s="12">
        <f t="shared" si="2"/>
        <v>1.2515940000000001</v>
      </c>
      <c r="J48" s="12">
        <v>0.73999999999999899</v>
      </c>
      <c r="K48" s="12">
        <f t="shared" si="3"/>
        <v>1.9915939999999992</v>
      </c>
    </row>
    <row r="49" spans="3:11" ht="12.75" x14ac:dyDescent="0.2">
      <c r="C49" s="12">
        <v>0</v>
      </c>
      <c r="D49" s="12">
        <v>0.9</v>
      </c>
      <c r="E49" s="12">
        <f t="shared" si="0"/>
        <v>0.9</v>
      </c>
      <c r="F49" s="12">
        <v>1.24</v>
      </c>
      <c r="G49" s="12">
        <f t="shared" si="1"/>
        <v>1.1160000000000001</v>
      </c>
      <c r="H49" s="12">
        <v>1.1214999999999999</v>
      </c>
      <c r="I49" s="12">
        <f t="shared" si="2"/>
        <v>1.2515940000000001</v>
      </c>
      <c r="J49" s="12">
        <v>0.73999999999999899</v>
      </c>
      <c r="K49" s="12">
        <f t="shared" si="3"/>
        <v>1.9915939999999992</v>
      </c>
    </row>
    <row r="50" spans="3:11" ht="12.75" x14ac:dyDescent="0.2">
      <c r="C50" s="12">
        <v>0</v>
      </c>
      <c r="D50" s="12">
        <v>0.9</v>
      </c>
      <c r="E50" s="12">
        <f t="shared" si="0"/>
        <v>0.9</v>
      </c>
      <c r="F50" s="12">
        <v>1.24</v>
      </c>
      <c r="G50" s="12">
        <f t="shared" si="1"/>
        <v>1.1160000000000001</v>
      </c>
      <c r="H50" s="12">
        <v>1.1214999999999999</v>
      </c>
      <c r="I50" s="12">
        <f t="shared" si="2"/>
        <v>1.2515940000000001</v>
      </c>
      <c r="J50" s="12">
        <v>0.73999999999999899</v>
      </c>
      <c r="K50" s="12">
        <f t="shared" si="3"/>
        <v>1.9915939999999992</v>
      </c>
    </row>
    <row r="51" spans="3:11" ht="12.75" x14ac:dyDescent="0.2">
      <c r="C51" s="12">
        <v>0</v>
      </c>
      <c r="D51" s="12">
        <v>0.9</v>
      </c>
      <c r="E51" s="12">
        <f t="shared" si="0"/>
        <v>0.9</v>
      </c>
      <c r="F51" s="12">
        <v>1.24</v>
      </c>
      <c r="G51" s="12">
        <f t="shared" si="1"/>
        <v>1.1160000000000001</v>
      </c>
      <c r="H51" s="12">
        <v>1.1214999999999999</v>
      </c>
      <c r="I51" s="12">
        <f t="shared" si="2"/>
        <v>1.2515940000000001</v>
      </c>
      <c r="J51" s="12">
        <v>0.73999999999999899</v>
      </c>
      <c r="K51" s="12">
        <f t="shared" si="3"/>
        <v>1.9915939999999992</v>
      </c>
    </row>
    <row r="52" spans="3:11" ht="12.75" x14ac:dyDescent="0.2">
      <c r="C52" s="12">
        <v>0</v>
      </c>
      <c r="D52" s="12">
        <v>0.9</v>
      </c>
      <c r="E52" s="12">
        <f t="shared" si="0"/>
        <v>0.9</v>
      </c>
      <c r="F52" s="12">
        <v>1.24</v>
      </c>
      <c r="G52" s="12">
        <f t="shared" si="1"/>
        <v>1.1160000000000001</v>
      </c>
      <c r="H52" s="12">
        <v>1.1214999999999999</v>
      </c>
      <c r="I52" s="12">
        <f t="shared" si="2"/>
        <v>1.2515940000000001</v>
      </c>
      <c r="J52" s="12">
        <v>0.73999999999999899</v>
      </c>
      <c r="K52" s="12">
        <f t="shared" si="3"/>
        <v>1.9915939999999992</v>
      </c>
    </row>
    <row r="53" spans="3:11" ht="12.75" x14ac:dyDescent="0.2">
      <c r="C53" s="12">
        <v>0</v>
      </c>
      <c r="D53" s="12">
        <v>0.9</v>
      </c>
      <c r="E53" s="12">
        <f t="shared" si="0"/>
        <v>0.9</v>
      </c>
      <c r="F53" s="12">
        <v>1.24</v>
      </c>
      <c r="G53" s="12">
        <f t="shared" si="1"/>
        <v>1.1160000000000001</v>
      </c>
      <c r="H53" s="12">
        <v>1.1214999999999999</v>
      </c>
      <c r="I53" s="12">
        <f t="shared" si="2"/>
        <v>1.2515940000000001</v>
      </c>
      <c r="J53" s="12">
        <v>0.73999999999999899</v>
      </c>
      <c r="K53" s="12">
        <f t="shared" si="3"/>
        <v>1.9915939999999992</v>
      </c>
    </row>
    <row r="54" spans="3:11" ht="12.75" x14ac:dyDescent="0.2">
      <c r="C54" s="12">
        <v>0</v>
      </c>
      <c r="D54" s="12">
        <v>0.9</v>
      </c>
      <c r="E54" s="12">
        <f t="shared" si="0"/>
        <v>0.9</v>
      </c>
      <c r="F54" s="12">
        <v>1.24</v>
      </c>
      <c r="G54" s="12">
        <f t="shared" si="1"/>
        <v>1.1160000000000001</v>
      </c>
      <c r="H54" s="12">
        <v>1.1214999999999999</v>
      </c>
      <c r="I54" s="12">
        <f t="shared" si="2"/>
        <v>1.2515940000000001</v>
      </c>
      <c r="J54" s="12">
        <v>0.73999999999999899</v>
      </c>
      <c r="K54" s="12">
        <f t="shared" si="3"/>
        <v>1.9915939999999992</v>
      </c>
    </row>
    <row r="55" spans="3:11" ht="12.75" x14ac:dyDescent="0.2">
      <c r="C55" s="12">
        <v>0</v>
      </c>
      <c r="D55" s="12">
        <v>0.9</v>
      </c>
      <c r="E55" s="12">
        <f t="shared" si="0"/>
        <v>0.9</v>
      </c>
      <c r="F55" s="12">
        <v>1.24</v>
      </c>
      <c r="G55" s="12">
        <f t="shared" si="1"/>
        <v>1.1160000000000001</v>
      </c>
      <c r="H55" s="12">
        <v>1.1214999999999999</v>
      </c>
      <c r="I55" s="12">
        <f t="shared" si="2"/>
        <v>1.2515940000000001</v>
      </c>
      <c r="J55" s="12">
        <v>0.73999999999999899</v>
      </c>
      <c r="K55" s="12">
        <f t="shared" si="3"/>
        <v>1.9915939999999992</v>
      </c>
    </row>
    <row r="56" spans="3:11" ht="12.75" x14ac:dyDescent="0.2">
      <c r="C56" s="12">
        <v>0</v>
      </c>
      <c r="D56" s="12">
        <v>0.9</v>
      </c>
      <c r="E56" s="12">
        <f t="shared" si="0"/>
        <v>0.9</v>
      </c>
      <c r="F56" s="12">
        <v>1.24</v>
      </c>
      <c r="G56" s="12">
        <f t="shared" si="1"/>
        <v>1.1160000000000001</v>
      </c>
      <c r="H56" s="12">
        <v>1.1214999999999999</v>
      </c>
      <c r="I56" s="12">
        <f t="shared" si="2"/>
        <v>1.2515940000000001</v>
      </c>
      <c r="J56" s="12">
        <v>0.73999999999999899</v>
      </c>
      <c r="K56" s="12">
        <f t="shared" si="3"/>
        <v>1.9915939999999992</v>
      </c>
    </row>
    <row r="57" spans="3:11" ht="12.75" x14ac:dyDescent="0.2">
      <c r="C57" s="12">
        <v>0</v>
      </c>
      <c r="D57" s="12">
        <v>0.9</v>
      </c>
      <c r="E57" s="12">
        <f t="shared" si="0"/>
        <v>0.9</v>
      </c>
      <c r="F57" s="12">
        <v>1.24</v>
      </c>
      <c r="G57" s="12">
        <f t="shared" si="1"/>
        <v>1.1160000000000001</v>
      </c>
      <c r="H57" s="12">
        <v>1.1214999999999999</v>
      </c>
      <c r="I57" s="12">
        <f t="shared" si="2"/>
        <v>1.2515940000000001</v>
      </c>
      <c r="J57" s="12">
        <v>0.73999999999999899</v>
      </c>
      <c r="K57" s="12">
        <f t="shared" si="3"/>
        <v>1.9915939999999992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2:L26"/>
  <sheetViews>
    <sheetView workbookViewId="0"/>
  </sheetViews>
  <sheetFormatPr defaultColWidth="12.5703125" defaultRowHeight="15.75" customHeight="1" x14ac:dyDescent="0.2"/>
  <cols>
    <col min="1" max="1" width="14.42578125" customWidth="1"/>
    <col min="2" max="2" width="14.85546875" customWidth="1"/>
    <col min="3" max="3" width="7.7109375" customWidth="1"/>
  </cols>
  <sheetData>
    <row r="2" spans="1:12" x14ac:dyDescent="0.2">
      <c r="A2" s="6" t="s">
        <v>1939</v>
      </c>
      <c r="B2" s="6">
        <v>8809340384465</v>
      </c>
      <c r="C2" s="15">
        <v>12.12</v>
      </c>
      <c r="D2" s="15">
        <v>0.9</v>
      </c>
      <c r="E2" s="15">
        <f t="shared" ref="E2:E26" si="0">SUM(C2)+D2</f>
        <v>13.02</v>
      </c>
      <c r="F2" s="15">
        <v>1.24</v>
      </c>
      <c r="G2" s="15">
        <f t="shared" ref="G2:G26" si="1">SUM(E2)*F2</f>
        <v>16.1448</v>
      </c>
      <c r="H2" s="15">
        <v>1.1214999999999999</v>
      </c>
      <c r="I2" s="15">
        <f t="shared" ref="I2:I26" si="2">SUM(G2)*H2</f>
        <v>18.106393199999999</v>
      </c>
      <c r="J2" s="15">
        <v>0.73999999999999899</v>
      </c>
      <c r="K2" s="15">
        <f t="shared" ref="K2:K26" si="3">SUM(I2)+J2</f>
        <v>18.846393199999998</v>
      </c>
      <c r="L2" s="12">
        <v>20.7</v>
      </c>
    </row>
    <row r="3" spans="1:12" x14ac:dyDescent="0.2">
      <c r="A3" s="6" t="s">
        <v>1940</v>
      </c>
      <c r="B3" s="6">
        <v>8809340386636</v>
      </c>
      <c r="C3" s="15">
        <v>12.65</v>
      </c>
      <c r="D3" s="15">
        <v>0.9</v>
      </c>
      <c r="E3" s="15">
        <f t="shared" si="0"/>
        <v>13.55</v>
      </c>
      <c r="F3" s="15">
        <v>1.24</v>
      </c>
      <c r="G3" s="15">
        <f t="shared" si="1"/>
        <v>16.802</v>
      </c>
      <c r="H3" s="15">
        <v>1.1214999999999999</v>
      </c>
      <c r="I3" s="15">
        <f t="shared" si="2"/>
        <v>18.843442999999997</v>
      </c>
      <c r="J3" s="15">
        <v>0.73999999999999899</v>
      </c>
      <c r="K3" s="15">
        <f t="shared" si="3"/>
        <v>19.583442999999995</v>
      </c>
      <c r="L3" s="12">
        <v>21.6</v>
      </c>
    </row>
    <row r="4" spans="1:12" x14ac:dyDescent="0.2">
      <c r="A4" s="6" t="s">
        <v>1941</v>
      </c>
      <c r="B4" s="6">
        <v>8809340384168</v>
      </c>
      <c r="C4" s="15">
        <v>9.48</v>
      </c>
      <c r="D4" s="15">
        <v>0.9</v>
      </c>
      <c r="E4" s="15">
        <f t="shared" si="0"/>
        <v>10.38</v>
      </c>
      <c r="F4" s="15">
        <v>1.24</v>
      </c>
      <c r="G4" s="15">
        <f t="shared" si="1"/>
        <v>12.871200000000002</v>
      </c>
      <c r="H4" s="15">
        <v>1.1214999999999999</v>
      </c>
      <c r="I4" s="15">
        <f t="shared" si="2"/>
        <v>14.435050800000001</v>
      </c>
      <c r="J4" s="15">
        <v>0.73999999999999899</v>
      </c>
      <c r="K4" s="15">
        <f t="shared" si="3"/>
        <v>15.175050799999999</v>
      </c>
      <c r="L4" s="12">
        <v>16.2</v>
      </c>
    </row>
    <row r="5" spans="1:12" x14ac:dyDescent="0.2">
      <c r="A5" s="6" t="s">
        <v>1942</v>
      </c>
      <c r="B5" s="6">
        <v>8809340385769</v>
      </c>
      <c r="C5" s="15">
        <v>10.54</v>
      </c>
      <c r="D5" s="15">
        <v>0.9</v>
      </c>
      <c r="E5" s="15">
        <f t="shared" si="0"/>
        <v>11.44</v>
      </c>
      <c r="F5" s="15">
        <v>1.24</v>
      </c>
      <c r="G5" s="15">
        <f t="shared" si="1"/>
        <v>14.185599999999999</v>
      </c>
      <c r="H5" s="15">
        <v>1.1214999999999999</v>
      </c>
      <c r="I5" s="15">
        <f t="shared" si="2"/>
        <v>15.909150399999998</v>
      </c>
      <c r="J5" s="15">
        <v>1.49</v>
      </c>
      <c r="K5" s="15">
        <f t="shared" si="3"/>
        <v>17.399150399999996</v>
      </c>
      <c r="L5" s="12">
        <v>18</v>
      </c>
    </row>
    <row r="6" spans="1:12" x14ac:dyDescent="0.2">
      <c r="A6" s="6" t="s">
        <v>1943</v>
      </c>
      <c r="B6" s="6">
        <v>8809340386315</v>
      </c>
      <c r="C6" s="15">
        <v>15.28</v>
      </c>
      <c r="D6" s="15">
        <v>0.9</v>
      </c>
      <c r="E6" s="15">
        <f t="shared" si="0"/>
        <v>16.18</v>
      </c>
      <c r="F6" s="15">
        <v>1.24</v>
      </c>
      <c r="G6" s="15">
        <f t="shared" si="1"/>
        <v>20.063199999999998</v>
      </c>
      <c r="H6" s="15">
        <v>1.1214999999999999</v>
      </c>
      <c r="I6" s="15">
        <f t="shared" si="2"/>
        <v>22.500878799999995</v>
      </c>
      <c r="J6" s="15">
        <v>0.73999999999999899</v>
      </c>
      <c r="K6" s="15">
        <f t="shared" si="3"/>
        <v>23.240878799999994</v>
      </c>
      <c r="L6" s="12">
        <v>26.1</v>
      </c>
    </row>
    <row r="7" spans="1:12" x14ac:dyDescent="0.2">
      <c r="A7" s="6" t="s">
        <v>1944</v>
      </c>
      <c r="B7" s="6">
        <v>8809340384809</v>
      </c>
      <c r="C7" s="15">
        <v>13.7</v>
      </c>
      <c r="D7" s="15">
        <v>0.9</v>
      </c>
      <c r="E7" s="15">
        <f t="shared" si="0"/>
        <v>14.6</v>
      </c>
      <c r="F7" s="15">
        <v>1.24</v>
      </c>
      <c r="G7" s="15">
        <f t="shared" si="1"/>
        <v>18.103999999999999</v>
      </c>
      <c r="H7" s="15">
        <v>1.1214999999999999</v>
      </c>
      <c r="I7" s="15">
        <f t="shared" si="2"/>
        <v>20.303635999999997</v>
      </c>
      <c r="J7" s="15">
        <v>0.73999999999999899</v>
      </c>
      <c r="K7" s="15">
        <f t="shared" si="3"/>
        <v>21.043635999999996</v>
      </c>
      <c r="L7" s="12">
        <v>23.4</v>
      </c>
    </row>
    <row r="8" spans="1:12" x14ac:dyDescent="0.2">
      <c r="A8" s="6" t="s">
        <v>1945</v>
      </c>
      <c r="B8" s="6">
        <v>8809340384281</v>
      </c>
      <c r="C8" s="15">
        <v>12.12</v>
      </c>
      <c r="D8" s="15">
        <v>0.9</v>
      </c>
      <c r="E8" s="15">
        <f t="shared" si="0"/>
        <v>13.02</v>
      </c>
      <c r="F8" s="15">
        <v>1.24</v>
      </c>
      <c r="G8" s="15">
        <f t="shared" si="1"/>
        <v>16.1448</v>
      </c>
      <c r="H8" s="15">
        <v>1.1214999999999999</v>
      </c>
      <c r="I8" s="15">
        <f t="shared" si="2"/>
        <v>18.106393199999999</v>
      </c>
      <c r="J8" s="15">
        <v>0.73999999999999899</v>
      </c>
      <c r="K8" s="15">
        <f t="shared" si="3"/>
        <v>18.846393199999998</v>
      </c>
      <c r="L8" s="12">
        <v>20.7</v>
      </c>
    </row>
    <row r="9" spans="1:12" x14ac:dyDescent="0.2">
      <c r="A9" s="6" t="s">
        <v>1946</v>
      </c>
      <c r="B9" s="6">
        <v>8809340383406</v>
      </c>
      <c r="C9" s="15">
        <v>4.75</v>
      </c>
      <c r="D9" s="15">
        <v>0.9</v>
      </c>
      <c r="E9" s="15">
        <f t="shared" si="0"/>
        <v>5.65</v>
      </c>
      <c r="F9" s="15">
        <v>1.24</v>
      </c>
      <c r="G9" s="15">
        <f t="shared" si="1"/>
        <v>7.0060000000000002</v>
      </c>
      <c r="H9" s="15">
        <v>1.1214999999999999</v>
      </c>
      <c r="I9" s="15">
        <f t="shared" si="2"/>
        <v>7.8572290000000002</v>
      </c>
      <c r="J9" s="15">
        <v>0.73999999999999899</v>
      </c>
      <c r="K9" s="15">
        <f t="shared" si="3"/>
        <v>8.5972289999999987</v>
      </c>
      <c r="L9" s="12">
        <v>8.1</v>
      </c>
    </row>
    <row r="10" spans="1:12" x14ac:dyDescent="0.2">
      <c r="A10" s="6" t="s">
        <v>1947</v>
      </c>
      <c r="B10" s="6">
        <v>8809340384298</v>
      </c>
      <c r="C10" s="15">
        <v>12.12</v>
      </c>
      <c r="D10" s="15">
        <v>0.9</v>
      </c>
      <c r="E10" s="15">
        <f t="shared" si="0"/>
        <v>13.02</v>
      </c>
      <c r="F10" s="15">
        <v>1.24</v>
      </c>
      <c r="G10" s="15">
        <f t="shared" si="1"/>
        <v>16.1448</v>
      </c>
      <c r="H10" s="15">
        <v>1.1214999999999999</v>
      </c>
      <c r="I10" s="15">
        <f t="shared" si="2"/>
        <v>18.106393199999999</v>
      </c>
      <c r="J10" s="15">
        <v>0.73999999999999899</v>
      </c>
      <c r="K10" s="15">
        <f t="shared" si="3"/>
        <v>18.846393199999998</v>
      </c>
      <c r="L10" s="12">
        <v>20.7</v>
      </c>
    </row>
    <row r="11" spans="1:12" x14ac:dyDescent="0.2">
      <c r="A11" s="12" t="s">
        <v>1948</v>
      </c>
      <c r="B11" s="12">
        <v>8809736650099</v>
      </c>
      <c r="C11" s="15">
        <v>11.06</v>
      </c>
      <c r="D11" s="15">
        <v>0.9</v>
      </c>
      <c r="E11" s="15">
        <f t="shared" si="0"/>
        <v>11.96</v>
      </c>
      <c r="F11" s="15">
        <v>1.24</v>
      </c>
      <c r="G11" s="15">
        <f t="shared" si="1"/>
        <v>14.830400000000001</v>
      </c>
      <c r="H11" s="15">
        <v>1.1214999999999999</v>
      </c>
      <c r="I11" s="15">
        <f t="shared" si="2"/>
        <v>16.632293600000001</v>
      </c>
      <c r="J11" s="15">
        <v>0.73999999999999899</v>
      </c>
      <c r="K11" s="15">
        <f t="shared" si="3"/>
        <v>17.372293599999999</v>
      </c>
    </row>
    <row r="12" spans="1:12" x14ac:dyDescent="0.2">
      <c r="C12" s="15">
        <v>0</v>
      </c>
      <c r="D12" s="15">
        <v>0.9</v>
      </c>
      <c r="E12" s="15">
        <f t="shared" si="0"/>
        <v>0.9</v>
      </c>
      <c r="F12" s="15">
        <v>1.24</v>
      </c>
      <c r="G12" s="15">
        <f t="shared" si="1"/>
        <v>1.1160000000000001</v>
      </c>
      <c r="H12" s="15">
        <v>1.1214999999999999</v>
      </c>
      <c r="I12" s="15">
        <f t="shared" si="2"/>
        <v>1.2515940000000001</v>
      </c>
      <c r="J12" s="15">
        <v>0.73999999999999899</v>
      </c>
      <c r="K12" s="15">
        <f t="shared" si="3"/>
        <v>1.9915939999999992</v>
      </c>
    </row>
    <row r="13" spans="1:12" x14ac:dyDescent="0.2">
      <c r="C13" s="15">
        <v>0</v>
      </c>
      <c r="D13" s="15">
        <v>0.9</v>
      </c>
      <c r="E13" s="15">
        <f t="shared" si="0"/>
        <v>0.9</v>
      </c>
      <c r="F13" s="15">
        <v>1.24</v>
      </c>
      <c r="G13" s="15">
        <f t="shared" si="1"/>
        <v>1.1160000000000001</v>
      </c>
      <c r="H13" s="15">
        <v>1.1214999999999999</v>
      </c>
      <c r="I13" s="15">
        <f t="shared" si="2"/>
        <v>1.2515940000000001</v>
      </c>
      <c r="J13" s="15">
        <v>0.73999999999999899</v>
      </c>
      <c r="K13" s="15">
        <f t="shared" si="3"/>
        <v>1.9915939999999992</v>
      </c>
    </row>
    <row r="14" spans="1:12" x14ac:dyDescent="0.2">
      <c r="C14" s="15">
        <v>0</v>
      </c>
      <c r="D14" s="15">
        <v>0.9</v>
      </c>
      <c r="E14" s="15">
        <f t="shared" si="0"/>
        <v>0.9</v>
      </c>
      <c r="F14" s="15">
        <v>1.24</v>
      </c>
      <c r="G14" s="15">
        <f t="shared" si="1"/>
        <v>1.1160000000000001</v>
      </c>
      <c r="H14" s="15">
        <v>1.1214999999999999</v>
      </c>
      <c r="I14" s="15">
        <f t="shared" si="2"/>
        <v>1.2515940000000001</v>
      </c>
      <c r="J14" s="15">
        <v>0.73999999999999899</v>
      </c>
      <c r="K14" s="15">
        <f t="shared" si="3"/>
        <v>1.9915939999999992</v>
      </c>
    </row>
    <row r="15" spans="1:12" x14ac:dyDescent="0.2">
      <c r="C15" s="15">
        <v>0</v>
      </c>
      <c r="D15" s="15">
        <v>0.9</v>
      </c>
      <c r="E15" s="15">
        <f t="shared" si="0"/>
        <v>0.9</v>
      </c>
      <c r="F15" s="15">
        <v>1.24</v>
      </c>
      <c r="G15" s="15">
        <f t="shared" si="1"/>
        <v>1.1160000000000001</v>
      </c>
      <c r="H15" s="15">
        <v>1.1214999999999999</v>
      </c>
      <c r="I15" s="15">
        <f t="shared" si="2"/>
        <v>1.2515940000000001</v>
      </c>
      <c r="J15" s="15">
        <v>0.73999999999999899</v>
      </c>
      <c r="K15" s="15">
        <f t="shared" si="3"/>
        <v>1.9915939999999992</v>
      </c>
    </row>
    <row r="16" spans="1:12" x14ac:dyDescent="0.2">
      <c r="C16" s="15">
        <v>0</v>
      </c>
      <c r="D16" s="15">
        <v>0.9</v>
      </c>
      <c r="E16" s="15">
        <f t="shared" si="0"/>
        <v>0.9</v>
      </c>
      <c r="F16" s="15">
        <v>1.24</v>
      </c>
      <c r="G16" s="15">
        <f t="shared" si="1"/>
        <v>1.1160000000000001</v>
      </c>
      <c r="H16" s="15">
        <v>1.1214999999999999</v>
      </c>
      <c r="I16" s="15">
        <f t="shared" si="2"/>
        <v>1.2515940000000001</v>
      </c>
      <c r="J16" s="15">
        <v>0.73999999999999899</v>
      </c>
      <c r="K16" s="15">
        <f t="shared" si="3"/>
        <v>1.9915939999999992</v>
      </c>
    </row>
    <row r="17" spans="3:11" x14ac:dyDescent="0.2">
      <c r="C17" s="15">
        <v>0</v>
      </c>
      <c r="D17" s="15">
        <v>0.9</v>
      </c>
      <c r="E17" s="15">
        <f t="shared" si="0"/>
        <v>0.9</v>
      </c>
      <c r="F17" s="15">
        <v>1.24</v>
      </c>
      <c r="G17" s="15">
        <f t="shared" si="1"/>
        <v>1.1160000000000001</v>
      </c>
      <c r="H17" s="15">
        <v>1.1214999999999999</v>
      </c>
      <c r="I17" s="15">
        <f t="shared" si="2"/>
        <v>1.2515940000000001</v>
      </c>
      <c r="J17" s="15">
        <v>0.73999999999999899</v>
      </c>
      <c r="K17" s="15">
        <f t="shared" si="3"/>
        <v>1.9915939999999992</v>
      </c>
    </row>
    <row r="18" spans="3:11" x14ac:dyDescent="0.2">
      <c r="C18" s="15">
        <v>0</v>
      </c>
      <c r="D18" s="15">
        <v>0.9</v>
      </c>
      <c r="E18" s="15">
        <f t="shared" si="0"/>
        <v>0.9</v>
      </c>
      <c r="F18" s="15">
        <v>1.24</v>
      </c>
      <c r="G18" s="15">
        <f t="shared" si="1"/>
        <v>1.1160000000000001</v>
      </c>
      <c r="H18" s="15">
        <v>1.1214999999999999</v>
      </c>
      <c r="I18" s="15">
        <f t="shared" si="2"/>
        <v>1.2515940000000001</v>
      </c>
      <c r="J18" s="15">
        <v>0.73999999999999899</v>
      </c>
      <c r="K18" s="15">
        <f t="shared" si="3"/>
        <v>1.9915939999999992</v>
      </c>
    </row>
    <row r="19" spans="3:11" x14ac:dyDescent="0.2">
      <c r="C19" s="15">
        <v>0</v>
      </c>
      <c r="D19" s="15">
        <v>0.9</v>
      </c>
      <c r="E19" s="15">
        <f t="shared" si="0"/>
        <v>0.9</v>
      </c>
      <c r="F19" s="15">
        <v>1.24</v>
      </c>
      <c r="G19" s="15">
        <f t="shared" si="1"/>
        <v>1.1160000000000001</v>
      </c>
      <c r="H19" s="15">
        <v>1.1214999999999999</v>
      </c>
      <c r="I19" s="15">
        <f t="shared" si="2"/>
        <v>1.2515940000000001</v>
      </c>
      <c r="J19" s="15">
        <v>0.73999999999999899</v>
      </c>
      <c r="K19" s="15">
        <f t="shared" si="3"/>
        <v>1.9915939999999992</v>
      </c>
    </row>
    <row r="20" spans="3:11" x14ac:dyDescent="0.2">
      <c r="C20" s="15">
        <v>0</v>
      </c>
      <c r="D20" s="15">
        <v>0.9</v>
      </c>
      <c r="E20" s="15">
        <f t="shared" si="0"/>
        <v>0.9</v>
      </c>
      <c r="F20" s="15">
        <v>1.24</v>
      </c>
      <c r="G20" s="15">
        <f t="shared" si="1"/>
        <v>1.1160000000000001</v>
      </c>
      <c r="H20" s="15">
        <v>1.1214999999999999</v>
      </c>
      <c r="I20" s="15">
        <f t="shared" si="2"/>
        <v>1.2515940000000001</v>
      </c>
      <c r="J20" s="15">
        <v>0.73999999999999899</v>
      </c>
      <c r="K20" s="15">
        <f t="shared" si="3"/>
        <v>1.9915939999999992</v>
      </c>
    </row>
    <row r="21" spans="3:11" x14ac:dyDescent="0.2">
      <c r="C21" s="15">
        <v>0</v>
      </c>
      <c r="D21" s="15">
        <v>0.9</v>
      </c>
      <c r="E21" s="15">
        <f t="shared" si="0"/>
        <v>0.9</v>
      </c>
      <c r="F21" s="15">
        <v>1.24</v>
      </c>
      <c r="G21" s="15">
        <f t="shared" si="1"/>
        <v>1.1160000000000001</v>
      </c>
      <c r="H21" s="15">
        <v>1.1214999999999999</v>
      </c>
      <c r="I21" s="15">
        <f t="shared" si="2"/>
        <v>1.2515940000000001</v>
      </c>
      <c r="J21" s="15">
        <v>0.73999999999999899</v>
      </c>
      <c r="K21" s="15">
        <f t="shared" si="3"/>
        <v>1.9915939999999992</v>
      </c>
    </row>
    <row r="22" spans="3:11" x14ac:dyDescent="0.2">
      <c r="C22" s="15">
        <v>0</v>
      </c>
      <c r="D22" s="15">
        <v>0.9</v>
      </c>
      <c r="E22" s="15">
        <f t="shared" si="0"/>
        <v>0.9</v>
      </c>
      <c r="F22" s="15">
        <v>1.24</v>
      </c>
      <c r="G22" s="15">
        <f t="shared" si="1"/>
        <v>1.1160000000000001</v>
      </c>
      <c r="H22" s="15">
        <v>1.1214999999999999</v>
      </c>
      <c r="I22" s="15">
        <f t="shared" si="2"/>
        <v>1.2515940000000001</v>
      </c>
      <c r="J22" s="15">
        <v>0.73999999999999899</v>
      </c>
      <c r="K22" s="15">
        <f t="shared" si="3"/>
        <v>1.9915939999999992</v>
      </c>
    </row>
    <row r="23" spans="3:11" x14ac:dyDescent="0.2">
      <c r="C23" s="15">
        <v>0</v>
      </c>
      <c r="D23" s="15">
        <v>0.9</v>
      </c>
      <c r="E23" s="15">
        <f t="shared" si="0"/>
        <v>0.9</v>
      </c>
      <c r="F23" s="15">
        <v>1.24</v>
      </c>
      <c r="G23" s="15">
        <f t="shared" si="1"/>
        <v>1.1160000000000001</v>
      </c>
      <c r="H23" s="15">
        <v>1.1214999999999999</v>
      </c>
      <c r="I23" s="15">
        <f t="shared" si="2"/>
        <v>1.2515940000000001</v>
      </c>
      <c r="J23" s="15">
        <v>0.73999999999999899</v>
      </c>
      <c r="K23" s="15">
        <f t="shared" si="3"/>
        <v>1.9915939999999992</v>
      </c>
    </row>
    <row r="24" spans="3:11" x14ac:dyDescent="0.2">
      <c r="C24" s="15">
        <v>0</v>
      </c>
      <c r="D24" s="15">
        <v>0.9</v>
      </c>
      <c r="E24" s="15">
        <f t="shared" si="0"/>
        <v>0.9</v>
      </c>
      <c r="F24" s="15">
        <v>1.24</v>
      </c>
      <c r="G24" s="15">
        <f t="shared" si="1"/>
        <v>1.1160000000000001</v>
      </c>
      <c r="H24" s="15">
        <v>1.1214999999999999</v>
      </c>
      <c r="I24" s="15">
        <f t="shared" si="2"/>
        <v>1.2515940000000001</v>
      </c>
      <c r="J24" s="15">
        <v>0.73999999999999899</v>
      </c>
      <c r="K24" s="15">
        <f t="shared" si="3"/>
        <v>1.9915939999999992</v>
      </c>
    </row>
    <row r="25" spans="3:11" x14ac:dyDescent="0.2">
      <c r="C25" s="15">
        <v>0</v>
      </c>
      <c r="D25" s="15">
        <v>0.9</v>
      </c>
      <c r="E25" s="15">
        <f t="shared" si="0"/>
        <v>0.9</v>
      </c>
      <c r="F25" s="15">
        <v>1.24</v>
      </c>
      <c r="G25" s="15">
        <f t="shared" si="1"/>
        <v>1.1160000000000001</v>
      </c>
      <c r="H25" s="15">
        <v>1.1214999999999999</v>
      </c>
      <c r="I25" s="15">
        <f t="shared" si="2"/>
        <v>1.2515940000000001</v>
      </c>
      <c r="J25" s="15">
        <v>0.73999999999999899</v>
      </c>
      <c r="K25" s="15">
        <f t="shared" si="3"/>
        <v>1.9915939999999992</v>
      </c>
    </row>
    <row r="26" spans="3:11" x14ac:dyDescent="0.2">
      <c r="C26" s="15">
        <v>0</v>
      </c>
      <c r="D26" s="15">
        <v>0.9</v>
      </c>
      <c r="E26" s="15">
        <f t="shared" si="0"/>
        <v>0.9</v>
      </c>
      <c r="F26" s="15">
        <v>1.24</v>
      </c>
      <c r="G26" s="15">
        <f t="shared" si="1"/>
        <v>1.1160000000000001</v>
      </c>
      <c r="H26" s="15">
        <v>1.1214999999999999</v>
      </c>
      <c r="I26" s="15">
        <f t="shared" si="2"/>
        <v>1.2515940000000001</v>
      </c>
      <c r="J26" s="15">
        <v>0.73999999999999899</v>
      </c>
      <c r="K26" s="15">
        <f t="shared" si="3"/>
        <v>1.9915939999999992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EB523-52E4-402D-9832-7C95D4F53DA4}">
  <sheetPr>
    <tabColor rgb="FF92D050"/>
  </sheetPr>
  <dimension ref="A1:O50"/>
  <sheetViews>
    <sheetView workbookViewId="0">
      <selection sqref="A1:O2"/>
    </sheetView>
  </sheetViews>
  <sheetFormatPr defaultRowHeight="12.75" x14ac:dyDescent="0.2"/>
  <cols>
    <col min="1" max="1" width="51.5703125" customWidth="1"/>
    <col min="2" max="2" width="33.140625" style="73" bestFit="1" customWidth="1"/>
    <col min="3" max="3" width="19.5703125" customWidth="1"/>
  </cols>
  <sheetData>
    <row r="1" spans="1:15" ht="21" x14ac:dyDescent="0.35">
      <c r="A1" s="55"/>
      <c r="B1" s="56"/>
      <c r="C1" s="55" t="s">
        <v>314</v>
      </c>
      <c r="D1" s="55" t="s">
        <v>315</v>
      </c>
      <c r="E1" s="57" t="s">
        <v>316</v>
      </c>
      <c r="F1" s="55" t="s">
        <v>317</v>
      </c>
      <c r="G1" s="55" t="s">
        <v>2086</v>
      </c>
      <c r="H1" s="55" t="s">
        <v>318</v>
      </c>
      <c r="I1" s="55" t="s">
        <v>319</v>
      </c>
      <c r="J1" s="58" t="s">
        <v>320</v>
      </c>
      <c r="K1" s="58" t="s">
        <v>2087</v>
      </c>
      <c r="L1" s="55" t="s">
        <v>321</v>
      </c>
      <c r="M1" s="55" t="s">
        <v>322</v>
      </c>
      <c r="N1" s="55" t="s">
        <v>323</v>
      </c>
      <c r="O1" s="55"/>
    </row>
    <row r="2" spans="1:15" ht="15" x14ac:dyDescent="0.25">
      <c r="A2" s="6" t="s">
        <v>1961</v>
      </c>
      <c r="B2" s="6" t="s">
        <v>1962</v>
      </c>
      <c r="C2" s="11">
        <v>6.02</v>
      </c>
      <c r="D2" s="11">
        <v>0.45</v>
      </c>
      <c r="E2" s="45" t="e">
        <f>IFERROR(
_xlfn.XLOOKUP(
B2,#REF!,#REF!
),
_xlfn.XLOOKUP(
A2,#REF!,#REF!
)
)</f>
        <v>#REF!</v>
      </c>
      <c r="F2" s="11" t="str">
        <f>IFERROR(
VLOOKUP(
B2,#REF!,
6,
FALSE
),
""
)</f>
        <v/>
      </c>
      <c r="G2" s="11">
        <v>0</v>
      </c>
      <c r="H2" s="11">
        <v>24</v>
      </c>
      <c r="I2" s="46" t="e">
        <f t="shared" ref="I2:I50" si="0">C2+D2+E2</f>
        <v>#REF!</v>
      </c>
      <c r="J2" s="10" t="e">
        <f>(I2+G2) / (1 - F2/100 - (1 - 1/(1 + H2/100)))</f>
        <v>#REF!</v>
      </c>
      <c r="K2" s="10"/>
      <c r="L2" s="11" t="e">
        <f t="shared" ref="L2:L50" si="1">J2 * F2 / 100</f>
        <v>#REF!</v>
      </c>
      <c r="M2" s="11" t="e">
        <f t="shared" ref="M2:M50" si="2">J2 - (J2 / (1 + H2/100))</f>
        <v>#REF!</v>
      </c>
      <c r="N2" s="11" t="e">
        <f t="shared" ref="N2:N50" si="3">J2 - L2 - M2</f>
        <v>#REF!</v>
      </c>
      <c r="O2" s="11"/>
    </row>
    <row r="3" spans="1:15" ht="15" x14ac:dyDescent="0.25">
      <c r="A3" s="6" t="s">
        <v>174</v>
      </c>
      <c r="B3" s="6" t="s">
        <v>1963</v>
      </c>
      <c r="C3" s="9">
        <v>6.02</v>
      </c>
      <c r="D3" s="9">
        <v>0.45</v>
      </c>
      <c r="E3" s="45" t="e">
        <f>IFERROR(
_xlfn.XLOOKUP(
B3,#REF!,#REF!
),
_xlfn.XLOOKUP(
A3,#REF!,#REF!
)
)</f>
        <v>#REF!</v>
      </c>
      <c r="F3" s="11" t="str">
        <f>IFERROR(
VLOOKUP(
B3,#REF!,
6,
FALSE
),
""
)</f>
        <v/>
      </c>
      <c r="G3" s="11">
        <v>0</v>
      </c>
      <c r="H3" s="9">
        <v>24</v>
      </c>
      <c r="I3" s="47" t="e">
        <f t="shared" si="0"/>
        <v>#REF!</v>
      </c>
      <c r="J3" s="10" t="e">
        <f t="shared" ref="J3:J50" si="4">(I3+G3) / (1 - F3/100 - (1 - 1/(1 + H3/100)))</f>
        <v>#REF!</v>
      </c>
      <c r="K3" s="10"/>
      <c r="L3" s="9" t="e">
        <f t="shared" si="1"/>
        <v>#REF!</v>
      </c>
      <c r="M3" s="9" t="e">
        <f t="shared" si="2"/>
        <v>#REF!</v>
      </c>
      <c r="N3" s="9" t="e">
        <f t="shared" si="3"/>
        <v>#REF!</v>
      </c>
      <c r="O3" s="9"/>
    </row>
    <row r="4" spans="1:15" ht="15" x14ac:dyDescent="0.25">
      <c r="A4" s="6" t="s">
        <v>131</v>
      </c>
      <c r="B4" s="6" t="s">
        <v>132</v>
      </c>
      <c r="C4" s="9">
        <v>6.09</v>
      </c>
      <c r="D4" s="11">
        <v>0.4</v>
      </c>
      <c r="E4" s="45" t="e">
        <f>IFERROR(
_xlfn.XLOOKUP(
B4,#REF!,#REF!
),
_xlfn.XLOOKUP(
A4,#REF!,#REF!
)
)</f>
        <v>#REF!</v>
      </c>
      <c r="F4" s="11" t="str">
        <f>IFERROR(
VLOOKUP(
B4,#REF!,
6,
FALSE
),
""
)</f>
        <v/>
      </c>
      <c r="G4" s="11"/>
      <c r="H4" s="11">
        <v>24</v>
      </c>
      <c r="I4" s="46" t="e">
        <f t="shared" si="0"/>
        <v>#REF!</v>
      </c>
      <c r="J4" s="10" t="e">
        <f t="shared" si="4"/>
        <v>#REF!</v>
      </c>
      <c r="K4" s="10"/>
      <c r="L4" s="11" t="e">
        <f t="shared" si="1"/>
        <v>#REF!</v>
      </c>
      <c r="M4" s="11" t="e">
        <f t="shared" si="2"/>
        <v>#REF!</v>
      </c>
      <c r="N4" s="11" t="e">
        <f t="shared" si="3"/>
        <v>#REF!</v>
      </c>
      <c r="O4" s="11"/>
    </row>
    <row r="5" spans="1:15" ht="15" x14ac:dyDescent="0.25">
      <c r="A5" s="6" t="s">
        <v>1964</v>
      </c>
      <c r="B5" s="74" t="s">
        <v>1965</v>
      </c>
      <c r="C5" s="9">
        <v>7.63</v>
      </c>
      <c r="D5" s="9">
        <v>0.6</v>
      </c>
      <c r="E5" s="45" t="e">
        <f>IFERROR(
_xlfn.XLOOKUP(
B5,#REF!,#REF!
),
_xlfn.XLOOKUP(
A5,#REF!,#REF!
)
)</f>
        <v>#REF!</v>
      </c>
      <c r="F5" s="11" t="str">
        <f>IFERROR(
VLOOKUP(
B5,#REF!,
6,
FALSE
),
""
)</f>
        <v/>
      </c>
      <c r="G5" s="11"/>
      <c r="H5" s="9">
        <v>24</v>
      </c>
      <c r="I5" s="47" t="e">
        <f t="shared" si="0"/>
        <v>#REF!</v>
      </c>
      <c r="J5" s="10" t="e">
        <f t="shared" si="4"/>
        <v>#REF!</v>
      </c>
      <c r="K5" s="10"/>
      <c r="L5" s="9" t="e">
        <f t="shared" si="1"/>
        <v>#REF!</v>
      </c>
      <c r="M5" s="9" t="e">
        <f t="shared" si="2"/>
        <v>#REF!</v>
      </c>
      <c r="N5" s="9" t="e">
        <f t="shared" si="3"/>
        <v>#REF!</v>
      </c>
      <c r="O5" s="9"/>
    </row>
    <row r="6" spans="1:15" ht="15" x14ac:dyDescent="0.25">
      <c r="A6" s="6" t="s">
        <v>1966</v>
      </c>
      <c r="B6" s="74" t="s">
        <v>1967</v>
      </c>
      <c r="C6" s="9">
        <v>7.35</v>
      </c>
      <c r="D6" s="11">
        <v>0.9</v>
      </c>
      <c r="E6" s="45" t="e">
        <f>IFERROR(
_xlfn.XLOOKUP(
B6,#REF!,#REF!
),
_xlfn.XLOOKUP(
A6,#REF!,#REF!
)
)</f>
        <v>#REF!</v>
      </c>
      <c r="F6" s="11" t="str">
        <f>IFERROR(
VLOOKUP(
B6,#REF!,
6,
FALSE
),
""
)</f>
        <v/>
      </c>
      <c r="G6" s="11"/>
      <c r="H6" s="11">
        <v>24</v>
      </c>
      <c r="I6" s="46" t="e">
        <f t="shared" si="0"/>
        <v>#REF!</v>
      </c>
      <c r="J6" s="10" t="e">
        <f t="shared" si="4"/>
        <v>#REF!</v>
      </c>
      <c r="K6" s="10"/>
      <c r="L6" s="11" t="e">
        <f t="shared" si="1"/>
        <v>#REF!</v>
      </c>
      <c r="M6" s="11" t="e">
        <f t="shared" si="2"/>
        <v>#REF!</v>
      </c>
      <c r="N6" s="11" t="e">
        <f t="shared" si="3"/>
        <v>#REF!</v>
      </c>
      <c r="O6" s="11"/>
    </row>
    <row r="7" spans="1:15" ht="15" x14ac:dyDescent="0.25">
      <c r="A7" s="6" t="s">
        <v>1968</v>
      </c>
      <c r="B7" s="74" t="s">
        <v>1969</v>
      </c>
      <c r="C7" s="9">
        <v>5.25</v>
      </c>
      <c r="D7" s="9">
        <v>0.9</v>
      </c>
      <c r="E7" s="45" t="e">
        <f>IFERROR(
_xlfn.XLOOKUP(
B7,#REF!,#REF!
),
_xlfn.XLOOKUP(
A7,#REF!,#REF!
)
)</f>
        <v>#REF!</v>
      </c>
      <c r="F7" s="11" t="str">
        <f>IFERROR(
VLOOKUP(
B7,#REF!,
6,
FALSE
),
""
)</f>
        <v/>
      </c>
      <c r="G7" s="11"/>
      <c r="H7" s="9">
        <v>24</v>
      </c>
      <c r="I7" s="47" t="e">
        <f t="shared" si="0"/>
        <v>#REF!</v>
      </c>
      <c r="J7" s="10" t="e">
        <f t="shared" si="4"/>
        <v>#REF!</v>
      </c>
      <c r="K7" s="10"/>
      <c r="L7" s="9" t="e">
        <f t="shared" si="1"/>
        <v>#REF!</v>
      </c>
      <c r="M7" s="9" t="e">
        <f t="shared" si="2"/>
        <v>#REF!</v>
      </c>
      <c r="N7" s="9" t="e">
        <f t="shared" si="3"/>
        <v>#REF!</v>
      </c>
      <c r="O7" s="9"/>
    </row>
    <row r="8" spans="1:15" ht="15" x14ac:dyDescent="0.25">
      <c r="A8" s="6" t="s">
        <v>176</v>
      </c>
      <c r="B8" s="74" t="s">
        <v>1970</v>
      </c>
      <c r="C8" s="9">
        <v>6.34</v>
      </c>
      <c r="D8" s="11">
        <v>0.3</v>
      </c>
      <c r="E8" s="45" t="e">
        <f>IFERROR(
_xlfn.XLOOKUP(
B8,#REF!,#REF!
),
_xlfn.XLOOKUP(
A8,#REF!,#REF!
)
)</f>
        <v>#REF!</v>
      </c>
      <c r="F8" s="11" t="str">
        <f>IFERROR(
VLOOKUP(
B8,#REF!,
6,
FALSE
),
""
)</f>
        <v/>
      </c>
      <c r="G8" s="11"/>
      <c r="H8" s="11">
        <v>24</v>
      </c>
      <c r="I8" s="46" t="e">
        <f t="shared" si="0"/>
        <v>#REF!</v>
      </c>
      <c r="J8" s="10" t="e">
        <f t="shared" si="4"/>
        <v>#REF!</v>
      </c>
      <c r="K8" s="10"/>
      <c r="L8" s="11" t="e">
        <f t="shared" si="1"/>
        <v>#REF!</v>
      </c>
      <c r="M8" s="11" t="e">
        <f t="shared" si="2"/>
        <v>#REF!</v>
      </c>
      <c r="N8" s="11" t="e">
        <f t="shared" si="3"/>
        <v>#REF!</v>
      </c>
      <c r="O8" s="11"/>
    </row>
    <row r="9" spans="1:15" ht="15" x14ac:dyDescent="0.25">
      <c r="A9" s="6" t="s">
        <v>175</v>
      </c>
      <c r="B9" s="74" t="s">
        <v>1956</v>
      </c>
      <c r="C9" s="9">
        <v>6.34</v>
      </c>
      <c r="D9" s="9">
        <v>0.3</v>
      </c>
      <c r="E9" s="45" t="e">
        <f>IFERROR(
_xlfn.XLOOKUP(
B9,#REF!,#REF!
),
_xlfn.XLOOKUP(
A9,#REF!,#REF!
)
)</f>
        <v>#REF!</v>
      </c>
      <c r="F9" s="11" t="str">
        <f>IFERROR(
VLOOKUP(
B9,#REF!,
6,
FALSE
),
""
)</f>
        <v/>
      </c>
      <c r="G9" s="11"/>
      <c r="H9" s="9">
        <v>24</v>
      </c>
      <c r="I9" s="47" t="e">
        <f t="shared" si="0"/>
        <v>#REF!</v>
      </c>
      <c r="J9" s="10" t="e">
        <f t="shared" si="4"/>
        <v>#REF!</v>
      </c>
      <c r="K9" s="10"/>
      <c r="L9" s="9" t="e">
        <f t="shared" si="1"/>
        <v>#REF!</v>
      </c>
      <c r="M9" s="9" t="e">
        <f t="shared" si="2"/>
        <v>#REF!</v>
      </c>
      <c r="N9" s="9" t="e">
        <f t="shared" si="3"/>
        <v>#REF!</v>
      </c>
      <c r="O9" s="9"/>
    </row>
    <row r="10" spans="1:15" ht="15" x14ac:dyDescent="0.25">
      <c r="A10" s="6" t="s">
        <v>1971</v>
      </c>
      <c r="B10" s="71" t="s">
        <v>1972</v>
      </c>
      <c r="C10" s="9">
        <v>5.01</v>
      </c>
      <c r="D10" s="11">
        <v>0.9</v>
      </c>
      <c r="E10" s="45" t="e">
        <f>IFERROR(
_xlfn.XLOOKUP(
B10,#REF!,#REF!
),
_xlfn.XLOOKUP(
A10,#REF!,#REF!
)
)</f>
        <v>#REF!</v>
      </c>
      <c r="F10" s="11" t="str">
        <f>IFERROR(
VLOOKUP(
B10,#REF!,
6,
FALSE
),
""
)</f>
        <v/>
      </c>
      <c r="G10" s="11"/>
      <c r="H10" s="11">
        <v>24</v>
      </c>
      <c r="I10" s="46" t="e">
        <f t="shared" si="0"/>
        <v>#REF!</v>
      </c>
      <c r="J10" s="10" t="e">
        <f t="shared" si="4"/>
        <v>#REF!</v>
      </c>
      <c r="K10" s="10"/>
      <c r="L10" s="11" t="e">
        <f t="shared" si="1"/>
        <v>#REF!</v>
      </c>
      <c r="M10" s="11" t="e">
        <f t="shared" si="2"/>
        <v>#REF!</v>
      </c>
      <c r="N10" s="11" t="e">
        <f t="shared" si="3"/>
        <v>#REF!</v>
      </c>
      <c r="O10" s="11"/>
    </row>
    <row r="11" spans="1:15" ht="15" x14ac:dyDescent="0.25">
      <c r="A11" s="6" t="s">
        <v>1973</v>
      </c>
      <c r="B11" s="74" t="s">
        <v>1974</v>
      </c>
      <c r="C11" s="9">
        <v>9.67</v>
      </c>
      <c r="D11" s="9">
        <v>0.3</v>
      </c>
      <c r="E11" s="45" t="e">
        <f>IFERROR(
_xlfn.XLOOKUP(
B11,#REF!,#REF!
),
_xlfn.XLOOKUP(
A11,#REF!,#REF!
)
)</f>
        <v>#REF!</v>
      </c>
      <c r="F11" s="11" t="str">
        <f>IFERROR(
VLOOKUP(
B11,#REF!,
6,
FALSE
),
""
)</f>
        <v/>
      </c>
      <c r="G11" s="11"/>
      <c r="H11" s="9">
        <v>24</v>
      </c>
      <c r="I11" s="47" t="e">
        <f t="shared" si="0"/>
        <v>#REF!</v>
      </c>
      <c r="J11" s="10" t="e">
        <f t="shared" si="4"/>
        <v>#REF!</v>
      </c>
      <c r="K11" s="10"/>
      <c r="L11" s="9" t="e">
        <f t="shared" si="1"/>
        <v>#REF!</v>
      </c>
      <c r="M11" s="9" t="e">
        <f t="shared" si="2"/>
        <v>#REF!</v>
      </c>
      <c r="N11" s="9" t="e">
        <f t="shared" si="3"/>
        <v>#REF!</v>
      </c>
      <c r="O11" s="9"/>
    </row>
    <row r="12" spans="1:15" ht="15" x14ac:dyDescent="0.25">
      <c r="A12" s="6" t="s">
        <v>1975</v>
      </c>
      <c r="B12" s="74" t="s">
        <v>1976</v>
      </c>
      <c r="C12" s="9">
        <v>10.36</v>
      </c>
      <c r="D12" s="11">
        <v>0.9</v>
      </c>
      <c r="E12" s="45" t="e">
        <f>IFERROR(
_xlfn.XLOOKUP(
B12,#REF!,#REF!
),
_xlfn.XLOOKUP(
A12,#REF!,#REF!
)
)</f>
        <v>#REF!</v>
      </c>
      <c r="F12" s="11" t="str">
        <f>IFERROR(
VLOOKUP(
B12,#REF!,
6,
FALSE
),
""
)</f>
        <v/>
      </c>
      <c r="G12" s="11"/>
      <c r="H12" s="11">
        <v>24</v>
      </c>
      <c r="I12" s="46" t="e">
        <f t="shared" si="0"/>
        <v>#REF!</v>
      </c>
      <c r="J12" s="10" t="e">
        <f t="shared" si="4"/>
        <v>#REF!</v>
      </c>
      <c r="K12" s="10"/>
      <c r="L12" s="11" t="e">
        <f t="shared" si="1"/>
        <v>#REF!</v>
      </c>
      <c r="M12" s="11" t="e">
        <f t="shared" si="2"/>
        <v>#REF!</v>
      </c>
      <c r="N12" s="11" t="e">
        <f t="shared" si="3"/>
        <v>#REF!</v>
      </c>
      <c r="O12" s="11"/>
    </row>
    <row r="13" spans="1:15" ht="15" x14ac:dyDescent="0.25">
      <c r="A13" s="6" t="s">
        <v>1977</v>
      </c>
      <c r="B13" s="74" t="s">
        <v>1978</v>
      </c>
      <c r="C13" s="9">
        <v>10.71</v>
      </c>
      <c r="D13" s="9">
        <v>0.9</v>
      </c>
      <c r="E13" s="45" t="e">
        <f>IFERROR(
_xlfn.XLOOKUP(
B13,#REF!,#REF!
),
_xlfn.XLOOKUP(
A13,#REF!,#REF!
)
)</f>
        <v>#REF!</v>
      </c>
      <c r="F13" s="11" t="str">
        <f>IFERROR(
VLOOKUP(
B13,#REF!,
6,
FALSE
),
""
)</f>
        <v/>
      </c>
      <c r="G13" s="11"/>
      <c r="H13" s="9">
        <v>24</v>
      </c>
      <c r="I13" s="47" t="e">
        <f t="shared" si="0"/>
        <v>#REF!</v>
      </c>
      <c r="J13" s="10" t="e">
        <f t="shared" si="4"/>
        <v>#REF!</v>
      </c>
      <c r="K13" s="10"/>
      <c r="L13" s="9" t="e">
        <f t="shared" si="1"/>
        <v>#REF!</v>
      </c>
      <c r="M13" s="9" t="e">
        <f t="shared" si="2"/>
        <v>#REF!</v>
      </c>
      <c r="N13" s="9" t="e">
        <f t="shared" si="3"/>
        <v>#REF!</v>
      </c>
      <c r="O13" s="9"/>
    </row>
    <row r="14" spans="1:15" ht="15" x14ac:dyDescent="0.25">
      <c r="A14" s="6" t="s">
        <v>1979</v>
      </c>
      <c r="B14" s="71" t="s">
        <v>1980</v>
      </c>
      <c r="C14" s="9">
        <v>9</v>
      </c>
      <c r="D14" s="11">
        <v>0.9</v>
      </c>
      <c r="E14" s="45" t="e">
        <f>IFERROR(
_xlfn.XLOOKUP(
B14,#REF!,#REF!
),
_xlfn.XLOOKUP(
A14,#REF!,#REF!
)
)</f>
        <v>#REF!</v>
      </c>
      <c r="F14" s="11" t="str">
        <f>IFERROR(
VLOOKUP(
B14,#REF!,
6,
FALSE
),
""
)</f>
        <v/>
      </c>
      <c r="G14" s="11"/>
      <c r="H14" s="11">
        <v>24</v>
      </c>
      <c r="I14" s="46" t="e">
        <f t="shared" si="0"/>
        <v>#REF!</v>
      </c>
      <c r="J14" s="10" t="e">
        <f t="shared" si="4"/>
        <v>#REF!</v>
      </c>
      <c r="K14" s="10"/>
      <c r="L14" s="11" t="e">
        <f t="shared" si="1"/>
        <v>#REF!</v>
      </c>
      <c r="M14" s="11" t="e">
        <f t="shared" si="2"/>
        <v>#REF!</v>
      </c>
      <c r="N14" s="11" t="e">
        <f t="shared" si="3"/>
        <v>#REF!</v>
      </c>
      <c r="O14" s="11"/>
    </row>
    <row r="15" spans="1:15" ht="15" x14ac:dyDescent="0.25">
      <c r="A15" s="6" t="s">
        <v>1981</v>
      </c>
      <c r="B15" s="71" t="s">
        <v>1982</v>
      </c>
      <c r="C15" s="9">
        <v>9.6</v>
      </c>
      <c r="D15" s="63">
        <v>0.9</v>
      </c>
      <c r="E15" s="65" t="e">
        <f>IFERROR(
_xlfn.XLOOKUP(
B15,#REF!,#REF!
),
_xlfn.XLOOKUP(
A15,#REF!,#REF!
)
)</f>
        <v>#REF!</v>
      </c>
      <c r="F15" s="66" t="str">
        <f>IFERROR(
VLOOKUP(
B15,#REF!,
6,
FALSE
),
""
)</f>
        <v/>
      </c>
      <c r="G15" s="66"/>
      <c r="H15" s="63">
        <v>24</v>
      </c>
      <c r="I15" s="67" t="e">
        <f t="shared" si="0"/>
        <v>#REF!</v>
      </c>
      <c r="J15" s="10" t="e">
        <f t="shared" si="4"/>
        <v>#REF!</v>
      </c>
      <c r="K15" s="10"/>
      <c r="L15" s="9" t="e">
        <f t="shared" si="1"/>
        <v>#REF!</v>
      </c>
      <c r="M15" s="9" t="e">
        <f t="shared" si="2"/>
        <v>#REF!</v>
      </c>
      <c r="N15" s="9" t="e">
        <f t="shared" si="3"/>
        <v>#REF!</v>
      </c>
      <c r="O15" s="9"/>
    </row>
    <row r="16" spans="1:15" ht="15" x14ac:dyDescent="0.25">
      <c r="A16" s="6" t="s">
        <v>1983</v>
      </c>
      <c r="B16" s="74" t="s">
        <v>1984</v>
      </c>
      <c r="C16" s="9">
        <v>10.36</v>
      </c>
      <c r="D16" s="66">
        <v>0.9</v>
      </c>
      <c r="E16" s="65" t="e">
        <f>IFERROR(
_xlfn.XLOOKUP(
B16,#REF!,#REF!
),
_xlfn.XLOOKUP(
A16,#REF!,#REF!
)
)</f>
        <v>#REF!</v>
      </c>
      <c r="F16" s="66" t="str">
        <f>IFERROR(
VLOOKUP(
B16,#REF!,
6,
FALSE
),
""
)</f>
        <v/>
      </c>
      <c r="G16" s="66"/>
      <c r="H16" s="66">
        <v>24</v>
      </c>
      <c r="I16" s="69" t="e">
        <f t="shared" si="0"/>
        <v>#REF!</v>
      </c>
      <c r="J16" s="10" t="e">
        <f t="shared" si="4"/>
        <v>#REF!</v>
      </c>
      <c r="K16" s="10"/>
      <c r="L16" s="11" t="e">
        <f t="shared" si="1"/>
        <v>#REF!</v>
      </c>
      <c r="M16" s="11" t="e">
        <f t="shared" si="2"/>
        <v>#REF!</v>
      </c>
      <c r="N16" s="11" t="e">
        <f t="shared" si="3"/>
        <v>#REF!</v>
      </c>
      <c r="O16" s="11"/>
    </row>
    <row r="17" spans="1:15" ht="15" x14ac:dyDescent="0.25">
      <c r="A17" s="6" t="s">
        <v>1985</v>
      </c>
      <c r="B17" s="71" t="s">
        <v>1986</v>
      </c>
      <c r="C17" s="9">
        <v>8.94</v>
      </c>
      <c r="D17" s="9">
        <v>0.9</v>
      </c>
      <c r="E17" s="45" t="e">
        <f>IFERROR(
_xlfn.XLOOKUP(
B17,#REF!,#REF!
),
_xlfn.XLOOKUP(
A17,#REF!,#REF!
)
)</f>
        <v>#REF!</v>
      </c>
      <c r="F17" s="11" t="str">
        <f>IFERROR(
VLOOKUP(
B17,#REF!,
6,
FALSE
),
""
)</f>
        <v/>
      </c>
      <c r="G17" s="11"/>
      <c r="H17" s="9">
        <v>24</v>
      </c>
      <c r="I17" s="47" t="e">
        <f t="shared" si="0"/>
        <v>#REF!</v>
      </c>
      <c r="J17" s="10" t="e">
        <f t="shared" si="4"/>
        <v>#REF!</v>
      </c>
      <c r="K17" s="10"/>
      <c r="L17" s="9" t="e">
        <f t="shared" si="1"/>
        <v>#REF!</v>
      </c>
      <c r="M17" s="9" t="e">
        <f t="shared" si="2"/>
        <v>#REF!</v>
      </c>
      <c r="N17" s="9" t="e">
        <f t="shared" si="3"/>
        <v>#REF!</v>
      </c>
      <c r="O17" s="9"/>
    </row>
    <row r="18" spans="1:15" ht="15" x14ac:dyDescent="0.25">
      <c r="A18" s="6" t="s">
        <v>1987</v>
      </c>
      <c r="B18" s="71" t="s">
        <v>1988</v>
      </c>
      <c r="C18" s="9">
        <v>8.94</v>
      </c>
      <c r="D18" s="11">
        <v>0.9</v>
      </c>
      <c r="E18" s="45" t="e">
        <f>IFERROR(
_xlfn.XLOOKUP(
B18,#REF!,#REF!
),
_xlfn.XLOOKUP(
A18,#REF!,#REF!
)
)</f>
        <v>#REF!</v>
      </c>
      <c r="F18" s="11" t="str">
        <f>IFERROR(
VLOOKUP(
B18,#REF!,
6,
FALSE
),
""
)</f>
        <v/>
      </c>
      <c r="G18" s="11"/>
      <c r="H18" s="11">
        <v>24</v>
      </c>
      <c r="I18" s="46" t="e">
        <f t="shared" si="0"/>
        <v>#REF!</v>
      </c>
      <c r="J18" s="10" t="e">
        <f t="shared" si="4"/>
        <v>#REF!</v>
      </c>
      <c r="K18" s="10"/>
      <c r="L18" s="11" t="e">
        <f t="shared" si="1"/>
        <v>#REF!</v>
      </c>
      <c r="M18" s="11" t="e">
        <f t="shared" si="2"/>
        <v>#REF!</v>
      </c>
      <c r="N18" s="11" t="e">
        <f t="shared" si="3"/>
        <v>#REF!</v>
      </c>
      <c r="O18" s="11"/>
    </row>
    <row r="19" spans="1:15" ht="15" x14ac:dyDescent="0.25">
      <c r="A19" s="6" t="s">
        <v>1989</v>
      </c>
      <c r="B19" s="74" t="s">
        <v>1990</v>
      </c>
      <c r="C19" s="9">
        <v>9.6</v>
      </c>
      <c r="D19" s="9">
        <v>0.9</v>
      </c>
      <c r="E19" s="45" t="e">
        <f>IFERROR(
_xlfn.XLOOKUP(
B19,#REF!,#REF!
),
_xlfn.XLOOKUP(
A19,#REF!,#REF!
)
)</f>
        <v>#REF!</v>
      </c>
      <c r="F19" s="11" t="str">
        <f>IFERROR(
VLOOKUP(
B19,#REF!,
6,
FALSE
),
""
)</f>
        <v/>
      </c>
      <c r="G19" s="11"/>
      <c r="H19" s="9">
        <v>24</v>
      </c>
      <c r="I19" s="47" t="e">
        <f t="shared" si="0"/>
        <v>#REF!</v>
      </c>
      <c r="J19" s="10" t="e">
        <f t="shared" si="4"/>
        <v>#REF!</v>
      </c>
      <c r="K19" s="10"/>
      <c r="L19" s="9" t="e">
        <f t="shared" si="1"/>
        <v>#REF!</v>
      </c>
      <c r="M19" s="9" t="e">
        <f t="shared" si="2"/>
        <v>#REF!</v>
      </c>
      <c r="N19" s="9" t="e">
        <f t="shared" si="3"/>
        <v>#REF!</v>
      </c>
      <c r="O19" s="9"/>
    </row>
    <row r="20" spans="1:15" ht="15" x14ac:dyDescent="0.25">
      <c r="A20" s="6" t="s">
        <v>1991</v>
      </c>
      <c r="B20" s="74" t="s">
        <v>1992</v>
      </c>
      <c r="C20" s="9">
        <v>9.6</v>
      </c>
      <c r="D20" s="9">
        <v>0.9</v>
      </c>
      <c r="E20" s="45" t="e">
        <f>IFERROR(
_xlfn.XLOOKUP(
B20,#REF!,#REF!
),
_xlfn.XLOOKUP(
A20,#REF!,#REF!
)
)</f>
        <v>#REF!</v>
      </c>
      <c r="F20" s="11" t="str">
        <f>IFERROR(
VLOOKUP(
B20,#REF!,
6,
FALSE
),
""
)</f>
        <v/>
      </c>
      <c r="G20" s="11"/>
      <c r="H20" s="9">
        <v>24</v>
      </c>
      <c r="I20" s="47" t="e">
        <f t="shared" si="0"/>
        <v>#REF!</v>
      </c>
      <c r="J20" s="10" t="e">
        <f t="shared" si="4"/>
        <v>#REF!</v>
      </c>
      <c r="K20" s="10"/>
      <c r="L20" s="9" t="e">
        <f t="shared" si="1"/>
        <v>#REF!</v>
      </c>
      <c r="M20" s="9" t="e">
        <f t="shared" si="2"/>
        <v>#REF!</v>
      </c>
      <c r="N20" s="9" t="e">
        <f t="shared" si="3"/>
        <v>#REF!</v>
      </c>
      <c r="O20" s="11"/>
    </row>
    <row r="21" spans="1:15" ht="15" x14ac:dyDescent="0.25">
      <c r="A21" s="6" t="s">
        <v>1993</v>
      </c>
      <c r="B21" s="74" t="s">
        <v>1994</v>
      </c>
      <c r="C21" s="9">
        <v>5.53</v>
      </c>
      <c r="D21" s="9">
        <v>0.9</v>
      </c>
      <c r="E21" s="45" t="e">
        <f>IFERROR(
_xlfn.XLOOKUP(
B21,#REF!,#REF!
),
_xlfn.XLOOKUP(
A21,#REF!,#REF!
)
)</f>
        <v>#REF!</v>
      </c>
      <c r="F21" s="11" t="str">
        <f>IFERROR(
VLOOKUP(
B21,#REF!,
6,
FALSE
),
""
)</f>
        <v/>
      </c>
      <c r="G21" s="11"/>
      <c r="H21" s="9">
        <v>24</v>
      </c>
      <c r="I21" s="47" t="e">
        <f t="shared" si="0"/>
        <v>#REF!</v>
      </c>
      <c r="J21" s="10" t="e">
        <f t="shared" si="4"/>
        <v>#REF!</v>
      </c>
      <c r="K21" s="10"/>
      <c r="L21" s="9" t="e">
        <f t="shared" si="1"/>
        <v>#REF!</v>
      </c>
      <c r="M21" s="9" t="e">
        <f t="shared" si="2"/>
        <v>#REF!</v>
      </c>
      <c r="N21" s="9" t="e">
        <f t="shared" si="3"/>
        <v>#REF!</v>
      </c>
      <c r="O21" s="9"/>
    </row>
    <row r="22" spans="1:15" ht="15" x14ac:dyDescent="0.25">
      <c r="A22" s="12" t="s">
        <v>129</v>
      </c>
      <c r="B22" s="75" t="s">
        <v>130</v>
      </c>
      <c r="C22" s="9">
        <v>8.26</v>
      </c>
      <c r="D22" s="9">
        <v>0.9</v>
      </c>
      <c r="E22" s="45" t="e">
        <f>IFERROR(
_xlfn.XLOOKUP(
B22,#REF!,#REF!
),
_xlfn.XLOOKUP(
A22,#REF!,#REF!
)
)</f>
        <v>#REF!</v>
      </c>
      <c r="F22" s="11" t="str">
        <f>IFERROR(
VLOOKUP(
B22,#REF!,
6,
FALSE
),
""
)</f>
        <v/>
      </c>
      <c r="G22" s="11"/>
      <c r="H22" s="9">
        <v>24</v>
      </c>
      <c r="I22" s="47" t="e">
        <f t="shared" si="0"/>
        <v>#REF!</v>
      </c>
      <c r="J22" s="10" t="e">
        <f t="shared" si="4"/>
        <v>#REF!</v>
      </c>
      <c r="K22" s="10"/>
      <c r="L22" s="9" t="e">
        <f t="shared" si="1"/>
        <v>#REF!</v>
      </c>
      <c r="M22" s="9" t="e">
        <f t="shared" si="2"/>
        <v>#REF!</v>
      </c>
      <c r="N22" s="9" t="e">
        <f t="shared" si="3"/>
        <v>#REF!</v>
      </c>
      <c r="O22" s="11"/>
    </row>
    <row r="23" spans="1:15" ht="15" x14ac:dyDescent="0.25">
      <c r="A23" s="6" t="s">
        <v>1949</v>
      </c>
      <c r="B23" s="74" t="s">
        <v>1950</v>
      </c>
      <c r="C23" s="12">
        <v>8.5500000000000007</v>
      </c>
      <c r="D23" s="9">
        <v>0.9</v>
      </c>
      <c r="E23" s="45" t="e">
        <f>IFERROR(
_xlfn.XLOOKUP(
B23,#REF!,#REF!
),
_xlfn.XLOOKUP(
A23,#REF!,#REF!
)
)</f>
        <v>#REF!</v>
      </c>
      <c r="F23" s="11" t="str">
        <f>IFERROR(
VLOOKUP(
B23,#REF!,
6,
FALSE
),
""
)</f>
        <v/>
      </c>
      <c r="G23" s="11"/>
      <c r="H23" s="9">
        <v>24</v>
      </c>
      <c r="I23" s="47" t="e">
        <f t="shared" si="0"/>
        <v>#REF!</v>
      </c>
      <c r="J23" s="10" t="e">
        <f t="shared" si="4"/>
        <v>#REF!</v>
      </c>
      <c r="K23" s="10"/>
      <c r="L23" s="9" t="e">
        <f t="shared" si="1"/>
        <v>#REF!</v>
      </c>
      <c r="M23" s="9" t="e">
        <f t="shared" si="2"/>
        <v>#REF!</v>
      </c>
      <c r="N23" s="9" t="e">
        <f t="shared" si="3"/>
        <v>#REF!</v>
      </c>
      <c r="O23" s="9"/>
    </row>
    <row r="24" spans="1:15" ht="15" x14ac:dyDescent="0.25">
      <c r="A24" s="6" t="s">
        <v>1951</v>
      </c>
      <c r="B24" s="71" t="s">
        <v>1952</v>
      </c>
      <c r="C24" s="12">
        <v>6.68</v>
      </c>
      <c r="D24" s="9">
        <v>0.9</v>
      </c>
      <c r="E24" s="45" t="e">
        <f>IFERROR(
_xlfn.XLOOKUP(
B24,#REF!,#REF!
),
_xlfn.XLOOKUP(
A24,#REF!,#REF!
)
)</f>
        <v>#REF!</v>
      </c>
      <c r="F24" s="11" t="str">
        <f>IFERROR(
VLOOKUP(
B24,#REF!,
6,
FALSE
),
""
)</f>
        <v/>
      </c>
      <c r="G24" s="11"/>
      <c r="H24" s="9">
        <v>24</v>
      </c>
      <c r="I24" s="47" t="e">
        <f t="shared" si="0"/>
        <v>#REF!</v>
      </c>
      <c r="J24" s="10" t="e">
        <f t="shared" si="4"/>
        <v>#REF!</v>
      </c>
      <c r="K24" s="10"/>
      <c r="L24" s="9" t="e">
        <f t="shared" si="1"/>
        <v>#REF!</v>
      </c>
      <c r="M24" s="9" t="e">
        <f t="shared" si="2"/>
        <v>#REF!</v>
      </c>
      <c r="N24" s="9" t="e">
        <f t="shared" si="3"/>
        <v>#REF!</v>
      </c>
      <c r="O24" s="11"/>
    </row>
    <row r="25" spans="1:15" ht="15" x14ac:dyDescent="0.25">
      <c r="A25" s="12" t="s">
        <v>1953</v>
      </c>
      <c r="B25" s="72">
        <v>5204559030012</v>
      </c>
      <c r="C25" s="12">
        <v>4.88</v>
      </c>
      <c r="D25" s="9">
        <v>0.9</v>
      </c>
      <c r="E25" s="45" t="e">
        <f>IFERROR(
_xlfn.XLOOKUP(
B25,#REF!,#REF!
),
_xlfn.XLOOKUP(
A25,#REF!,#REF!
)
)</f>
        <v>#REF!</v>
      </c>
      <c r="F25" s="11" t="str">
        <f>IFERROR(
VLOOKUP(
B25,#REF!,
6,
FALSE
),
""
)</f>
        <v/>
      </c>
      <c r="G25" s="11"/>
      <c r="H25" s="9">
        <v>24</v>
      </c>
      <c r="I25" s="47" t="e">
        <f t="shared" si="0"/>
        <v>#REF!</v>
      </c>
      <c r="J25" s="10" t="e">
        <f t="shared" si="4"/>
        <v>#REF!</v>
      </c>
      <c r="K25" s="10"/>
      <c r="L25" s="9" t="e">
        <f t="shared" si="1"/>
        <v>#REF!</v>
      </c>
      <c r="M25" s="9" t="e">
        <f t="shared" si="2"/>
        <v>#REF!</v>
      </c>
      <c r="N25" s="9" t="e">
        <f t="shared" si="3"/>
        <v>#REF!</v>
      </c>
      <c r="O25" s="11"/>
    </row>
    <row r="26" spans="1:15" ht="15" x14ac:dyDescent="0.25">
      <c r="A26" s="6" t="s">
        <v>1954</v>
      </c>
      <c r="B26" s="71" t="s">
        <v>1955</v>
      </c>
      <c r="C26" s="12">
        <v>5.97</v>
      </c>
      <c r="D26" s="9">
        <v>0.9</v>
      </c>
      <c r="E26" s="45" t="e">
        <f>IFERROR(
_xlfn.XLOOKUP(
B26,#REF!,#REF!
),
_xlfn.XLOOKUP(
A26,#REF!,#REF!
)
)</f>
        <v>#REF!</v>
      </c>
      <c r="F26" s="11" t="str">
        <f>IFERROR(
VLOOKUP(
B26,#REF!,
6,
FALSE
),
""
)</f>
        <v/>
      </c>
      <c r="G26" s="11"/>
      <c r="H26" s="9">
        <v>24</v>
      </c>
      <c r="I26" s="47" t="e">
        <f t="shared" si="0"/>
        <v>#REF!</v>
      </c>
      <c r="J26" s="10" t="e">
        <f t="shared" si="4"/>
        <v>#REF!</v>
      </c>
      <c r="K26" s="10"/>
      <c r="L26" s="9" t="e">
        <f t="shared" si="1"/>
        <v>#REF!</v>
      </c>
      <c r="M26" s="9" t="e">
        <f t="shared" si="2"/>
        <v>#REF!</v>
      </c>
      <c r="N26" s="9" t="e">
        <f t="shared" si="3"/>
        <v>#REF!</v>
      </c>
      <c r="O26" s="11"/>
    </row>
    <row r="27" spans="1:15" ht="15" x14ac:dyDescent="0.25">
      <c r="A27" s="6" t="s">
        <v>175</v>
      </c>
      <c r="B27" s="74" t="s">
        <v>1956</v>
      </c>
      <c r="C27" s="12">
        <v>6.34</v>
      </c>
      <c r="D27" s="9">
        <v>0.3</v>
      </c>
      <c r="E27" s="45" t="e">
        <f>IFERROR(
_xlfn.XLOOKUP(
B27,#REF!,#REF!
),
_xlfn.XLOOKUP(
A27,#REF!,#REF!
)
)</f>
        <v>#REF!</v>
      </c>
      <c r="F27" s="11" t="str">
        <f>IFERROR(
VLOOKUP(
B27,#REF!,
6,
FALSE
),
""
)</f>
        <v/>
      </c>
      <c r="G27" s="11"/>
      <c r="H27" s="76">
        <v>24</v>
      </c>
      <c r="I27" s="47" t="e">
        <f t="shared" si="0"/>
        <v>#REF!</v>
      </c>
      <c r="J27" s="10" t="e">
        <f t="shared" si="4"/>
        <v>#REF!</v>
      </c>
      <c r="K27" s="10"/>
      <c r="L27" s="9" t="e">
        <f t="shared" si="1"/>
        <v>#REF!</v>
      </c>
      <c r="M27" s="9" t="e">
        <f t="shared" si="2"/>
        <v>#REF!</v>
      </c>
      <c r="N27" s="9" t="e">
        <f t="shared" si="3"/>
        <v>#REF!</v>
      </c>
      <c r="O27" s="11"/>
    </row>
    <row r="28" spans="1:15" ht="15" x14ac:dyDescent="0.25">
      <c r="A28" s="6" t="s">
        <v>1957</v>
      </c>
      <c r="B28" s="74" t="s">
        <v>1958</v>
      </c>
      <c r="C28" s="12">
        <v>9.11</v>
      </c>
      <c r="D28" s="9">
        <v>0.9</v>
      </c>
      <c r="E28" s="45" t="e">
        <f>IFERROR(
_xlfn.XLOOKUP(
B28,#REF!,#REF!
),
_xlfn.XLOOKUP(
A28,#REF!,#REF!
)
)</f>
        <v>#REF!</v>
      </c>
      <c r="F28" s="11" t="str">
        <f>IFERROR(
VLOOKUP(
B28,#REF!,
6,
FALSE
),
""
)</f>
        <v/>
      </c>
      <c r="G28" s="11"/>
      <c r="H28" s="76">
        <v>24</v>
      </c>
      <c r="I28" s="47" t="e">
        <f t="shared" si="0"/>
        <v>#REF!</v>
      </c>
      <c r="J28" s="10" t="e">
        <f t="shared" si="4"/>
        <v>#REF!</v>
      </c>
      <c r="K28" s="10"/>
      <c r="L28" s="9" t="e">
        <f t="shared" si="1"/>
        <v>#REF!</v>
      </c>
      <c r="M28" s="9" t="e">
        <f t="shared" si="2"/>
        <v>#REF!</v>
      </c>
      <c r="N28" s="9" t="e">
        <f t="shared" si="3"/>
        <v>#REF!</v>
      </c>
      <c r="O28" s="11"/>
    </row>
    <row r="29" spans="1:15" ht="15" x14ac:dyDescent="0.25">
      <c r="A29" s="6" t="s">
        <v>1959</v>
      </c>
      <c r="B29" s="74" t="s">
        <v>1960</v>
      </c>
      <c r="C29" s="12">
        <v>6.84</v>
      </c>
      <c r="D29" s="9">
        <v>0.9</v>
      </c>
      <c r="E29" s="45" t="e">
        <f>IFERROR(
_xlfn.XLOOKUP(
B29,#REF!,#REF!
),
_xlfn.XLOOKUP(
A29,#REF!,#REF!
)
)</f>
        <v>#REF!</v>
      </c>
      <c r="F29" s="11" t="str">
        <f>IFERROR(
VLOOKUP(
B29,#REF!,
6,
FALSE
),
""
)</f>
        <v/>
      </c>
      <c r="G29" s="11"/>
      <c r="H29" s="76">
        <v>24</v>
      </c>
      <c r="I29" s="47" t="e">
        <f t="shared" si="0"/>
        <v>#REF!</v>
      </c>
      <c r="J29" s="10" t="e">
        <f t="shared" si="4"/>
        <v>#REF!</v>
      </c>
      <c r="K29" s="10"/>
      <c r="L29" s="9" t="e">
        <f t="shared" si="1"/>
        <v>#REF!</v>
      </c>
      <c r="M29" s="9" t="e">
        <f t="shared" si="2"/>
        <v>#REF!</v>
      </c>
      <c r="N29" s="9" t="e">
        <f t="shared" si="3"/>
        <v>#REF!</v>
      </c>
      <c r="O29" s="11"/>
    </row>
    <row r="30" spans="1:15" ht="15" x14ac:dyDescent="0.25">
      <c r="A30" s="11"/>
      <c r="B30" s="52"/>
      <c r="C30" s="9">
        <v>23.92</v>
      </c>
      <c r="D30" s="9">
        <v>0.9</v>
      </c>
      <c r="E30" s="45" t="e">
        <f>IFERROR(
_xlfn.XLOOKUP(
B30,#REF!,#REF!
),
_xlfn.XLOOKUP(
A30,#REF!,#REF!
)
)</f>
        <v>#REF!</v>
      </c>
      <c r="F30" s="11" t="str">
        <f>IFERROR(
VLOOKUP(
B30,#REF!,
6,
FALSE
),
""
)</f>
        <v/>
      </c>
      <c r="G30" s="11"/>
      <c r="H30" s="9">
        <v>24</v>
      </c>
      <c r="I30" s="47" t="e">
        <f t="shared" si="0"/>
        <v>#REF!</v>
      </c>
      <c r="J30" s="10" t="e">
        <f t="shared" si="4"/>
        <v>#REF!</v>
      </c>
      <c r="K30" s="10"/>
      <c r="L30" s="9" t="e">
        <f t="shared" si="1"/>
        <v>#REF!</v>
      </c>
      <c r="M30" s="9" t="e">
        <f t="shared" si="2"/>
        <v>#REF!</v>
      </c>
      <c r="N30" s="9" t="e">
        <f t="shared" si="3"/>
        <v>#REF!</v>
      </c>
      <c r="O30" s="11"/>
    </row>
    <row r="31" spans="1:15" ht="15" x14ac:dyDescent="0.25">
      <c r="A31" s="11"/>
      <c r="B31" s="52"/>
      <c r="C31" s="9">
        <v>23.92</v>
      </c>
      <c r="D31" s="9">
        <v>0.9</v>
      </c>
      <c r="E31" s="45" t="e">
        <f>IFERROR(
_xlfn.XLOOKUP(
B31,#REF!,#REF!
),
_xlfn.XLOOKUP(
A31,#REF!,#REF!
)
)</f>
        <v>#REF!</v>
      </c>
      <c r="F31" s="11" t="str">
        <f>IFERROR(
VLOOKUP(
B31,#REF!,
6,
FALSE
),
""
)</f>
        <v/>
      </c>
      <c r="G31" s="11"/>
      <c r="H31" s="9">
        <v>24</v>
      </c>
      <c r="I31" s="47" t="e">
        <f t="shared" si="0"/>
        <v>#REF!</v>
      </c>
      <c r="J31" s="10" t="e">
        <f t="shared" si="4"/>
        <v>#REF!</v>
      </c>
      <c r="K31" s="10"/>
      <c r="L31" s="9" t="e">
        <f t="shared" si="1"/>
        <v>#REF!</v>
      </c>
      <c r="M31" s="9" t="e">
        <f t="shared" si="2"/>
        <v>#REF!</v>
      </c>
      <c r="N31" s="9" t="e">
        <f t="shared" si="3"/>
        <v>#REF!</v>
      </c>
      <c r="O31" s="11"/>
    </row>
    <row r="32" spans="1:15" ht="15" x14ac:dyDescent="0.25">
      <c r="A32" s="11"/>
      <c r="B32" s="52"/>
      <c r="C32" s="9">
        <v>23.92</v>
      </c>
      <c r="D32" s="9">
        <v>0.9</v>
      </c>
      <c r="E32" s="45" t="e">
        <f>IFERROR(
_xlfn.XLOOKUP(
B32,#REF!,#REF!
),
_xlfn.XLOOKUP(
A32,#REF!,#REF!
)
)</f>
        <v>#REF!</v>
      </c>
      <c r="F32" s="11" t="str">
        <f>IFERROR(
VLOOKUP(
B32,#REF!,
6,
FALSE
),
""
)</f>
        <v/>
      </c>
      <c r="G32" s="11"/>
      <c r="H32" s="9">
        <v>24</v>
      </c>
      <c r="I32" s="47" t="e">
        <f t="shared" si="0"/>
        <v>#REF!</v>
      </c>
      <c r="J32" s="10" t="e">
        <f t="shared" si="4"/>
        <v>#REF!</v>
      </c>
      <c r="K32" s="10"/>
      <c r="L32" s="9" t="e">
        <f t="shared" si="1"/>
        <v>#REF!</v>
      </c>
      <c r="M32" s="9" t="e">
        <f t="shared" si="2"/>
        <v>#REF!</v>
      </c>
      <c r="N32" s="9" t="e">
        <f t="shared" si="3"/>
        <v>#REF!</v>
      </c>
      <c r="O32" s="11"/>
    </row>
    <row r="33" spans="1:15" ht="15" x14ac:dyDescent="0.25">
      <c r="A33" s="11"/>
      <c r="B33" s="52"/>
      <c r="C33" s="9">
        <v>23.92</v>
      </c>
      <c r="D33" s="9">
        <v>0.9</v>
      </c>
      <c r="E33" s="45" t="e">
        <f>IFERROR(
_xlfn.XLOOKUP(
B33,#REF!,#REF!
),
_xlfn.XLOOKUP(
A33,#REF!,#REF!
)
)</f>
        <v>#REF!</v>
      </c>
      <c r="F33" s="11" t="str">
        <f>IFERROR(
VLOOKUP(
B33,#REF!,
6,
FALSE
),
""
)</f>
        <v/>
      </c>
      <c r="G33" s="11"/>
      <c r="H33" s="9">
        <v>24</v>
      </c>
      <c r="I33" s="47" t="e">
        <f t="shared" si="0"/>
        <v>#REF!</v>
      </c>
      <c r="J33" s="10" t="e">
        <f t="shared" si="4"/>
        <v>#REF!</v>
      </c>
      <c r="K33" s="10"/>
      <c r="L33" s="9" t="e">
        <f t="shared" si="1"/>
        <v>#REF!</v>
      </c>
      <c r="M33" s="9" t="e">
        <f t="shared" si="2"/>
        <v>#REF!</v>
      </c>
      <c r="N33" s="9" t="e">
        <f t="shared" si="3"/>
        <v>#REF!</v>
      </c>
      <c r="O33" s="11"/>
    </row>
    <row r="34" spans="1:15" ht="15" x14ac:dyDescent="0.25">
      <c r="A34" s="11"/>
      <c r="B34" s="52"/>
      <c r="C34" s="9">
        <v>23.92</v>
      </c>
      <c r="D34" s="9">
        <v>0.9</v>
      </c>
      <c r="E34" s="45" t="e">
        <f>IFERROR(
_xlfn.XLOOKUP(
B34,#REF!,#REF!
),
_xlfn.XLOOKUP(
A34,#REF!,#REF!
)
)</f>
        <v>#REF!</v>
      </c>
      <c r="F34" s="11" t="str">
        <f>IFERROR(
VLOOKUP(
B34,#REF!,
6,
FALSE
),
""
)</f>
        <v/>
      </c>
      <c r="G34" s="11"/>
      <c r="H34" s="9">
        <v>24</v>
      </c>
      <c r="I34" s="47" t="e">
        <f t="shared" si="0"/>
        <v>#REF!</v>
      </c>
      <c r="J34" s="10" t="e">
        <f t="shared" si="4"/>
        <v>#REF!</v>
      </c>
      <c r="K34" s="10"/>
      <c r="L34" s="9" t="e">
        <f t="shared" si="1"/>
        <v>#REF!</v>
      </c>
      <c r="M34" s="9" t="e">
        <f t="shared" si="2"/>
        <v>#REF!</v>
      </c>
      <c r="N34" s="9" t="e">
        <f t="shared" si="3"/>
        <v>#REF!</v>
      </c>
      <c r="O34" s="11"/>
    </row>
    <row r="35" spans="1:15" ht="15" x14ac:dyDescent="0.25">
      <c r="A35" s="11"/>
      <c r="B35" s="52"/>
      <c r="C35" s="9">
        <v>23.92</v>
      </c>
      <c r="D35" s="9">
        <v>0.9</v>
      </c>
      <c r="E35" s="45" t="e">
        <f>IFERROR(
_xlfn.XLOOKUP(
B35,#REF!,#REF!
),
_xlfn.XLOOKUP(
A35,#REF!,#REF!
)
)</f>
        <v>#REF!</v>
      </c>
      <c r="F35" s="11" t="str">
        <f>IFERROR(
VLOOKUP(
B35,#REF!,
6,
FALSE
),
""
)</f>
        <v/>
      </c>
      <c r="G35" s="11"/>
      <c r="H35" s="9">
        <v>24</v>
      </c>
      <c r="I35" s="47" t="e">
        <f t="shared" si="0"/>
        <v>#REF!</v>
      </c>
      <c r="J35" s="10" t="e">
        <f t="shared" si="4"/>
        <v>#REF!</v>
      </c>
      <c r="K35" s="10"/>
      <c r="L35" s="9" t="e">
        <f t="shared" si="1"/>
        <v>#REF!</v>
      </c>
      <c r="M35" s="9" t="e">
        <f t="shared" si="2"/>
        <v>#REF!</v>
      </c>
      <c r="N35" s="9" t="e">
        <f t="shared" si="3"/>
        <v>#REF!</v>
      </c>
      <c r="O35" s="11"/>
    </row>
    <row r="36" spans="1:15" ht="15" x14ac:dyDescent="0.25">
      <c r="A36" s="11"/>
      <c r="B36" s="52"/>
      <c r="C36" s="9">
        <v>23.92</v>
      </c>
      <c r="D36" s="9">
        <v>0.9</v>
      </c>
      <c r="E36" s="45" t="e">
        <f>IFERROR(
_xlfn.XLOOKUP(
B36,#REF!,#REF!
),
_xlfn.XLOOKUP(
A36,#REF!,#REF!
)
)</f>
        <v>#REF!</v>
      </c>
      <c r="F36" s="11" t="str">
        <f>IFERROR(
VLOOKUP(
B36,#REF!,
6,
FALSE
),
""
)</f>
        <v/>
      </c>
      <c r="G36" s="11"/>
      <c r="H36" s="9">
        <v>24</v>
      </c>
      <c r="I36" s="47" t="e">
        <f t="shared" si="0"/>
        <v>#REF!</v>
      </c>
      <c r="J36" s="10" t="e">
        <f t="shared" si="4"/>
        <v>#REF!</v>
      </c>
      <c r="K36" s="10"/>
      <c r="L36" s="9" t="e">
        <f t="shared" si="1"/>
        <v>#REF!</v>
      </c>
      <c r="M36" s="9" t="e">
        <f t="shared" si="2"/>
        <v>#REF!</v>
      </c>
      <c r="N36" s="9" t="e">
        <f t="shared" si="3"/>
        <v>#REF!</v>
      </c>
      <c r="O36" s="11"/>
    </row>
    <row r="37" spans="1:15" ht="15" x14ac:dyDescent="0.25">
      <c r="A37" s="11"/>
      <c r="B37" s="52"/>
      <c r="C37" s="9">
        <v>23.92</v>
      </c>
      <c r="D37" s="9">
        <v>0.9</v>
      </c>
      <c r="E37" s="45" t="e">
        <f>IFERROR(
_xlfn.XLOOKUP(
B37,#REF!,#REF!
),
_xlfn.XLOOKUP(
A37,#REF!,#REF!
)
)</f>
        <v>#REF!</v>
      </c>
      <c r="F37" s="11" t="str">
        <f>IFERROR(
VLOOKUP(
B37,#REF!,
6,
FALSE
),
""
)</f>
        <v/>
      </c>
      <c r="G37" s="11"/>
      <c r="H37" s="9">
        <v>24</v>
      </c>
      <c r="I37" s="47" t="e">
        <f t="shared" si="0"/>
        <v>#REF!</v>
      </c>
      <c r="J37" s="10" t="e">
        <f t="shared" si="4"/>
        <v>#REF!</v>
      </c>
      <c r="K37" s="10"/>
      <c r="L37" s="9" t="e">
        <f t="shared" si="1"/>
        <v>#REF!</v>
      </c>
      <c r="M37" s="9" t="e">
        <f t="shared" si="2"/>
        <v>#REF!</v>
      </c>
      <c r="N37" s="9" t="e">
        <f t="shared" si="3"/>
        <v>#REF!</v>
      </c>
      <c r="O37" s="11"/>
    </row>
    <row r="38" spans="1:15" ht="15" x14ac:dyDescent="0.25">
      <c r="A38" s="11"/>
      <c r="B38" s="52"/>
      <c r="C38" s="9">
        <v>23.92</v>
      </c>
      <c r="D38" s="9">
        <v>0.9</v>
      </c>
      <c r="E38" s="45" t="e">
        <f>IFERROR(
_xlfn.XLOOKUP(
B38,#REF!,#REF!
),
_xlfn.XLOOKUP(
A38,#REF!,#REF!
)
)</f>
        <v>#REF!</v>
      </c>
      <c r="F38" s="11" t="str">
        <f>IFERROR(
VLOOKUP(
B38,#REF!,
6,
FALSE
),
""
)</f>
        <v/>
      </c>
      <c r="G38" s="11"/>
      <c r="H38" s="9">
        <v>24</v>
      </c>
      <c r="I38" s="47" t="e">
        <f t="shared" si="0"/>
        <v>#REF!</v>
      </c>
      <c r="J38" s="10" t="e">
        <f t="shared" si="4"/>
        <v>#REF!</v>
      </c>
      <c r="K38" s="10"/>
      <c r="L38" s="9" t="e">
        <f t="shared" si="1"/>
        <v>#REF!</v>
      </c>
      <c r="M38" s="9" t="e">
        <f t="shared" si="2"/>
        <v>#REF!</v>
      </c>
      <c r="N38" s="9" t="e">
        <f t="shared" si="3"/>
        <v>#REF!</v>
      </c>
      <c r="O38" s="11"/>
    </row>
    <row r="39" spans="1:15" ht="15" x14ac:dyDescent="0.25">
      <c r="A39" s="11"/>
      <c r="B39" s="52"/>
      <c r="C39" s="9">
        <v>23.92</v>
      </c>
      <c r="D39" s="9">
        <v>0.9</v>
      </c>
      <c r="E39" s="45" t="e">
        <f>IFERROR(
_xlfn.XLOOKUP(
B39,#REF!,#REF!
),
_xlfn.XLOOKUP(
A39,#REF!,#REF!
)
)</f>
        <v>#REF!</v>
      </c>
      <c r="F39" s="11" t="str">
        <f>IFERROR(
VLOOKUP(
B39,#REF!,
6,
FALSE
),
""
)</f>
        <v/>
      </c>
      <c r="G39" s="11"/>
      <c r="H39" s="9">
        <v>24</v>
      </c>
      <c r="I39" s="47" t="e">
        <f t="shared" si="0"/>
        <v>#REF!</v>
      </c>
      <c r="J39" s="10" t="e">
        <f t="shared" si="4"/>
        <v>#REF!</v>
      </c>
      <c r="K39" s="10"/>
      <c r="L39" s="9" t="e">
        <f t="shared" si="1"/>
        <v>#REF!</v>
      </c>
      <c r="M39" s="9" t="e">
        <f t="shared" si="2"/>
        <v>#REF!</v>
      </c>
      <c r="N39" s="9" t="e">
        <f t="shared" si="3"/>
        <v>#REF!</v>
      </c>
      <c r="O39" s="11"/>
    </row>
    <row r="40" spans="1:15" ht="15" x14ac:dyDescent="0.25">
      <c r="A40" s="11"/>
      <c r="B40" s="52"/>
      <c r="C40" s="9">
        <v>23.92</v>
      </c>
      <c r="D40" s="9">
        <v>0.9</v>
      </c>
      <c r="E40" s="45" t="e">
        <f>IFERROR(
_xlfn.XLOOKUP(
B40,#REF!,#REF!
),
_xlfn.XLOOKUP(
A40,#REF!,#REF!
)
)</f>
        <v>#REF!</v>
      </c>
      <c r="F40" s="11" t="str">
        <f>IFERROR(
VLOOKUP(
B40,#REF!,
6,
FALSE
),
""
)</f>
        <v/>
      </c>
      <c r="G40" s="11"/>
      <c r="H40" s="9">
        <v>24</v>
      </c>
      <c r="I40" s="47" t="e">
        <f t="shared" si="0"/>
        <v>#REF!</v>
      </c>
      <c r="J40" s="10" t="e">
        <f t="shared" si="4"/>
        <v>#REF!</v>
      </c>
      <c r="K40" s="10"/>
      <c r="L40" s="9" t="e">
        <f t="shared" si="1"/>
        <v>#REF!</v>
      </c>
      <c r="M40" s="9" t="e">
        <f t="shared" si="2"/>
        <v>#REF!</v>
      </c>
      <c r="N40" s="9" t="e">
        <f t="shared" si="3"/>
        <v>#REF!</v>
      </c>
      <c r="O40" s="11"/>
    </row>
    <row r="41" spans="1:15" ht="15" x14ac:dyDescent="0.25">
      <c r="A41" s="11"/>
      <c r="B41" s="52"/>
      <c r="C41" s="9">
        <v>23.92</v>
      </c>
      <c r="D41" s="9">
        <v>0.9</v>
      </c>
      <c r="E41" s="45" t="e">
        <f>IFERROR(
_xlfn.XLOOKUP(
B41,#REF!,#REF!
),
_xlfn.XLOOKUP(
A41,#REF!,#REF!
)
)</f>
        <v>#REF!</v>
      </c>
      <c r="F41" s="11" t="str">
        <f>IFERROR(
VLOOKUP(
B41,#REF!,
6,
FALSE
),
""
)</f>
        <v/>
      </c>
      <c r="G41" s="11"/>
      <c r="H41" s="9">
        <v>24</v>
      </c>
      <c r="I41" s="47" t="e">
        <f t="shared" si="0"/>
        <v>#REF!</v>
      </c>
      <c r="J41" s="10" t="e">
        <f t="shared" si="4"/>
        <v>#REF!</v>
      </c>
      <c r="K41" s="10"/>
      <c r="L41" s="9" t="e">
        <f t="shared" si="1"/>
        <v>#REF!</v>
      </c>
      <c r="M41" s="9" t="e">
        <f t="shared" si="2"/>
        <v>#REF!</v>
      </c>
      <c r="N41" s="9" t="e">
        <f t="shared" si="3"/>
        <v>#REF!</v>
      </c>
      <c r="O41" s="11"/>
    </row>
    <row r="42" spans="1:15" ht="15" x14ac:dyDescent="0.25">
      <c r="A42" s="11"/>
      <c r="B42" s="52"/>
      <c r="C42" s="9">
        <v>23.92</v>
      </c>
      <c r="D42" s="9">
        <v>0.9</v>
      </c>
      <c r="E42" s="45" t="e">
        <f>IFERROR(
_xlfn.XLOOKUP(
B42,#REF!,#REF!
),
_xlfn.XLOOKUP(
A42,#REF!,#REF!
)
)</f>
        <v>#REF!</v>
      </c>
      <c r="F42" s="11" t="str">
        <f>IFERROR(
VLOOKUP(
B42,#REF!,
6,
FALSE
),
""
)</f>
        <v/>
      </c>
      <c r="G42" s="11"/>
      <c r="H42" s="9">
        <v>24</v>
      </c>
      <c r="I42" s="47" t="e">
        <f t="shared" si="0"/>
        <v>#REF!</v>
      </c>
      <c r="J42" s="10" t="e">
        <f t="shared" si="4"/>
        <v>#REF!</v>
      </c>
      <c r="K42" s="10"/>
      <c r="L42" s="9" t="e">
        <f t="shared" si="1"/>
        <v>#REF!</v>
      </c>
      <c r="M42" s="9" t="e">
        <f t="shared" si="2"/>
        <v>#REF!</v>
      </c>
      <c r="N42" s="9" t="e">
        <f t="shared" si="3"/>
        <v>#REF!</v>
      </c>
      <c r="O42" s="11"/>
    </row>
    <row r="43" spans="1:15" ht="15" x14ac:dyDescent="0.25">
      <c r="A43" s="11"/>
      <c r="B43" s="52"/>
      <c r="C43" s="9">
        <v>23.92</v>
      </c>
      <c r="D43" s="9">
        <v>0.9</v>
      </c>
      <c r="E43" s="45" t="e">
        <f>IFERROR(
_xlfn.XLOOKUP(
B43,#REF!,#REF!
),
_xlfn.XLOOKUP(
A43,#REF!,#REF!
)
)</f>
        <v>#REF!</v>
      </c>
      <c r="F43" s="11" t="str">
        <f>IFERROR(
VLOOKUP(
B43,#REF!,
6,
FALSE
),
""
)</f>
        <v/>
      </c>
      <c r="G43" s="11"/>
      <c r="H43" s="9">
        <v>24</v>
      </c>
      <c r="I43" s="47" t="e">
        <f t="shared" si="0"/>
        <v>#REF!</v>
      </c>
      <c r="J43" s="10" t="e">
        <f t="shared" si="4"/>
        <v>#REF!</v>
      </c>
      <c r="K43" s="10"/>
      <c r="L43" s="9" t="e">
        <f t="shared" si="1"/>
        <v>#REF!</v>
      </c>
      <c r="M43" s="9" t="e">
        <f t="shared" si="2"/>
        <v>#REF!</v>
      </c>
      <c r="N43" s="9" t="e">
        <f t="shared" si="3"/>
        <v>#REF!</v>
      </c>
      <c r="O43" s="11"/>
    </row>
    <row r="44" spans="1:15" ht="15" x14ac:dyDescent="0.25">
      <c r="A44" s="11"/>
      <c r="B44" s="52"/>
      <c r="C44" s="9">
        <v>23.92</v>
      </c>
      <c r="D44" s="9">
        <v>0.9</v>
      </c>
      <c r="E44" s="45" t="e">
        <f>IFERROR(
_xlfn.XLOOKUP(
B44,#REF!,#REF!
),
_xlfn.XLOOKUP(
A44,#REF!,#REF!
)
)</f>
        <v>#REF!</v>
      </c>
      <c r="F44" s="11" t="str">
        <f>IFERROR(
VLOOKUP(
B44,#REF!,
6,
FALSE
),
""
)</f>
        <v/>
      </c>
      <c r="G44" s="11"/>
      <c r="H44" s="9">
        <v>24</v>
      </c>
      <c r="I44" s="47" t="e">
        <f t="shared" si="0"/>
        <v>#REF!</v>
      </c>
      <c r="J44" s="10" t="e">
        <f t="shared" si="4"/>
        <v>#REF!</v>
      </c>
      <c r="K44" s="10"/>
      <c r="L44" s="9" t="e">
        <f t="shared" si="1"/>
        <v>#REF!</v>
      </c>
      <c r="M44" s="9" t="e">
        <f t="shared" si="2"/>
        <v>#REF!</v>
      </c>
      <c r="N44" s="9" t="e">
        <f t="shared" si="3"/>
        <v>#REF!</v>
      </c>
      <c r="O44" s="11"/>
    </row>
    <row r="45" spans="1:15" ht="15" x14ac:dyDescent="0.25">
      <c r="A45" s="11"/>
      <c r="B45" s="52"/>
      <c r="C45" s="9">
        <v>23.92</v>
      </c>
      <c r="D45" s="9">
        <v>0.9</v>
      </c>
      <c r="E45" s="45" t="e">
        <f>IFERROR(
_xlfn.XLOOKUP(
B45,#REF!,#REF!
),
_xlfn.XLOOKUP(
A45,#REF!,#REF!
)
)</f>
        <v>#REF!</v>
      </c>
      <c r="F45" s="11" t="str">
        <f>IFERROR(
VLOOKUP(
B45,#REF!,
6,
FALSE
),
""
)</f>
        <v/>
      </c>
      <c r="G45" s="11"/>
      <c r="H45" s="9">
        <v>24</v>
      </c>
      <c r="I45" s="47" t="e">
        <f t="shared" si="0"/>
        <v>#REF!</v>
      </c>
      <c r="J45" s="10" t="e">
        <f t="shared" si="4"/>
        <v>#REF!</v>
      </c>
      <c r="K45" s="10"/>
      <c r="L45" s="9" t="e">
        <f t="shared" si="1"/>
        <v>#REF!</v>
      </c>
      <c r="M45" s="9" t="e">
        <f t="shared" si="2"/>
        <v>#REF!</v>
      </c>
      <c r="N45" s="9" t="e">
        <f t="shared" si="3"/>
        <v>#REF!</v>
      </c>
      <c r="O45" s="11"/>
    </row>
    <row r="46" spans="1:15" ht="15" x14ac:dyDescent="0.25">
      <c r="A46" s="11"/>
      <c r="B46" s="52"/>
      <c r="C46" s="9">
        <v>23.92</v>
      </c>
      <c r="D46" s="9">
        <v>0.9</v>
      </c>
      <c r="E46" s="45" t="e">
        <f>IFERROR(
_xlfn.XLOOKUP(
B46,#REF!,#REF!
),
_xlfn.XLOOKUP(
A46,#REF!,#REF!
)
)</f>
        <v>#REF!</v>
      </c>
      <c r="F46" s="11" t="str">
        <f>IFERROR(
VLOOKUP(
B46,#REF!,
6,
FALSE
),
""
)</f>
        <v/>
      </c>
      <c r="G46" s="11"/>
      <c r="H46" s="9">
        <v>24</v>
      </c>
      <c r="I46" s="47" t="e">
        <f t="shared" si="0"/>
        <v>#REF!</v>
      </c>
      <c r="J46" s="10" t="e">
        <f t="shared" si="4"/>
        <v>#REF!</v>
      </c>
      <c r="K46" s="10"/>
      <c r="L46" s="9" t="e">
        <f t="shared" si="1"/>
        <v>#REF!</v>
      </c>
      <c r="M46" s="9" t="e">
        <f t="shared" si="2"/>
        <v>#REF!</v>
      </c>
      <c r="N46" s="9" t="e">
        <f t="shared" si="3"/>
        <v>#REF!</v>
      </c>
      <c r="O46" s="11"/>
    </row>
    <row r="47" spans="1:15" ht="15" x14ac:dyDescent="0.25">
      <c r="A47" s="11"/>
      <c r="B47" s="52"/>
      <c r="C47" s="9">
        <v>23.92</v>
      </c>
      <c r="D47" s="9">
        <v>0.9</v>
      </c>
      <c r="E47" s="45" t="e">
        <f>IFERROR(
_xlfn.XLOOKUP(
B47,#REF!,#REF!
),
_xlfn.XLOOKUP(
A47,#REF!,#REF!
)
)</f>
        <v>#REF!</v>
      </c>
      <c r="F47" s="11" t="str">
        <f>IFERROR(
VLOOKUP(
B47,#REF!,
6,
FALSE
),
""
)</f>
        <v/>
      </c>
      <c r="G47" s="11"/>
      <c r="H47" s="9">
        <v>24</v>
      </c>
      <c r="I47" s="47" t="e">
        <f t="shared" si="0"/>
        <v>#REF!</v>
      </c>
      <c r="J47" s="10" t="e">
        <f t="shared" si="4"/>
        <v>#REF!</v>
      </c>
      <c r="K47" s="10"/>
      <c r="L47" s="9" t="e">
        <f t="shared" si="1"/>
        <v>#REF!</v>
      </c>
      <c r="M47" s="9" t="e">
        <f t="shared" si="2"/>
        <v>#REF!</v>
      </c>
      <c r="N47" s="9" t="e">
        <f t="shared" si="3"/>
        <v>#REF!</v>
      </c>
      <c r="O47" s="11"/>
    </row>
    <row r="48" spans="1:15" ht="15" x14ac:dyDescent="0.25">
      <c r="A48" s="11"/>
      <c r="B48" s="52"/>
      <c r="C48" s="9">
        <v>23.92</v>
      </c>
      <c r="D48" s="9">
        <v>0.9</v>
      </c>
      <c r="E48" s="45" t="e">
        <f>IFERROR(
_xlfn.XLOOKUP(
B48,#REF!,#REF!
),
_xlfn.XLOOKUP(
A48,#REF!,#REF!
)
)</f>
        <v>#REF!</v>
      </c>
      <c r="F48" s="11" t="str">
        <f>IFERROR(
VLOOKUP(
B48,#REF!,
6,
FALSE
),
""
)</f>
        <v/>
      </c>
      <c r="G48" s="11"/>
      <c r="H48" s="9">
        <v>24</v>
      </c>
      <c r="I48" s="47" t="e">
        <f t="shared" si="0"/>
        <v>#REF!</v>
      </c>
      <c r="J48" s="10" t="e">
        <f t="shared" si="4"/>
        <v>#REF!</v>
      </c>
      <c r="K48" s="10"/>
      <c r="L48" s="9" t="e">
        <f t="shared" si="1"/>
        <v>#REF!</v>
      </c>
      <c r="M48" s="9" t="e">
        <f t="shared" si="2"/>
        <v>#REF!</v>
      </c>
      <c r="N48" s="9" t="e">
        <f t="shared" si="3"/>
        <v>#REF!</v>
      </c>
      <c r="O48" s="11"/>
    </row>
    <row r="49" spans="1:15" ht="15" x14ac:dyDescent="0.25">
      <c r="A49" s="11"/>
      <c r="B49" s="52"/>
      <c r="C49" s="9">
        <v>23.92</v>
      </c>
      <c r="D49" s="9">
        <v>0.9</v>
      </c>
      <c r="E49" s="45" t="e">
        <f>IFERROR(
_xlfn.XLOOKUP(
B49,#REF!,#REF!
),
_xlfn.XLOOKUP(
A49,#REF!,#REF!
)
)</f>
        <v>#REF!</v>
      </c>
      <c r="F49" s="11" t="str">
        <f>IFERROR(
VLOOKUP(
B49,#REF!,
6,
FALSE
),
""
)</f>
        <v/>
      </c>
      <c r="G49" s="11"/>
      <c r="H49" s="9">
        <v>24</v>
      </c>
      <c r="I49" s="47" t="e">
        <f t="shared" si="0"/>
        <v>#REF!</v>
      </c>
      <c r="J49" s="10" t="e">
        <f t="shared" si="4"/>
        <v>#REF!</v>
      </c>
      <c r="K49" s="10"/>
      <c r="L49" s="9" t="e">
        <f t="shared" si="1"/>
        <v>#REF!</v>
      </c>
      <c r="M49" s="9" t="e">
        <f t="shared" si="2"/>
        <v>#REF!</v>
      </c>
      <c r="N49" s="9" t="e">
        <f t="shared" si="3"/>
        <v>#REF!</v>
      </c>
      <c r="O49" s="11"/>
    </row>
    <row r="50" spans="1:15" ht="15" x14ac:dyDescent="0.25">
      <c r="A50" s="11"/>
      <c r="B50" s="52"/>
      <c r="C50" s="9">
        <v>11.49</v>
      </c>
      <c r="D50" s="9">
        <v>0.57999999999999996</v>
      </c>
      <c r="E50" s="45">
        <v>0.59</v>
      </c>
      <c r="F50" s="11">
        <v>11</v>
      </c>
      <c r="G50" s="11"/>
      <c r="H50" s="9">
        <v>24</v>
      </c>
      <c r="I50" s="47">
        <f t="shared" si="0"/>
        <v>12.66</v>
      </c>
      <c r="J50" s="10">
        <f t="shared" si="4"/>
        <v>18.177860120426121</v>
      </c>
      <c r="K50" s="10"/>
      <c r="L50" s="9">
        <f t="shared" si="1"/>
        <v>1.9995646132468732</v>
      </c>
      <c r="M50" s="9">
        <f t="shared" si="2"/>
        <v>3.5182955071792499</v>
      </c>
      <c r="N50" s="9">
        <f t="shared" si="3"/>
        <v>12.66</v>
      </c>
      <c r="O50" s="11"/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85313-4033-4D64-8A99-43CF025B5741}">
  <sheetPr>
    <tabColor rgb="FF92D050"/>
  </sheetPr>
  <dimension ref="A1:O69"/>
  <sheetViews>
    <sheetView workbookViewId="0">
      <selection activeCell="L10" sqref="L10"/>
    </sheetView>
  </sheetViews>
  <sheetFormatPr defaultRowHeight="12.75" x14ac:dyDescent="0.2"/>
  <cols>
    <col min="1" max="1" width="47.5703125" bestFit="1" customWidth="1"/>
    <col min="2" max="2" width="16" bestFit="1" customWidth="1"/>
    <col min="3" max="3" width="14" customWidth="1"/>
    <col min="5" max="5" width="16.140625" customWidth="1"/>
    <col min="10" max="10" width="36.85546875" bestFit="1" customWidth="1"/>
    <col min="11" max="11" width="11.5703125" customWidth="1"/>
    <col min="13" max="13" width="14.140625" customWidth="1"/>
    <col min="15" max="15" width="18.42578125" customWidth="1"/>
  </cols>
  <sheetData>
    <row r="1" spans="1:15" ht="21" x14ac:dyDescent="0.35">
      <c r="A1" s="55"/>
      <c r="B1" s="56"/>
      <c r="C1" s="55" t="s">
        <v>314</v>
      </c>
      <c r="D1" s="55" t="s">
        <v>315</v>
      </c>
      <c r="E1" s="77" t="s">
        <v>316</v>
      </c>
      <c r="F1" s="55" t="s">
        <v>317</v>
      </c>
      <c r="G1" s="55" t="s">
        <v>2086</v>
      </c>
      <c r="H1" s="55" t="s">
        <v>318</v>
      </c>
      <c r="I1" s="55" t="s">
        <v>319</v>
      </c>
      <c r="J1" s="58" t="s">
        <v>320</v>
      </c>
      <c r="K1" s="58" t="s">
        <v>2087</v>
      </c>
      <c r="L1" s="55" t="s">
        <v>321</v>
      </c>
      <c r="M1" s="55" t="s">
        <v>322</v>
      </c>
      <c r="N1" s="55" t="s">
        <v>323</v>
      </c>
      <c r="O1" s="55"/>
    </row>
    <row r="2" spans="1:15" ht="15" x14ac:dyDescent="0.25">
      <c r="A2" s="6" t="s">
        <v>1995</v>
      </c>
      <c r="B2" s="74" t="s">
        <v>1996</v>
      </c>
      <c r="C2" s="12">
        <v>13.44</v>
      </c>
      <c r="D2" s="88">
        <v>0.9</v>
      </c>
      <c r="E2" s="89" t="e">
        <f>IFERROR(
_xlfn.XLOOKUP(
B2,#REF!,#REF!
),
_xlfn.XLOOKUP(
A2,#REF!,#REF!
)
)</f>
        <v>#REF!</v>
      </c>
      <c r="F2" s="88" t="str">
        <f>IFERROR(
VLOOKUP(
B2,#REF!,
6,
FALSE
),
""
)</f>
        <v/>
      </c>
      <c r="G2" s="88">
        <v>0</v>
      </c>
      <c r="H2" s="88">
        <v>24</v>
      </c>
      <c r="I2" s="90" t="e">
        <f t="shared" ref="I2" si="0">C2+D2+E2</f>
        <v>#REF!</v>
      </c>
      <c r="J2" s="91" t="e">
        <f>(I2+G2) / (1 - F2/100 - (1 - 1/(1 + H2/100)))</f>
        <v>#REF!</v>
      </c>
      <c r="K2" s="91">
        <v>22.4</v>
      </c>
      <c r="L2" s="88" t="e">
        <f t="shared" ref="L2" si="1">J2 * F2 / 100</f>
        <v>#REF!</v>
      </c>
      <c r="M2" s="88" t="e">
        <f t="shared" ref="M2" si="2">J2 - (J2 / (1 + H2/100))</f>
        <v>#REF!</v>
      </c>
      <c r="N2" s="88" t="e">
        <f t="shared" ref="N2" si="3">J2 - L2 - M2</f>
        <v>#REF!</v>
      </c>
      <c r="O2" s="88"/>
    </row>
    <row r="3" spans="1:15" ht="15" x14ac:dyDescent="0.25">
      <c r="A3" s="92" t="s">
        <v>1997</v>
      </c>
      <c r="B3" s="93" t="s">
        <v>1998</v>
      </c>
      <c r="C3" s="12">
        <v>12.55</v>
      </c>
      <c r="D3" s="88">
        <v>0.9</v>
      </c>
      <c r="E3" s="89" t="e">
        <f>IFERROR(
_xlfn.XLOOKUP(
B3,#REF!,#REF!
),
_xlfn.XLOOKUP(
A3,#REF!,#REF!
)
)</f>
        <v>#REF!</v>
      </c>
      <c r="F3" s="88" t="str">
        <f>IFERROR(
VLOOKUP(
B3,#REF!,
6,
FALSE
),
""
)</f>
        <v/>
      </c>
      <c r="G3" s="88">
        <v>0</v>
      </c>
      <c r="H3" s="88">
        <v>24</v>
      </c>
      <c r="I3" s="90" t="e">
        <f t="shared" ref="I3:I66" si="4">C3+D3+E3</f>
        <v>#REF!</v>
      </c>
      <c r="J3" s="91" t="e">
        <f t="shared" ref="J3:J66" si="5">(I3+G3) / (1 - F3/100 - (1 - 1/(1 + H3/100)))</f>
        <v>#REF!</v>
      </c>
      <c r="K3" s="91"/>
      <c r="L3" s="88" t="e">
        <f t="shared" ref="L3:L66" si="6">J3 * F3 / 100</f>
        <v>#REF!</v>
      </c>
      <c r="M3" s="88" t="e">
        <f t="shared" ref="M3:M66" si="7">J3 - (J3 / (1 + H3/100))</f>
        <v>#REF!</v>
      </c>
      <c r="N3" s="88" t="e">
        <f t="shared" ref="N3:N66" si="8">J3 - L3 - M3</f>
        <v>#REF!</v>
      </c>
      <c r="O3" s="88"/>
    </row>
    <row r="4" spans="1:15" ht="15" x14ac:dyDescent="0.25">
      <c r="A4" s="6" t="s">
        <v>1999</v>
      </c>
      <c r="B4" s="71" t="s">
        <v>2000</v>
      </c>
      <c r="C4" s="12">
        <v>16.34</v>
      </c>
      <c r="D4" s="88">
        <v>0.9</v>
      </c>
      <c r="E4" s="89" t="e">
        <f>IFERROR(
_xlfn.XLOOKUP(
B4,#REF!,#REF!
),
_xlfn.XLOOKUP(
A4,#REF!,#REF!
)
)</f>
        <v>#REF!</v>
      </c>
      <c r="F4" s="88" t="str">
        <f>IFERROR(
VLOOKUP(
B4,#REF!,
6,
FALSE
),
""
)</f>
        <v/>
      </c>
      <c r="G4" s="88">
        <v>0</v>
      </c>
      <c r="H4" s="88">
        <v>24</v>
      </c>
      <c r="I4" s="90" t="e">
        <f t="shared" si="4"/>
        <v>#REF!</v>
      </c>
      <c r="J4" s="91" t="e">
        <f t="shared" si="5"/>
        <v>#REF!</v>
      </c>
      <c r="K4" s="91">
        <v>27.24</v>
      </c>
      <c r="L4" s="88" t="e">
        <f t="shared" si="6"/>
        <v>#REF!</v>
      </c>
      <c r="M4" s="88" t="e">
        <f t="shared" si="7"/>
        <v>#REF!</v>
      </c>
      <c r="N4" s="88" t="e">
        <f t="shared" si="8"/>
        <v>#REF!</v>
      </c>
      <c r="O4" s="88"/>
    </row>
    <row r="5" spans="1:15" ht="15" x14ac:dyDescent="0.25">
      <c r="A5" s="6" t="s">
        <v>2001</v>
      </c>
      <c r="B5" s="71" t="s">
        <v>2002</v>
      </c>
      <c r="C5" s="12">
        <v>9.33</v>
      </c>
      <c r="D5" s="88">
        <v>0.9</v>
      </c>
      <c r="E5" s="89" t="e">
        <f>IFERROR(
_xlfn.XLOOKUP(
B5,#REF!,#REF!
),
_xlfn.XLOOKUP(
A5,#REF!,#REF!
)
)</f>
        <v>#REF!</v>
      </c>
      <c r="F5" s="88" t="str">
        <f>IFERROR(
VLOOKUP(
B5,#REF!,
6,
FALSE
),
""
)</f>
        <v/>
      </c>
      <c r="G5" s="88">
        <v>0</v>
      </c>
      <c r="H5" s="88">
        <v>24</v>
      </c>
      <c r="I5" s="90" t="e">
        <f t="shared" si="4"/>
        <v>#REF!</v>
      </c>
      <c r="J5" s="91" t="e">
        <f t="shared" si="5"/>
        <v>#REF!</v>
      </c>
      <c r="K5" s="91">
        <v>16.37</v>
      </c>
      <c r="L5" s="88" t="e">
        <f t="shared" si="6"/>
        <v>#REF!</v>
      </c>
      <c r="M5" s="88" t="e">
        <f t="shared" si="7"/>
        <v>#REF!</v>
      </c>
      <c r="N5" s="88" t="e">
        <f t="shared" si="8"/>
        <v>#REF!</v>
      </c>
      <c r="O5" s="88"/>
    </row>
    <row r="6" spans="1:15" ht="15" x14ac:dyDescent="0.25">
      <c r="A6" s="6" t="s">
        <v>2003</v>
      </c>
      <c r="B6" s="71" t="s">
        <v>2004</v>
      </c>
      <c r="C6" s="12">
        <v>12.29</v>
      </c>
      <c r="D6" s="88">
        <v>0.9</v>
      </c>
      <c r="E6" s="89" t="e">
        <f>IFERROR(
_xlfn.XLOOKUP(
B6,#REF!,#REF!
),
_xlfn.XLOOKUP(
A6,#REF!,#REF!
)
)</f>
        <v>#REF!</v>
      </c>
      <c r="F6" s="88" t="str">
        <f>IFERROR(
VLOOKUP(
B6,#REF!,
6,
FALSE
),
""
)</f>
        <v/>
      </c>
      <c r="G6" s="88">
        <v>0</v>
      </c>
      <c r="H6" s="88">
        <v>24</v>
      </c>
      <c r="I6" s="90" t="e">
        <f t="shared" si="4"/>
        <v>#REF!</v>
      </c>
      <c r="J6" s="91" t="e">
        <f t="shared" si="5"/>
        <v>#REF!</v>
      </c>
      <c r="K6" s="91">
        <v>20.49</v>
      </c>
      <c r="L6" s="88" t="e">
        <f t="shared" si="6"/>
        <v>#REF!</v>
      </c>
      <c r="M6" s="88" t="e">
        <f t="shared" si="7"/>
        <v>#REF!</v>
      </c>
      <c r="N6" s="88" t="e">
        <f t="shared" si="8"/>
        <v>#REF!</v>
      </c>
      <c r="O6" s="88"/>
    </row>
    <row r="7" spans="1:15" ht="15" x14ac:dyDescent="0.25">
      <c r="A7" s="6" t="s">
        <v>2005</v>
      </c>
      <c r="B7" s="71" t="s">
        <v>2006</v>
      </c>
      <c r="C7" s="12">
        <v>4.26</v>
      </c>
      <c r="D7" s="88">
        <v>0.69</v>
      </c>
      <c r="E7" s="89" t="e">
        <f>IFERROR(
_xlfn.XLOOKUP(
B7,#REF!,#REF!
),
_xlfn.XLOOKUP(
A7,#REF!,#REF!
)
)</f>
        <v>#REF!</v>
      </c>
      <c r="F7" s="88" t="str">
        <f>IFERROR(
VLOOKUP(
B7,#REF!,
6,
FALSE
),
""
)</f>
        <v/>
      </c>
      <c r="G7" s="88">
        <v>0</v>
      </c>
      <c r="H7" s="88">
        <v>24</v>
      </c>
      <c r="I7" s="90" t="e">
        <f t="shared" si="4"/>
        <v>#REF!</v>
      </c>
      <c r="J7" s="91" t="e">
        <f t="shared" si="5"/>
        <v>#REF!</v>
      </c>
      <c r="K7" s="91">
        <v>7.47</v>
      </c>
      <c r="L7" s="88" t="e">
        <f t="shared" si="6"/>
        <v>#REF!</v>
      </c>
      <c r="M7" s="88" t="e">
        <f t="shared" si="7"/>
        <v>#REF!</v>
      </c>
      <c r="N7" s="88" t="e">
        <f t="shared" si="8"/>
        <v>#REF!</v>
      </c>
      <c r="O7" s="88"/>
    </row>
    <row r="8" spans="1:15" ht="15" x14ac:dyDescent="0.25">
      <c r="A8" s="6" t="s">
        <v>2007</v>
      </c>
      <c r="B8" s="71" t="s">
        <v>2008</v>
      </c>
      <c r="C8" s="12">
        <v>21.08</v>
      </c>
      <c r="D8" s="88">
        <v>0.9</v>
      </c>
      <c r="E8" s="89" t="e">
        <f>IFERROR(
_xlfn.XLOOKUP(
B8,#REF!,#REF!
),
_xlfn.XLOOKUP(
A8,#REF!,#REF!
)
)</f>
        <v>#REF!</v>
      </c>
      <c r="F8" s="88" t="str">
        <f>IFERROR(
VLOOKUP(
B8,#REF!,
6,
FALSE
),
""
)</f>
        <v/>
      </c>
      <c r="G8" s="88">
        <v>0</v>
      </c>
      <c r="H8" s="88">
        <v>24</v>
      </c>
      <c r="I8" s="90" t="e">
        <f t="shared" si="4"/>
        <v>#REF!</v>
      </c>
      <c r="J8" s="91" t="e">
        <f t="shared" si="5"/>
        <v>#REF!</v>
      </c>
      <c r="K8" s="91">
        <v>35.130000000000003</v>
      </c>
      <c r="L8" s="88" t="e">
        <f t="shared" si="6"/>
        <v>#REF!</v>
      </c>
      <c r="M8" s="88" t="e">
        <f t="shared" si="7"/>
        <v>#REF!</v>
      </c>
      <c r="N8" s="88" t="e">
        <f t="shared" si="8"/>
        <v>#REF!</v>
      </c>
      <c r="O8" s="88"/>
    </row>
    <row r="9" spans="1:15" ht="15" x14ac:dyDescent="0.25">
      <c r="A9" s="6" t="s">
        <v>2009</v>
      </c>
      <c r="B9" s="74" t="s">
        <v>2010</v>
      </c>
      <c r="C9" s="12">
        <v>4.4800000000000004</v>
      </c>
      <c r="D9" s="88">
        <v>0.45</v>
      </c>
      <c r="E9" s="89" t="e">
        <f>IFERROR(
_xlfn.XLOOKUP(
B9,#REF!,#REF!
),
_xlfn.XLOOKUP(
A9,#REF!,#REF!
)
)</f>
        <v>#REF!</v>
      </c>
      <c r="F9" s="88" t="str">
        <f>IFERROR(
VLOOKUP(
B9,#REF!,
6,
FALSE
),
""
)</f>
        <v/>
      </c>
      <c r="G9" s="88">
        <v>0</v>
      </c>
      <c r="H9" s="88">
        <v>24</v>
      </c>
      <c r="I9" s="90" t="e">
        <f t="shared" si="4"/>
        <v>#REF!</v>
      </c>
      <c r="J9" s="91" t="e">
        <f t="shared" si="5"/>
        <v>#REF!</v>
      </c>
      <c r="K9" s="91">
        <v>7.47</v>
      </c>
      <c r="L9" s="88" t="e">
        <f t="shared" si="6"/>
        <v>#REF!</v>
      </c>
      <c r="M9" s="88" t="e">
        <f t="shared" si="7"/>
        <v>#REF!</v>
      </c>
      <c r="N9" s="88" t="e">
        <f t="shared" si="8"/>
        <v>#REF!</v>
      </c>
      <c r="O9" s="88"/>
    </row>
    <row r="10" spans="1:15" ht="15" x14ac:dyDescent="0.25">
      <c r="A10" s="6" t="s">
        <v>2011</v>
      </c>
      <c r="B10" s="71" t="s">
        <v>2012</v>
      </c>
      <c r="C10" s="12">
        <v>10.039999999999999</v>
      </c>
      <c r="D10" s="88">
        <v>0.9</v>
      </c>
      <c r="E10" s="89" t="e">
        <f>IFERROR(
_xlfn.XLOOKUP(
B10,#REF!,#REF!
),
_xlfn.XLOOKUP(
A10,#REF!,#REF!
)
)</f>
        <v>#REF!</v>
      </c>
      <c r="F10" s="88" t="str">
        <f>IFERROR(
VLOOKUP(
B10,#REF!,
6,
FALSE
),
""
)</f>
        <v/>
      </c>
      <c r="G10" s="88">
        <v>0</v>
      </c>
      <c r="H10" s="88">
        <v>24</v>
      </c>
      <c r="I10" s="90" t="e">
        <f t="shared" si="4"/>
        <v>#REF!</v>
      </c>
      <c r="J10" s="91" t="e">
        <f t="shared" si="5"/>
        <v>#REF!</v>
      </c>
      <c r="K10" s="91">
        <v>17.62</v>
      </c>
      <c r="L10" s="88" t="e">
        <f t="shared" si="6"/>
        <v>#REF!</v>
      </c>
      <c r="M10" s="88" t="e">
        <f t="shared" si="7"/>
        <v>#REF!</v>
      </c>
      <c r="N10" s="88" t="e">
        <f t="shared" si="8"/>
        <v>#REF!</v>
      </c>
      <c r="O10" s="88"/>
    </row>
    <row r="11" spans="1:15" ht="15" x14ac:dyDescent="0.25">
      <c r="A11" s="92" t="s">
        <v>2013</v>
      </c>
      <c r="B11" s="93" t="s">
        <v>2014</v>
      </c>
      <c r="C11" s="12">
        <v>14.68</v>
      </c>
      <c r="D11" s="88">
        <v>0.9</v>
      </c>
      <c r="E11" s="89" t="e">
        <f>IFERROR(
_xlfn.XLOOKUP(
B11,#REF!,#REF!
),
_xlfn.XLOOKUP(
A11,#REF!,#REF!
)
)</f>
        <v>#REF!</v>
      </c>
      <c r="F11" s="88" t="str">
        <f>IFERROR(
VLOOKUP(
B11,#REF!,
6,
FALSE
),
""
)</f>
        <v/>
      </c>
      <c r="G11" s="88">
        <v>0</v>
      </c>
      <c r="H11" s="88">
        <v>24</v>
      </c>
      <c r="I11" s="90" t="e">
        <f t="shared" si="4"/>
        <v>#REF!</v>
      </c>
      <c r="J11" s="91" t="e">
        <f t="shared" si="5"/>
        <v>#REF!</v>
      </c>
      <c r="K11" s="91"/>
      <c r="L11" s="88" t="e">
        <f t="shared" si="6"/>
        <v>#REF!</v>
      </c>
      <c r="M11" s="88" t="e">
        <f t="shared" si="7"/>
        <v>#REF!</v>
      </c>
      <c r="N11" s="88" t="e">
        <f t="shared" si="8"/>
        <v>#REF!</v>
      </c>
      <c r="O11" s="88"/>
    </row>
    <row r="12" spans="1:15" ht="15" x14ac:dyDescent="0.25">
      <c r="A12" s="92" t="s">
        <v>2015</v>
      </c>
      <c r="B12" s="93" t="s">
        <v>2016</v>
      </c>
      <c r="C12" s="12">
        <v>12.01</v>
      </c>
      <c r="D12" s="88">
        <v>0.9</v>
      </c>
      <c r="E12" s="89" t="e">
        <f>IFERROR(
_xlfn.XLOOKUP(
B12,#REF!,#REF!
),
_xlfn.XLOOKUP(
A12,#REF!,#REF!
)
)</f>
        <v>#REF!</v>
      </c>
      <c r="F12" s="88" t="str">
        <f>IFERROR(
VLOOKUP(
B12,#REF!,
6,
FALSE
),
""
)</f>
        <v/>
      </c>
      <c r="G12" s="88">
        <v>0</v>
      </c>
      <c r="H12" s="88">
        <v>24</v>
      </c>
      <c r="I12" s="90" t="e">
        <f t="shared" si="4"/>
        <v>#REF!</v>
      </c>
      <c r="J12" s="91" t="e">
        <f t="shared" si="5"/>
        <v>#REF!</v>
      </c>
      <c r="K12" s="91"/>
      <c r="L12" s="88" t="e">
        <f t="shared" si="6"/>
        <v>#REF!</v>
      </c>
      <c r="M12" s="88" t="e">
        <f t="shared" si="7"/>
        <v>#REF!</v>
      </c>
      <c r="N12" s="88" t="e">
        <f t="shared" si="8"/>
        <v>#REF!</v>
      </c>
      <c r="O12" s="88"/>
    </row>
    <row r="13" spans="1:15" ht="15" x14ac:dyDescent="0.25">
      <c r="A13" s="6" t="s">
        <v>2017</v>
      </c>
      <c r="B13" s="71" t="s">
        <v>2018</v>
      </c>
      <c r="C13" s="12">
        <v>7.52</v>
      </c>
      <c r="D13" s="88">
        <v>0.9</v>
      </c>
      <c r="E13" s="89" t="e">
        <f>IFERROR(
_xlfn.XLOOKUP(
B13,#REF!,#REF!
),
_xlfn.XLOOKUP(
A13,#REF!,#REF!
)
)</f>
        <v>#REF!</v>
      </c>
      <c r="F13" s="88" t="str">
        <f>IFERROR(
VLOOKUP(
B13,#REF!,
6,
FALSE
),
""
)</f>
        <v/>
      </c>
      <c r="G13" s="88">
        <v>0</v>
      </c>
      <c r="H13" s="88">
        <v>24</v>
      </c>
      <c r="I13" s="90" t="e">
        <f t="shared" si="4"/>
        <v>#REF!</v>
      </c>
      <c r="J13" s="91" t="e">
        <f t="shared" si="5"/>
        <v>#REF!</v>
      </c>
      <c r="K13" s="91">
        <v>13.2</v>
      </c>
      <c r="L13" s="88" t="e">
        <f t="shared" si="6"/>
        <v>#REF!</v>
      </c>
      <c r="M13" s="88" t="e">
        <f t="shared" si="7"/>
        <v>#REF!</v>
      </c>
      <c r="N13" s="88" t="e">
        <f t="shared" si="8"/>
        <v>#REF!</v>
      </c>
      <c r="O13" s="88"/>
    </row>
    <row r="14" spans="1:15" ht="15" x14ac:dyDescent="0.25">
      <c r="A14" s="6" t="s">
        <v>2019</v>
      </c>
      <c r="B14" s="71" t="s">
        <v>2020</v>
      </c>
      <c r="C14" s="12">
        <v>4.53</v>
      </c>
      <c r="D14" s="88">
        <v>0.1</v>
      </c>
      <c r="E14" s="89" t="e">
        <f>IFERROR(
_xlfn.XLOOKUP(
B14,#REF!,#REF!
),
_xlfn.XLOOKUP(
A14,#REF!,#REF!
)
)</f>
        <v>#REF!</v>
      </c>
      <c r="F14" s="88" t="str">
        <f>IFERROR(
VLOOKUP(
B14,#REF!,
6,
FALSE
),
""
)</f>
        <v/>
      </c>
      <c r="G14" s="88">
        <v>0</v>
      </c>
      <c r="H14" s="88">
        <v>24</v>
      </c>
      <c r="I14" s="90" t="e">
        <f t="shared" si="4"/>
        <v>#REF!</v>
      </c>
      <c r="J14" s="91" t="e">
        <f t="shared" si="5"/>
        <v>#REF!</v>
      </c>
      <c r="K14" s="91">
        <v>5.79</v>
      </c>
      <c r="L14" s="88" t="e">
        <f t="shared" si="6"/>
        <v>#REF!</v>
      </c>
      <c r="M14" s="88" t="e">
        <f t="shared" si="7"/>
        <v>#REF!</v>
      </c>
      <c r="N14" s="88" t="e">
        <f t="shared" si="8"/>
        <v>#REF!</v>
      </c>
      <c r="O14" s="88"/>
    </row>
    <row r="15" spans="1:15" ht="15" x14ac:dyDescent="0.25">
      <c r="A15" s="6" t="s">
        <v>2021</v>
      </c>
      <c r="B15" s="71" t="s">
        <v>2022</v>
      </c>
      <c r="C15" s="12">
        <v>17.100000000000001</v>
      </c>
      <c r="D15" s="88">
        <v>0.9</v>
      </c>
      <c r="E15" s="89" t="e">
        <f>IFERROR(
_xlfn.XLOOKUP(
B15,#REF!,#REF!
),
_xlfn.XLOOKUP(
A15,#REF!,#REF!
)
)</f>
        <v>#REF!</v>
      </c>
      <c r="F15" s="88" t="str">
        <f>IFERROR(
VLOOKUP(
B15,#REF!,
6,
FALSE
),
""
)</f>
        <v/>
      </c>
      <c r="G15" s="88">
        <v>0</v>
      </c>
      <c r="H15" s="88">
        <v>24</v>
      </c>
      <c r="I15" s="90" t="e">
        <f t="shared" si="4"/>
        <v>#REF!</v>
      </c>
      <c r="J15" s="91" t="e">
        <f t="shared" si="5"/>
        <v>#REF!</v>
      </c>
      <c r="K15" s="91">
        <v>28.5</v>
      </c>
      <c r="L15" s="88" t="e">
        <f t="shared" si="6"/>
        <v>#REF!</v>
      </c>
      <c r="M15" s="88" t="e">
        <f t="shared" si="7"/>
        <v>#REF!</v>
      </c>
      <c r="N15" s="88" t="e">
        <f t="shared" si="8"/>
        <v>#REF!</v>
      </c>
      <c r="O15" s="88"/>
    </row>
    <row r="16" spans="1:15" ht="15" x14ac:dyDescent="0.25">
      <c r="A16" s="12" t="s">
        <v>2023</v>
      </c>
      <c r="B16" s="75" t="s">
        <v>2122</v>
      </c>
      <c r="C16" s="12">
        <v>9.19</v>
      </c>
      <c r="D16" s="88">
        <v>0.9</v>
      </c>
      <c r="E16" s="89" t="e">
        <f>IFERROR(
_xlfn.XLOOKUP(
B16,#REF!,#REF!
),
_xlfn.XLOOKUP(
A16,#REF!,#REF!
)
)</f>
        <v>#REF!</v>
      </c>
      <c r="F16" s="88" t="str">
        <f>IFERROR(
VLOOKUP(
B16,#REF!,
6,
FALSE
),
""
)</f>
        <v/>
      </c>
      <c r="G16" s="88">
        <v>0</v>
      </c>
      <c r="H16" s="88">
        <v>24</v>
      </c>
      <c r="I16" s="90" t="e">
        <f t="shared" si="4"/>
        <v>#REF!</v>
      </c>
      <c r="J16" s="91" t="e">
        <f t="shared" si="5"/>
        <v>#REF!</v>
      </c>
      <c r="K16" s="91">
        <v>16.13</v>
      </c>
      <c r="L16" s="88" t="e">
        <f t="shared" si="6"/>
        <v>#REF!</v>
      </c>
      <c r="M16" s="88" t="e">
        <f t="shared" si="7"/>
        <v>#REF!</v>
      </c>
      <c r="N16" s="88" t="e">
        <f t="shared" si="8"/>
        <v>#REF!</v>
      </c>
      <c r="O16" s="88"/>
    </row>
    <row r="17" spans="1:15" ht="15" x14ac:dyDescent="0.25">
      <c r="A17" s="12" t="s">
        <v>2024</v>
      </c>
      <c r="B17" s="75" t="s">
        <v>2123</v>
      </c>
      <c r="C17" s="12">
        <v>6.57</v>
      </c>
      <c r="D17" s="88">
        <v>0.9</v>
      </c>
      <c r="E17" s="89" t="e">
        <f>IFERROR(
_xlfn.XLOOKUP(
B17,#REF!,#REF!
),
_xlfn.XLOOKUP(
A17,#REF!,#REF!
)
)</f>
        <v>#REF!</v>
      </c>
      <c r="F17" s="88" t="str">
        <f>IFERROR(
VLOOKUP(
B17,#REF!,
6,
FALSE
),
""
)</f>
        <v/>
      </c>
      <c r="G17" s="88">
        <v>0</v>
      </c>
      <c r="H17" s="88">
        <v>24</v>
      </c>
      <c r="I17" s="90" t="e">
        <f t="shared" si="4"/>
        <v>#REF!</v>
      </c>
      <c r="J17" s="91" t="e">
        <f t="shared" si="5"/>
        <v>#REF!</v>
      </c>
      <c r="K17" s="91">
        <v>11.53</v>
      </c>
      <c r="L17" s="88" t="e">
        <f t="shared" si="6"/>
        <v>#REF!</v>
      </c>
      <c r="M17" s="88" t="e">
        <f t="shared" si="7"/>
        <v>#REF!</v>
      </c>
      <c r="N17" s="88" t="e">
        <f t="shared" si="8"/>
        <v>#REF!</v>
      </c>
      <c r="O17" s="88"/>
    </row>
    <row r="18" spans="1:15" ht="15" x14ac:dyDescent="0.25">
      <c r="A18" s="94" t="s">
        <v>2025</v>
      </c>
      <c r="B18" s="95" t="s">
        <v>2124</v>
      </c>
      <c r="C18" s="12">
        <v>5.56</v>
      </c>
      <c r="D18" s="88">
        <v>0.9</v>
      </c>
      <c r="E18" s="89" t="e">
        <f>IFERROR(
_xlfn.XLOOKUP(
B18,#REF!,#REF!
),
_xlfn.XLOOKUP(
A18,#REF!,#REF!
)
)</f>
        <v>#REF!</v>
      </c>
      <c r="F18" s="88" t="str">
        <f>IFERROR(
VLOOKUP(
B18,#REF!,
6,
FALSE
),
""
)</f>
        <v/>
      </c>
      <c r="G18" s="88">
        <v>0</v>
      </c>
      <c r="H18" s="88">
        <v>24</v>
      </c>
      <c r="I18" s="90" t="e">
        <f t="shared" si="4"/>
        <v>#REF!</v>
      </c>
      <c r="J18" s="91" t="e">
        <f t="shared" si="5"/>
        <v>#REF!</v>
      </c>
      <c r="K18" s="91"/>
      <c r="L18" s="88" t="e">
        <f t="shared" si="6"/>
        <v>#REF!</v>
      </c>
      <c r="M18" s="88" t="e">
        <f t="shared" si="7"/>
        <v>#REF!</v>
      </c>
      <c r="N18" s="88" t="e">
        <f t="shared" si="8"/>
        <v>#REF!</v>
      </c>
      <c r="O18" s="88"/>
    </row>
    <row r="19" spans="1:15" ht="15" x14ac:dyDescent="0.25">
      <c r="A19" s="12" t="s">
        <v>2026</v>
      </c>
      <c r="B19" s="75" t="s">
        <v>2125</v>
      </c>
      <c r="C19" s="12">
        <v>9.2100000000000009</v>
      </c>
      <c r="D19" s="88">
        <v>0.9</v>
      </c>
      <c r="E19" s="89" t="e">
        <f>IFERROR(
_xlfn.XLOOKUP(
B19,#REF!,#REF!
),
_xlfn.XLOOKUP(
A19,#REF!,#REF!
)
)</f>
        <v>#REF!</v>
      </c>
      <c r="F19" s="88" t="str">
        <f>IFERROR(
VLOOKUP(
B19,#REF!,
6,
FALSE
),
""
)</f>
        <v/>
      </c>
      <c r="G19" s="88">
        <v>0</v>
      </c>
      <c r="H19" s="88">
        <v>24</v>
      </c>
      <c r="I19" s="90" t="e">
        <f t="shared" si="4"/>
        <v>#REF!</v>
      </c>
      <c r="J19" s="91" t="e">
        <f t="shared" si="5"/>
        <v>#REF!</v>
      </c>
      <c r="K19" s="91">
        <v>15.35</v>
      </c>
      <c r="L19" s="88" t="e">
        <f t="shared" si="6"/>
        <v>#REF!</v>
      </c>
      <c r="M19" s="88" t="e">
        <f t="shared" si="7"/>
        <v>#REF!</v>
      </c>
      <c r="N19" s="88" t="e">
        <f t="shared" si="8"/>
        <v>#REF!</v>
      </c>
      <c r="O19" s="88"/>
    </row>
    <row r="20" spans="1:15" ht="15" x14ac:dyDescent="0.25">
      <c r="A20" s="12" t="s">
        <v>2027</v>
      </c>
      <c r="B20" s="75" t="s">
        <v>2126</v>
      </c>
      <c r="C20" s="12">
        <v>11.92</v>
      </c>
      <c r="D20" s="88">
        <v>0.9</v>
      </c>
      <c r="E20" s="89" t="e">
        <f>IFERROR(
_xlfn.XLOOKUP(
B20,#REF!,#REF!
),
_xlfn.XLOOKUP(
A20,#REF!,#REF!
)
)</f>
        <v>#REF!</v>
      </c>
      <c r="F20" s="88" t="str">
        <f>IFERROR(
VLOOKUP(
B20,#REF!,
6,
FALSE
),
""
)</f>
        <v/>
      </c>
      <c r="G20" s="88">
        <v>0</v>
      </c>
      <c r="H20" s="88">
        <v>24</v>
      </c>
      <c r="I20" s="90" t="e">
        <f t="shared" si="4"/>
        <v>#REF!</v>
      </c>
      <c r="J20" s="91" t="e">
        <f t="shared" si="5"/>
        <v>#REF!</v>
      </c>
      <c r="K20" s="91">
        <v>20.91</v>
      </c>
      <c r="L20" s="88" t="e">
        <f t="shared" si="6"/>
        <v>#REF!</v>
      </c>
      <c r="M20" s="88" t="e">
        <f t="shared" si="7"/>
        <v>#REF!</v>
      </c>
      <c r="N20" s="88" t="e">
        <f t="shared" si="8"/>
        <v>#REF!</v>
      </c>
      <c r="O20" s="88"/>
    </row>
    <row r="21" spans="1:15" ht="15" x14ac:dyDescent="0.25">
      <c r="A21" s="12" t="s">
        <v>2028</v>
      </c>
      <c r="B21" s="75" t="s">
        <v>2127</v>
      </c>
      <c r="C21" s="12">
        <v>4.3</v>
      </c>
      <c r="D21" s="88">
        <v>0.61</v>
      </c>
      <c r="E21" s="89" t="e">
        <f>IFERROR(
_xlfn.XLOOKUP(
B21,#REF!,#REF!
),
_xlfn.XLOOKUP(
A21,#REF!,#REF!
)
)</f>
        <v>#REF!</v>
      </c>
      <c r="F21" s="88" t="str">
        <f>IFERROR(
VLOOKUP(
B21,#REF!,
6,
FALSE
),
""
)</f>
        <v/>
      </c>
      <c r="G21" s="88">
        <v>0</v>
      </c>
      <c r="H21" s="88">
        <v>24</v>
      </c>
      <c r="I21" s="90" t="e">
        <f t="shared" si="4"/>
        <v>#REF!</v>
      </c>
      <c r="J21" s="91" t="e">
        <f t="shared" si="5"/>
        <v>#REF!</v>
      </c>
      <c r="K21" s="91">
        <v>7.17</v>
      </c>
      <c r="L21" s="88" t="e">
        <f t="shared" si="6"/>
        <v>#REF!</v>
      </c>
      <c r="M21" s="88" t="e">
        <f t="shared" si="7"/>
        <v>#REF!</v>
      </c>
      <c r="N21" s="88" t="e">
        <f t="shared" si="8"/>
        <v>#REF!</v>
      </c>
      <c r="O21" s="88"/>
    </row>
    <row r="22" spans="1:15" ht="15" x14ac:dyDescent="0.25">
      <c r="A22" s="94" t="s">
        <v>2029</v>
      </c>
      <c r="B22" s="95" t="s">
        <v>2128</v>
      </c>
      <c r="C22" s="12">
        <v>5.0199999999999996</v>
      </c>
      <c r="D22" s="88">
        <v>0.9</v>
      </c>
      <c r="E22" s="89" t="e">
        <f>IFERROR(
_xlfn.XLOOKUP(
B22,#REF!,#REF!
),
_xlfn.XLOOKUP(
A22,#REF!,#REF!
)
)</f>
        <v>#REF!</v>
      </c>
      <c r="F22" s="88" t="str">
        <f>IFERROR(
VLOOKUP(
B22,#REF!,
6,
FALSE
),
""
)</f>
        <v/>
      </c>
      <c r="G22" s="88">
        <v>0</v>
      </c>
      <c r="H22" s="88">
        <v>24</v>
      </c>
      <c r="I22" s="90" t="e">
        <f t="shared" si="4"/>
        <v>#REF!</v>
      </c>
      <c r="J22" s="91" t="e">
        <f t="shared" si="5"/>
        <v>#REF!</v>
      </c>
      <c r="K22" s="91"/>
      <c r="L22" s="88" t="e">
        <f t="shared" si="6"/>
        <v>#REF!</v>
      </c>
      <c r="M22" s="88" t="e">
        <f t="shared" si="7"/>
        <v>#REF!</v>
      </c>
      <c r="N22" s="88" t="e">
        <f t="shared" si="8"/>
        <v>#REF!</v>
      </c>
      <c r="O22" s="88"/>
    </row>
    <row r="23" spans="1:15" ht="15" x14ac:dyDescent="0.25">
      <c r="A23" s="12" t="s">
        <v>2030</v>
      </c>
      <c r="B23" s="75" t="s">
        <v>2129</v>
      </c>
      <c r="C23" s="12">
        <v>12.6</v>
      </c>
      <c r="D23" s="88">
        <v>0.9</v>
      </c>
      <c r="E23" s="89" t="e">
        <f>IFERROR(
_xlfn.XLOOKUP(
B23,#REF!,#REF!
),
_xlfn.XLOOKUP(
A23,#REF!,#REF!
)
)</f>
        <v>#REF!</v>
      </c>
      <c r="F23" s="88" t="str">
        <f>IFERROR(
VLOOKUP(
B23,#REF!,
6,
FALSE
),
""
)</f>
        <v/>
      </c>
      <c r="G23" s="88">
        <v>0</v>
      </c>
      <c r="H23" s="88">
        <v>24</v>
      </c>
      <c r="I23" s="90" t="e">
        <f t="shared" si="4"/>
        <v>#REF!</v>
      </c>
      <c r="J23" s="91" t="e">
        <f t="shared" si="5"/>
        <v>#REF!</v>
      </c>
      <c r="K23" s="91">
        <v>22.2</v>
      </c>
      <c r="L23" s="88" t="e">
        <f t="shared" si="6"/>
        <v>#REF!</v>
      </c>
      <c r="M23" s="88" t="e">
        <f t="shared" si="7"/>
        <v>#REF!</v>
      </c>
      <c r="N23" s="88" t="e">
        <f t="shared" si="8"/>
        <v>#REF!</v>
      </c>
      <c r="O23" s="88"/>
    </row>
    <row r="24" spans="1:15" ht="15" x14ac:dyDescent="0.25">
      <c r="A24" s="12" t="s">
        <v>2031</v>
      </c>
      <c r="B24" s="75" t="s">
        <v>2130</v>
      </c>
      <c r="C24" s="12">
        <v>16.79</v>
      </c>
      <c r="D24" s="88">
        <v>0.9</v>
      </c>
      <c r="E24" s="89" t="e">
        <f>IFERROR(
_xlfn.XLOOKUP(
B24,#REF!,#REF!
),
_xlfn.XLOOKUP(
A24,#REF!,#REF!
)
)</f>
        <v>#REF!</v>
      </c>
      <c r="F24" s="88" t="str">
        <f>IFERROR(
VLOOKUP(
B24,#REF!,
6,
FALSE
),
""
)</f>
        <v/>
      </c>
      <c r="G24" s="88">
        <v>0</v>
      </c>
      <c r="H24" s="88">
        <v>24</v>
      </c>
      <c r="I24" s="90" t="e">
        <f t="shared" si="4"/>
        <v>#REF!</v>
      </c>
      <c r="J24" s="91" t="e">
        <f t="shared" si="5"/>
        <v>#REF!</v>
      </c>
      <c r="K24" s="91">
        <v>29.45</v>
      </c>
      <c r="L24" s="88" t="e">
        <f t="shared" si="6"/>
        <v>#REF!</v>
      </c>
      <c r="M24" s="88" t="e">
        <f t="shared" si="7"/>
        <v>#REF!</v>
      </c>
      <c r="N24" s="88" t="e">
        <f t="shared" si="8"/>
        <v>#REF!</v>
      </c>
      <c r="O24" s="88"/>
    </row>
    <row r="25" spans="1:15" ht="15" x14ac:dyDescent="0.25">
      <c r="A25" s="12" t="s">
        <v>2032</v>
      </c>
      <c r="B25" s="75" t="s">
        <v>2131</v>
      </c>
      <c r="C25" s="12">
        <v>10.9</v>
      </c>
      <c r="D25" s="88">
        <v>0.9</v>
      </c>
      <c r="E25" s="89" t="e">
        <f>IFERROR(
_xlfn.XLOOKUP(
B25,#REF!,#REF!
),
_xlfn.XLOOKUP(
A25,#REF!,#REF!
)
)</f>
        <v>#REF!</v>
      </c>
      <c r="F25" s="88" t="str">
        <f>IFERROR(
VLOOKUP(
B25,#REF!,
6,
FALSE
),
""
)</f>
        <v/>
      </c>
      <c r="G25" s="88">
        <v>0</v>
      </c>
      <c r="H25" s="88">
        <v>24</v>
      </c>
      <c r="I25" s="90" t="e">
        <f t="shared" si="4"/>
        <v>#REF!</v>
      </c>
      <c r="J25" s="91" t="e">
        <f t="shared" si="5"/>
        <v>#REF!</v>
      </c>
      <c r="K25" s="91">
        <v>19.12</v>
      </c>
      <c r="L25" s="88" t="e">
        <f t="shared" si="6"/>
        <v>#REF!</v>
      </c>
      <c r="M25" s="88" t="e">
        <f t="shared" si="7"/>
        <v>#REF!</v>
      </c>
      <c r="N25" s="88" t="e">
        <f t="shared" si="8"/>
        <v>#REF!</v>
      </c>
      <c r="O25" s="88"/>
    </row>
    <row r="26" spans="1:15" ht="15" x14ac:dyDescent="0.25">
      <c r="A26" s="6" t="s">
        <v>2033</v>
      </c>
      <c r="B26" s="71" t="s">
        <v>2034</v>
      </c>
      <c r="C26" s="12">
        <v>21.15</v>
      </c>
      <c r="D26" s="88">
        <v>0.9</v>
      </c>
      <c r="E26" s="89" t="e">
        <f>IFERROR(
_xlfn.XLOOKUP(
B26,#REF!,#REF!
),
_xlfn.XLOOKUP(
A26,#REF!,#REF!
)
)</f>
        <v>#REF!</v>
      </c>
      <c r="F26" s="88" t="str">
        <f>IFERROR(
VLOOKUP(
B26,#REF!,
6,
FALSE
),
""
)</f>
        <v/>
      </c>
      <c r="G26" s="88">
        <v>0</v>
      </c>
      <c r="H26" s="88">
        <v>24</v>
      </c>
      <c r="I26" s="90" t="e">
        <f t="shared" si="4"/>
        <v>#REF!</v>
      </c>
      <c r="J26" s="91" t="e">
        <f t="shared" si="5"/>
        <v>#REF!</v>
      </c>
      <c r="K26" s="91">
        <v>35.25</v>
      </c>
      <c r="L26" s="88" t="e">
        <f t="shared" si="6"/>
        <v>#REF!</v>
      </c>
      <c r="M26" s="88" t="e">
        <f t="shared" si="7"/>
        <v>#REF!</v>
      </c>
      <c r="N26" s="88" t="e">
        <f t="shared" si="8"/>
        <v>#REF!</v>
      </c>
      <c r="O26" s="88"/>
    </row>
    <row r="27" spans="1:15" ht="15" x14ac:dyDescent="0.25">
      <c r="A27" s="6" t="s">
        <v>2035</v>
      </c>
      <c r="B27" s="71" t="s">
        <v>2036</v>
      </c>
      <c r="C27" s="12">
        <v>13.28</v>
      </c>
      <c r="D27" s="88">
        <v>0.9</v>
      </c>
      <c r="E27" s="89" t="e">
        <f>IFERROR(
_xlfn.XLOOKUP(
B27,#REF!,#REF!
),
_xlfn.XLOOKUP(
A27,#REF!,#REF!
)
)</f>
        <v>#REF!</v>
      </c>
      <c r="F27" s="88" t="str">
        <f>IFERROR(
VLOOKUP(
B27,#REF!,
6,
FALSE
),
""
)</f>
        <v/>
      </c>
      <c r="G27" s="88">
        <v>0</v>
      </c>
      <c r="H27" s="88">
        <v>24</v>
      </c>
      <c r="I27" s="90" t="e">
        <f t="shared" si="4"/>
        <v>#REF!</v>
      </c>
      <c r="J27" s="91" t="e">
        <f t="shared" si="5"/>
        <v>#REF!</v>
      </c>
      <c r="K27" s="91">
        <v>23.3</v>
      </c>
      <c r="L27" s="88" t="e">
        <f t="shared" si="6"/>
        <v>#REF!</v>
      </c>
      <c r="M27" s="88" t="e">
        <f t="shared" si="7"/>
        <v>#REF!</v>
      </c>
      <c r="N27" s="88" t="e">
        <f t="shared" si="8"/>
        <v>#REF!</v>
      </c>
      <c r="O27" s="88"/>
    </row>
    <row r="28" spans="1:15" ht="15" x14ac:dyDescent="0.25">
      <c r="A28" s="6" t="s">
        <v>2037</v>
      </c>
      <c r="B28" s="71" t="s">
        <v>2038</v>
      </c>
      <c r="C28" s="12">
        <v>14.81</v>
      </c>
      <c r="D28" s="88">
        <v>0.9</v>
      </c>
      <c r="E28" s="89" t="e">
        <f>IFERROR(
_xlfn.XLOOKUP(
B28,#REF!,#REF!
),
_xlfn.XLOOKUP(
A28,#REF!,#REF!
)
)</f>
        <v>#REF!</v>
      </c>
      <c r="F28" s="88" t="str">
        <f>IFERROR(
VLOOKUP(
B28,#REF!,
6,
FALSE
),
""
)</f>
        <v/>
      </c>
      <c r="G28" s="88">
        <v>0</v>
      </c>
      <c r="H28" s="88">
        <v>24</v>
      </c>
      <c r="I28" s="90" t="e">
        <f t="shared" si="4"/>
        <v>#REF!</v>
      </c>
      <c r="J28" s="91" t="e">
        <f t="shared" si="5"/>
        <v>#REF!</v>
      </c>
      <c r="K28" s="91">
        <v>25.99</v>
      </c>
      <c r="L28" s="88" t="e">
        <f t="shared" si="6"/>
        <v>#REF!</v>
      </c>
      <c r="M28" s="88" t="e">
        <f t="shared" si="7"/>
        <v>#REF!</v>
      </c>
      <c r="N28" s="88" t="e">
        <f t="shared" si="8"/>
        <v>#REF!</v>
      </c>
      <c r="O28" s="88"/>
    </row>
    <row r="29" spans="1:15" ht="15" x14ac:dyDescent="0.25">
      <c r="A29" s="12" t="s">
        <v>2039</v>
      </c>
      <c r="B29" s="75" t="s">
        <v>2132</v>
      </c>
      <c r="C29" s="12">
        <v>7.15</v>
      </c>
      <c r="D29" s="88">
        <v>0.9</v>
      </c>
      <c r="E29" s="89" t="e">
        <f>IFERROR(
_xlfn.XLOOKUP(
B29,#REF!,#REF!
),
_xlfn.XLOOKUP(
A29,#REF!,#REF!
)
)</f>
        <v>#REF!</v>
      </c>
      <c r="F29" s="88" t="str">
        <f>IFERROR(
VLOOKUP(
B29,#REF!,
6,
FALSE
),
""
)</f>
        <v/>
      </c>
      <c r="G29" s="88">
        <v>0</v>
      </c>
      <c r="H29" s="88">
        <v>24</v>
      </c>
      <c r="I29" s="90" t="e">
        <f t="shared" si="4"/>
        <v>#REF!</v>
      </c>
      <c r="J29" s="91" t="e">
        <f t="shared" si="5"/>
        <v>#REF!</v>
      </c>
      <c r="K29" s="91">
        <v>12.55</v>
      </c>
      <c r="L29" s="88" t="e">
        <f t="shared" si="6"/>
        <v>#REF!</v>
      </c>
      <c r="M29" s="88" t="e">
        <f t="shared" si="7"/>
        <v>#REF!</v>
      </c>
      <c r="N29" s="88" t="e">
        <f t="shared" si="8"/>
        <v>#REF!</v>
      </c>
      <c r="O29" s="88"/>
    </row>
    <row r="30" spans="1:15" ht="15" x14ac:dyDescent="0.25">
      <c r="A30" s="12" t="s">
        <v>2040</v>
      </c>
      <c r="B30" s="75" t="s">
        <v>2133</v>
      </c>
      <c r="C30" s="12">
        <v>11.47</v>
      </c>
      <c r="D30" s="88">
        <v>0.9</v>
      </c>
      <c r="E30" s="89" t="e">
        <f>IFERROR(
_xlfn.XLOOKUP(
B30,#REF!,#REF!
),
_xlfn.XLOOKUP(
A30,#REF!,#REF!
)
)</f>
        <v>#REF!</v>
      </c>
      <c r="F30" s="88" t="str">
        <f>IFERROR(
VLOOKUP(
B30,#REF!,
6,
FALSE
),
""
)</f>
        <v/>
      </c>
      <c r="G30" s="88">
        <v>0</v>
      </c>
      <c r="H30" s="88">
        <v>24</v>
      </c>
      <c r="I30" s="90" t="e">
        <f t="shared" si="4"/>
        <v>#REF!</v>
      </c>
      <c r="J30" s="91" t="e">
        <f t="shared" si="5"/>
        <v>#REF!</v>
      </c>
      <c r="K30" s="91">
        <v>19.12</v>
      </c>
      <c r="L30" s="88" t="e">
        <f t="shared" si="6"/>
        <v>#REF!</v>
      </c>
      <c r="M30" s="88" t="e">
        <f t="shared" si="7"/>
        <v>#REF!</v>
      </c>
      <c r="N30" s="88" t="e">
        <f t="shared" si="8"/>
        <v>#REF!</v>
      </c>
      <c r="O30" s="88"/>
    </row>
    <row r="31" spans="1:15" ht="15" x14ac:dyDescent="0.25">
      <c r="A31" s="6" t="s">
        <v>2041</v>
      </c>
      <c r="B31" s="71" t="s">
        <v>2042</v>
      </c>
      <c r="C31" s="12">
        <v>11.92</v>
      </c>
      <c r="D31" s="88">
        <v>0.9</v>
      </c>
      <c r="E31" s="89" t="e">
        <f>IFERROR(
_xlfn.XLOOKUP(
B31,#REF!,#REF!
),
_xlfn.XLOOKUP(
A31,#REF!,#REF!
)
)</f>
        <v>#REF!</v>
      </c>
      <c r="F31" s="88" t="str">
        <f>IFERROR(
VLOOKUP(
B31,#REF!,
6,
FALSE
),
""
)</f>
        <v/>
      </c>
      <c r="G31" s="88">
        <v>0</v>
      </c>
      <c r="H31" s="88">
        <v>24</v>
      </c>
      <c r="I31" s="90" t="e">
        <f t="shared" si="4"/>
        <v>#REF!</v>
      </c>
      <c r="J31" s="91" t="e">
        <f t="shared" si="5"/>
        <v>#REF!</v>
      </c>
      <c r="K31" s="91">
        <v>20.91</v>
      </c>
      <c r="L31" s="88" t="e">
        <f t="shared" si="6"/>
        <v>#REF!</v>
      </c>
      <c r="M31" s="88" t="e">
        <f t="shared" si="7"/>
        <v>#REF!</v>
      </c>
      <c r="N31" s="88" t="e">
        <f t="shared" si="8"/>
        <v>#REF!</v>
      </c>
      <c r="O31" s="88"/>
    </row>
    <row r="32" spans="1:15" ht="15" x14ac:dyDescent="0.25">
      <c r="C32" s="88">
        <v>0</v>
      </c>
      <c r="D32" s="88">
        <v>0.9</v>
      </c>
      <c r="E32" s="89" t="e">
        <f>IFERROR(
_xlfn.XLOOKUP(
B32,#REF!,#REF!
),
_xlfn.XLOOKUP(
A32,#REF!,#REF!
)
)</f>
        <v>#REF!</v>
      </c>
      <c r="F32" s="88" t="str">
        <f>IFERROR(
VLOOKUP(
B32,#REF!,
6,
FALSE
),
""
)</f>
        <v/>
      </c>
      <c r="G32" s="88">
        <v>0</v>
      </c>
      <c r="H32" s="88">
        <v>24</v>
      </c>
      <c r="I32" s="90" t="e">
        <f t="shared" si="4"/>
        <v>#REF!</v>
      </c>
      <c r="J32" s="91" t="e">
        <f t="shared" si="5"/>
        <v>#REF!</v>
      </c>
      <c r="K32" s="91"/>
      <c r="L32" s="88" t="e">
        <f t="shared" si="6"/>
        <v>#REF!</v>
      </c>
      <c r="M32" s="88" t="e">
        <f t="shared" si="7"/>
        <v>#REF!</v>
      </c>
      <c r="N32" s="88" t="e">
        <f t="shared" si="8"/>
        <v>#REF!</v>
      </c>
      <c r="O32" s="88"/>
    </row>
    <row r="33" spans="3:15" ht="15" x14ac:dyDescent="0.25">
      <c r="C33" s="88">
        <v>0</v>
      </c>
      <c r="D33" s="88">
        <v>0.9</v>
      </c>
      <c r="E33" s="89" t="e">
        <f>IFERROR(
_xlfn.XLOOKUP(
B33,#REF!,#REF!
),
_xlfn.XLOOKUP(
A33,#REF!,#REF!
)
)</f>
        <v>#REF!</v>
      </c>
      <c r="F33" s="88" t="str">
        <f>IFERROR(
VLOOKUP(
B33,#REF!,
6,
FALSE
),
""
)</f>
        <v/>
      </c>
      <c r="G33" s="88">
        <v>0</v>
      </c>
      <c r="H33" s="88">
        <v>24</v>
      </c>
      <c r="I33" s="90" t="e">
        <f t="shared" si="4"/>
        <v>#REF!</v>
      </c>
      <c r="J33" s="91" t="e">
        <f t="shared" si="5"/>
        <v>#REF!</v>
      </c>
      <c r="K33" s="91"/>
      <c r="L33" s="88" t="e">
        <f t="shared" si="6"/>
        <v>#REF!</v>
      </c>
      <c r="M33" s="88" t="e">
        <f t="shared" si="7"/>
        <v>#REF!</v>
      </c>
      <c r="N33" s="88" t="e">
        <f t="shared" si="8"/>
        <v>#REF!</v>
      </c>
      <c r="O33" s="88"/>
    </row>
    <row r="34" spans="3:15" ht="15" x14ac:dyDescent="0.25">
      <c r="C34" s="88">
        <v>0</v>
      </c>
      <c r="D34" s="88">
        <v>0.9</v>
      </c>
      <c r="E34" s="89" t="e">
        <f>IFERROR(
_xlfn.XLOOKUP(
B34,#REF!,#REF!
),
_xlfn.XLOOKUP(
A34,#REF!,#REF!
)
)</f>
        <v>#REF!</v>
      </c>
      <c r="F34" s="88" t="str">
        <f>IFERROR(
VLOOKUP(
B34,#REF!,
6,
FALSE
),
""
)</f>
        <v/>
      </c>
      <c r="G34" s="88">
        <v>0</v>
      </c>
      <c r="H34" s="88">
        <v>24</v>
      </c>
      <c r="I34" s="90" t="e">
        <f t="shared" si="4"/>
        <v>#REF!</v>
      </c>
      <c r="J34" s="91" t="e">
        <f t="shared" si="5"/>
        <v>#REF!</v>
      </c>
      <c r="K34" s="91"/>
      <c r="L34" s="88" t="e">
        <f t="shared" si="6"/>
        <v>#REF!</v>
      </c>
      <c r="M34" s="88" t="e">
        <f t="shared" si="7"/>
        <v>#REF!</v>
      </c>
      <c r="N34" s="88" t="e">
        <f t="shared" si="8"/>
        <v>#REF!</v>
      </c>
      <c r="O34" s="88"/>
    </row>
    <row r="35" spans="3:15" ht="15" x14ac:dyDescent="0.25">
      <c r="C35" s="88">
        <v>0</v>
      </c>
      <c r="D35" s="88">
        <v>0.9</v>
      </c>
      <c r="E35" s="89" t="e">
        <f>IFERROR(
_xlfn.XLOOKUP(
B35,#REF!,#REF!
),
_xlfn.XLOOKUP(
A35,#REF!,#REF!
)
)</f>
        <v>#REF!</v>
      </c>
      <c r="F35" s="88" t="str">
        <f>IFERROR(
VLOOKUP(
B35,#REF!,
6,
FALSE
),
""
)</f>
        <v/>
      </c>
      <c r="G35" s="88">
        <v>0</v>
      </c>
      <c r="H35" s="88">
        <v>24</v>
      </c>
      <c r="I35" s="90" t="e">
        <f t="shared" si="4"/>
        <v>#REF!</v>
      </c>
      <c r="J35" s="91" t="e">
        <f t="shared" si="5"/>
        <v>#REF!</v>
      </c>
      <c r="K35" s="91"/>
      <c r="L35" s="88" t="e">
        <f t="shared" si="6"/>
        <v>#REF!</v>
      </c>
      <c r="M35" s="88" t="e">
        <f t="shared" si="7"/>
        <v>#REF!</v>
      </c>
      <c r="N35" s="88" t="e">
        <f t="shared" si="8"/>
        <v>#REF!</v>
      </c>
      <c r="O35" s="88"/>
    </row>
    <row r="36" spans="3:15" ht="15" x14ac:dyDescent="0.25">
      <c r="C36" s="88">
        <v>0</v>
      </c>
      <c r="D36" s="88">
        <v>0.9</v>
      </c>
      <c r="E36" s="89" t="e">
        <f>IFERROR(
_xlfn.XLOOKUP(
B36,#REF!,#REF!
),
_xlfn.XLOOKUP(
A36,#REF!,#REF!
)
)</f>
        <v>#REF!</v>
      </c>
      <c r="F36" s="88" t="str">
        <f>IFERROR(
VLOOKUP(
B36,#REF!,
6,
FALSE
),
""
)</f>
        <v/>
      </c>
      <c r="G36" s="88">
        <v>0</v>
      </c>
      <c r="H36" s="88">
        <v>24</v>
      </c>
      <c r="I36" s="90" t="e">
        <f t="shared" si="4"/>
        <v>#REF!</v>
      </c>
      <c r="J36" s="91" t="e">
        <f t="shared" si="5"/>
        <v>#REF!</v>
      </c>
      <c r="K36" s="91"/>
      <c r="L36" s="88" t="e">
        <f t="shared" si="6"/>
        <v>#REF!</v>
      </c>
      <c r="M36" s="88" t="e">
        <f t="shared" si="7"/>
        <v>#REF!</v>
      </c>
      <c r="N36" s="88" t="e">
        <f t="shared" si="8"/>
        <v>#REF!</v>
      </c>
      <c r="O36" s="88"/>
    </row>
    <row r="37" spans="3:15" ht="15" x14ac:dyDescent="0.25">
      <c r="C37" s="88">
        <v>0</v>
      </c>
      <c r="D37" s="88">
        <v>0.9</v>
      </c>
      <c r="E37" s="89" t="e">
        <f>IFERROR(
_xlfn.XLOOKUP(
B37,#REF!,#REF!
),
_xlfn.XLOOKUP(
A37,#REF!,#REF!
)
)</f>
        <v>#REF!</v>
      </c>
      <c r="F37" s="88" t="str">
        <f>IFERROR(
VLOOKUP(
B37,#REF!,
6,
FALSE
),
""
)</f>
        <v/>
      </c>
      <c r="G37" s="88">
        <v>0</v>
      </c>
      <c r="H37" s="88">
        <v>24</v>
      </c>
      <c r="I37" s="90" t="e">
        <f t="shared" si="4"/>
        <v>#REF!</v>
      </c>
      <c r="J37" s="91" t="e">
        <f t="shared" si="5"/>
        <v>#REF!</v>
      </c>
      <c r="K37" s="91"/>
      <c r="L37" s="88" t="e">
        <f t="shared" si="6"/>
        <v>#REF!</v>
      </c>
      <c r="M37" s="88" t="e">
        <f t="shared" si="7"/>
        <v>#REF!</v>
      </c>
      <c r="N37" s="88" t="e">
        <f t="shared" si="8"/>
        <v>#REF!</v>
      </c>
      <c r="O37" s="88"/>
    </row>
    <row r="38" spans="3:15" ht="15" x14ac:dyDescent="0.25">
      <c r="C38" s="88">
        <v>0</v>
      </c>
      <c r="D38" s="88">
        <v>0.9</v>
      </c>
      <c r="E38" s="89" t="e">
        <f>IFERROR(
_xlfn.XLOOKUP(
B38,#REF!,#REF!
),
_xlfn.XLOOKUP(
A38,#REF!,#REF!
)
)</f>
        <v>#REF!</v>
      </c>
      <c r="F38" s="88" t="str">
        <f>IFERROR(
VLOOKUP(
B38,#REF!,
6,
FALSE
),
""
)</f>
        <v/>
      </c>
      <c r="G38" s="88">
        <v>0</v>
      </c>
      <c r="H38" s="88">
        <v>24</v>
      </c>
      <c r="I38" s="90" t="e">
        <f t="shared" si="4"/>
        <v>#REF!</v>
      </c>
      <c r="J38" s="91" t="e">
        <f t="shared" si="5"/>
        <v>#REF!</v>
      </c>
      <c r="K38" s="91"/>
      <c r="L38" s="88" t="e">
        <f t="shared" si="6"/>
        <v>#REF!</v>
      </c>
      <c r="M38" s="88" t="e">
        <f t="shared" si="7"/>
        <v>#REF!</v>
      </c>
      <c r="N38" s="88" t="e">
        <f t="shared" si="8"/>
        <v>#REF!</v>
      </c>
      <c r="O38" s="88"/>
    </row>
    <row r="39" spans="3:15" ht="15" x14ac:dyDescent="0.25">
      <c r="C39" s="88">
        <v>0</v>
      </c>
      <c r="D39" s="88">
        <v>0.9</v>
      </c>
      <c r="E39" s="89" t="e">
        <f>IFERROR(
_xlfn.XLOOKUP(
B39,#REF!,#REF!
),
_xlfn.XLOOKUP(
A39,#REF!,#REF!
)
)</f>
        <v>#REF!</v>
      </c>
      <c r="F39" s="88" t="str">
        <f>IFERROR(
VLOOKUP(
B39,#REF!,
6,
FALSE
),
""
)</f>
        <v/>
      </c>
      <c r="G39" s="88">
        <v>0</v>
      </c>
      <c r="H39" s="88">
        <v>24</v>
      </c>
      <c r="I39" s="90" t="e">
        <f t="shared" si="4"/>
        <v>#REF!</v>
      </c>
      <c r="J39" s="91" t="e">
        <f t="shared" si="5"/>
        <v>#REF!</v>
      </c>
      <c r="K39" s="91"/>
      <c r="L39" s="88" t="e">
        <f t="shared" si="6"/>
        <v>#REF!</v>
      </c>
      <c r="M39" s="88" t="e">
        <f t="shared" si="7"/>
        <v>#REF!</v>
      </c>
      <c r="N39" s="88" t="e">
        <f t="shared" si="8"/>
        <v>#REF!</v>
      </c>
      <c r="O39" s="88"/>
    </row>
    <row r="40" spans="3:15" ht="15" x14ac:dyDescent="0.25">
      <c r="C40" s="88">
        <v>0</v>
      </c>
      <c r="D40" s="88">
        <v>0.9</v>
      </c>
      <c r="E40" s="89" t="e">
        <f>IFERROR(
_xlfn.XLOOKUP(
B40,#REF!,#REF!
),
_xlfn.XLOOKUP(
A40,#REF!,#REF!
)
)</f>
        <v>#REF!</v>
      </c>
      <c r="F40" s="88" t="str">
        <f>IFERROR(
VLOOKUP(
B40,#REF!,
6,
FALSE
),
""
)</f>
        <v/>
      </c>
      <c r="G40" s="88">
        <v>0</v>
      </c>
      <c r="H40" s="88">
        <v>24</v>
      </c>
      <c r="I40" s="90" t="e">
        <f t="shared" si="4"/>
        <v>#REF!</v>
      </c>
      <c r="J40" s="91" t="e">
        <f t="shared" si="5"/>
        <v>#REF!</v>
      </c>
      <c r="K40" s="91"/>
      <c r="L40" s="88" t="e">
        <f t="shared" si="6"/>
        <v>#REF!</v>
      </c>
      <c r="M40" s="88" t="e">
        <f t="shared" si="7"/>
        <v>#REF!</v>
      </c>
      <c r="N40" s="88" t="e">
        <f t="shared" si="8"/>
        <v>#REF!</v>
      </c>
      <c r="O40" s="88"/>
    </row>
    <row r="41" spans="3:15" ht="15" x14ac:dyDescent="0.25">
      <c r="C41" s="88">
        <v>0</v>
      </c>
      <c r="D41" s="88">
        <v>0.9</v>
      </c>
      <c r="E41" s="89" t="e">
        <f>IFERROR(
_xlfn.XLOOKUP(
B41,#REF!,#REF!
),
_xlfn.XLOOKUP(
A41,#REF!,#REF!
)
)</f>
        <v>#REF!</v>
      </c>
      <c r="F41" s="88" t="str">
        <f>IFERROR(
VLOOKUP(
B41,#REF!,
6,
FALSE
),
""
)</f>
        <v/>
      </c>
      <c r="G41" s="88">
        <v>0</v>
      </c>
      <c r="H41" s="88">
        <v>24</v>
      </c>
      <c r="I41" s="90" t="e">
        <f t="shared" si="4"/>
        <v>#REF!</v>
      </c>
      <c r="J41" s="91" t="e">
        <f t="shared" si="5"/>
        <v>#REF!</v>
      </c>
      <c r="K41" s="91"/>
      <c r="L41" s="88" t="e">
        <f t="shared" si="6"/>
        <v>#REF!</v>
      </c>
      <c r="M41" s="88" t="e">
        <f t="shared" si="7"/>
        <v>#REF!</v>
      </c>
      <c r="N41" s="88" t="e">
        <f t="shared" si="8"/>
        <v>#REF!</v>
      </c>
      <c r="O41" s="88"/>
    </row>
    <row r="42" spans="3:15" ht="15" x14ac:dyDescent="0.25">
      <c r="C42" s="88">
        <v>0</v>
      </c>
      <c r="D42" s="88">
        <v>0.9</v>
      </c>
      <c r="E42" s="89" t="e">
        <f>IFERROR(
_xlfn.XLOOKUP(
B42,#REF!,#REF!
),
_xlfn.XLOOKUP(
A42,#REF!,#REF!
)
)</f>
        <v>#REF!</v>
      </c>
      <c r="F42" s="88" t="str">
        <f>IFERROR(
VLOOKUP(
B42,#REF!,
6,
FALSE
),
""
)</f>
        <v/>
      </c>
      <c r="G42" s="88">
        <v>0</v>
      </c>
      <c r="H42" s="88">
        <v>24</v>
      </c>
      <c r="I42" s="90" t="e">
        <f t="shared" si="4"/>
        <v>#REF!</v>
      </c>
      <c r="J42" s="91" t="e">
        <f t="shared" si="5"/>
        <v>#REF!</v>
      </c>
      <c r="K42" s="91"/>
      <c r="L42" s="88" t="e">
        <f t="shared" si="6"/>
        <v>#REF!</v>
      </c>
      <c r="M42" s="88" t="e">
        <f t="shared" si="7"/>
        <v>#REF!</v>
      </c>
      <c r="N42" s="88" t="e">
        <f t="shared" si="8"/>
        <v>#REF!</v>
      </c>
      <c r="O42" s="88"/>
    </row>
    <row r="43" spans="3:15" ht="15" x14ac:dyDescent="0.25">
      <c r="C43" s="88">
        <v>0</v>
      </c>
      <c r="D43" s="88">
        <v>0.9</v>
      </c>
      <c r="E43" s="89" t="e">
        <f>IFERROR(
_xlfn.XLOOKUP(
B43,#REF!,#REF!
),
_xlfn.XLOOKUP(
A43,#REF!,#REF!
)
)</f>
        <v>#REF!</v>
      </c>
      <c r="F43" s="88" t="str">
        <f>IFERROR(
VLOOKUP(
B43,#REF!,
6,
FALSE
),
""
)</f>
        <v/>
      </c>
      <c r="G43" s="88">
        <v>0</v>
      </c>
      <c r="H43" s="88">
        <v>24</v>
      </c>
      <c r="I43" s="90" t="e">
        <f t="shared" si="4"/>
        <v>#REF!</v>
      </c>
      <c r="J43" s="91" t="e">
        <f t="shared" si="5"/>
        <v>#REF!</v>
      </c>
      <c r="K43" s="91"/>
      <c r="L43" s="88" t="e">
        <f t="shared" si="6"/>
        <v>#REF!</v>
      </c>
      <c r="M43" s="88" t="e">
        <f t="shared" si="7"/>
        <v>#REF!</v>
      </c>
      <c r="N43" s="88" t="e">
        <f t="shared" si="8"/>
        <v>#REF!</v>
      </c>
      <c r="O43" s="88"/>
    </row>
    <row r="44" spans="3:15" ht="15" x14ac:dyDescent="0.25">
      <c r="C44" s="88">
        <v>0</v>
      </c>
      <c r="D44" s="88">
        <v>0.9</v>
      </c>
      <c r="E44" s="89" t="e">
        <f>IFERROR(
_xlfn.XLOOKUP(
B44,#REF!,#REF!
),
_xlfn.XLOOKUP(
A44,#REF!,#REF!
)
)</f>
        <v>#REF!</v>
      </c>
      <c r="F44" s="88" t="str">
        <f>IFERROR(
VLOOKUP(
B44,#REF!,
6,
FALSE
),
""
)</f>
        <v/>
      </c>
      <c r="G44" s="88">
        <v>0</v>
      </c>
      <c r="H44" s="88">
        <v>24</v>
      </c>
      <c r="I44" s="90" t="e">
        <f t="shared" si="4"/>
        <v>#REF!</v>
      </c>
      <c r="J44" s="91" t="e">
        <f t="shared" si="5"/>
        <v>#REF!</v>
      </c>
      <c r="K44" s="91"/>
      <c r="L44" s="88" t="e">
        <f t="shared" si="6"/>
        <v>#REF!</v>
      </c>
      <c r="M44" s="88" t="e">
        <f t="shared" si="7"/>
        <v>#REF!</v>
      </c>
      <c r="N44" s="88" t="e">
        <f t="shared" si="8"/>
        <v>#REF!</v>
      </c>
      <c r="O44" s="88"/>
    </row>
    <row r="45" spans="3:15" ht="15" x14ac:dyDescent="0.25">
      <c r="C45" s="88">
        <v>0</v>
      </c>
      <c r="D45" s="88">
        <v>0.9</v>
      </c>
      <c r="E45" s="89" t="e">
        <f>IFERROR(
_xlfn.XLOOKUP(
B45,#REF!,#REF!
),
_xlfn.XLOOKUP(
A45,#REF!,#REF!
)
)</f>
        <v>#REF!</v>
      </c>
      <c r="F45" s="88" t="str">
        <f>IFERROR(
VLOOKUP(
B45,#REF!,
6,
FALSE
),
""
)</f>
        <v/>
      </c>
      <c r="G45" s="88">
        <v>0</v>
      </c>
      <c r="H45" s="88">
        <v>24</v>
      </c>
      <c r="I45" s="90" t="e">
        <f t="shared" si="4"/>
        <v>#REF!</v>
      </c>
      <c r="J45" s="91" t="e">
        <f t="shared" si="5"/>
        <v>#REF!</v>
      </c>
      <c r="K45" s="91"/>
      <c r="L45" s="88" t="e">
        <f t="shared" si="6"/>
        <v>#REF!</v>
      </c>
      <c r="M45" s="88" t="e">
        <f t="shared" si="7"/>
        <v>#REF!</v>
      </c>
      <c r="N45" s="88" t="e">
        <f t="shared" si="8"/>
        <v>#REF!</v>
      </c>
      <c r="O45" s="88"/>
    </row>
    <row r="46" spans="3:15" ht="15" x14ac:dyDescent="0.25">
      <c r="C46" s="88">
        <v>0</v>
      </c>
      <c r="D46" s="88">
        <v>0.9</v>
      </c>
      <c r="E46" s="89" t="e">
        <f>IFERROR(
_xlfn.XLOOKUP(
B46,#REF!,#REF!
),
_xlfn.XLOOKUP(
A46,#REF!,#REF!
)
)</f>
        <v>#REF!</v>
      </c>
      <c r="F46" s="88" t="str">
        <f>IFERROR(
VLOOKUP(
B46,#REF!,
6,
FALSE
),
""
)</f>
        <v/>
      </c>
      <c r="G46" s="88">
        <v>0</v>
      </c>
      <c r="H46" s="88">
        <v>24</v>
      </c>
      <c r="I46" s="90" t="e">
        <f t="shared" si="4"/>
        <v>#REF!</v>
      </c>
      <c r="J46" s="91" t="e">
        <f t="shared" si="5"/>
        <v>#REF!</v>
      </c>
      <c r="K46" s="91"/>
      <c r="L46" s="88" t="e">
        <f t="shared" si="6"/>
        <v>#REF!</v>
      </c>
      <c r="M46" s="88" t="e">
        <f t="shared" si="7"/>
        <v>#REF!</v>
      </c>
      <c r="N46" s="88" t="e">
        <f t="shared" si="8"/>
        <v>#REF!</v>
      </c>
      <c r="O46" s="88"/>
    </row>
    <row r="47" spans="3:15" ht="15" x14ac:dyDescent="0.25">
      <c r="C47" s="88">
        <v>0</v>
      </c>
      <c r="D47" s="88">
        <v>0.9</v>
      </c>
      <c r="E47" s="89" t="e">
        <f>IFERROR(
_xlfn.XLOOKUP(
B47,#REF!,#REF!
),
_xlfn.XLOOKUP(
A47,#REF!,#REF!
)
)</f>
        <v>#REF!</v>
      </c>
      <c r="F47" s="88" t="str">
        <f>IFERROR(
VLOOKUP(
B47,#REF!,
6,
FALSE
),
""
)</f>
        <v/>
      </c>
      <c r="G47" s="88">
        <v>0</v>
      </c>
      <c r="H47" s="88">
        <v>24</v>
      </c>
      <c r="I47" s="90" t="e">
        <f t="shared" si="4"/>
        <v>#REF!</v>
      </c>
      <c r="J47" s="91" t="e">
        <f t="shared" si="5"/>
        <v>#REF!</v>
      </c>
      <c r="K47" s="91"/>
      <c r="L47" s="88" t="e">
        <f t="shared" si="6"/>
        <v>#REF!</v>
      </c>
      <c r="M47" s="88" t="e">
        <f t="shared" si="7"/>
        <v>#REF!</v>
      </c>
      <c r="N47" s="88" t="e">
        <f t="shared" si="8"/>
        <v>#REF!</v>
      </c>
      <c r="O47" s="88"/>
    </row>
    <row r="48" spans="3:15" ht="15" x14ac:dyDescent="0.25">
      <c r="C48" s="88">
        <v>0</v>
      </c>
      <c r="D48" s="88">
        <v>0.9</v>
      </c>
      <c r="E48" s="89" t="e">
        <f>IFERROR(
_xlfn.XLOOKUP(
B48,#REF!,#REF!
),
_xlfn.XLOOKUP(
A48,#REF!,#REF!
)
)</f>
        <v>#REF!</v>
      </c>
      <c r="F48" s="88" t="str">
        <f>IFERROR(
VLOOKUP(
B48,#REF!,
6,
FALSE
),
""
)</f>
        <v/>
      </c>
      <c r="G48" s="88">
        <v>0</v>
      </c>
      <c r="H48" s="88">
        <v>24</v>
      </c>
      <c r="I48" s="90" t="e">
        <f t="shared" si="4"/>
        <v>#REF!</v>
      </c>
      <c r="J48" s="91" t="e">
        <f t="shared" si="5"/>
        <v>#REF!</v>
      </c>
      <c r="K48" s="91"/>
      <c r="L48" s="88" t="e">
        <f t="shared" si="6"/>
        <v>#REF!</v>
      </c>
      <c r="M48" s="88" t="e">
        <f t="shared" si="7"/>
        <v>#REF!</v>
      </c>
      <c r="N48" s="88" t="e">
        <f t="shared" si="8"/>
        <v>#REF!</v>
      </c>
      <c r="O48" s="88"/>
    </row>
    <row r="49" spans="3:15" ht="15" x14ac:dyDescent="0.25">
      <c r="C49" s="88">
        <v>0</v>
      </c>
      <c r="D49" s="88">
        <v>0.9</v>
      </c>
      <c r="E49" s="89" t="e">
        <f>IFERROR(
_xlfn.XLOOKUP(
B49,#REF!,#REF!
),
_xlfn.XLOOKUP(
A49,#REF!,#REF!
)
)</f>
        <v>#REF!</v>
      </c>
      <c r="F49" s="88" t="str">
        <f>IFERROR(
VLOOKUP(
B49,#REF!,
6,
FALSE
),
""
)</f>
        <v/>
      </c>
      <c r="G49" s="88">
        <v>0</v>
      </c>
      <c r="H49" s="88">
        <v>24</v>
      </c>
      <c r="I49" s="90" t="e">
        <f t="shared" si="4"/>
        <v>#REF!</v>
      </c>
      <c r="J49" s="91" t="e">
        <f t="shared" si="5"/>
        <v>#REF!</v>
      </c>
      <c r="K49" s="91"/>
      <c r="L49" s="88" t="e">
        <f t="shared" si="6"/>
        <v>#REF!</v>
      </c>
      <c r="M49" s="88" t="e">
        <f t="shared" si="7"/>
        <v>#REF!</v>
      </c>
      <c r="N49" s="88" t="e">
        <f t="shared" si="8"/>
        <v>#REF!</v>
      </c>
      <c r="O49" s="88"/>
    </row>
    <row r="50" spans="3:15" ht="15" x14ac:dyDescent="0.25">
      <c r="C50" s="88">
        <v>0</v>
      </c>
      <c r="D50" s="88">
        <v>0.9</v>
      </c>
      <c r="E50" s="89" t="e">
        <f>IFERROR(
_xlfn.XLOOKUP(
B50,#REF!,#REF!
),
_xlfn.XLOOKUP(
A50,#REF!,#REF!
)
)</f>
        <v>#REF!</v>
      </c>
      <c r="F50" s="88" t="str">
        <f>IFERROR(
VLOOKUP(
B50,#REF!,
6,
FALSE
),
""
)</f>
        <v/>
      </c>
      <c r="G50" s="88">
        <v>0</v>
      </c>
      <c r="H50" s="88">
        <v>24</v>
      </c>
      <c r="I50" s="90" t="e">
        <f t="shared" si="4"/>
        <v>#REF!</v>
      </c>
      <c r="J50" s="91" t="e">
        <f t="shared" si="5"/>
        <v>#REF!</v>
      </c>
      <c r="K50" s="91"/>
      <c r="L50" s="88" t="e">
        <f t="shared" si="6"/>
        <v>#REF!</v>
      </c>
      <c r="M50" s="88" t="e">
        <f t="shared" si="7"/>
        <v>#REF!</v>
      </c>
      <c r="N50" s="88" t="e">
        <f t="shared" si="8"/>
        <v>#REF!</v>
      </c>
      <c r="O50" s="88"/>
    </row>
    <row r="51" spans="3:15" ht="15" x14ac:dyDescent="0.25">
      <c r="C51" s="88">
        <v>0</v>
      </c>
      <c r="D51" s="88">
        <v>0.9</v>
      </c>
      <c r="E51" s="89" t="e">
        <f>IFERROR(
_xlfn.XLOOKUP(
B51,#REF!,#REF!
),
_xlfn.XLOOKUP(
A51,#REF!,#REF!
)
)</f>
        <v>#REF!</v>
      </c>
      <c r="F51" s="88" t="str">
        <f>IFERROR(
VLOOKUP(
B51,#REF!,
6,
FALSE
),
""
)</f>
        <v/>
      </c>
      <c r="G51" s="88">
        <v>0</v>
      </c>
      <c r="H51" s="88">
        <v>24</v>
      </c>
      <c r="I51" s="90" t="e">
        <f t="shared" si="4"/>
        <v>#REF!</v>
      </c>
      <c r="J51" s="91" t="e">
        <f t="shared" si="5"/>
        <v>#REF!</v>
      </c>
      <c r="K51" s="91"/>
      <c r="L51" s="88" t="e">
        <f t="shared" si="6"/>
        <v>#REF!</v>
      </c>
      <c r="M51" s="88" t="e">
        <f t="shared" si="7"/>
        <v>#REF!</v>
      </c>
      <c r="N51" s="88" t="e">
        <f t="shared" si="8"/>
        <v>#REF!</v>
      </c>
      <c r="O51" s="88"/>
    </row>
    <row r="52" spans="3:15" ht="15" x14ac:dyDescent="0.25">
      <c r="C52" s="88">
        <v>0</v>
      </c>
      <c r="D52" s="88">
        <v>0.9</v>
      </c>
      <c r="E52" s="89" t="e">
        <f>IFERROR(
_xlfn.XLOOKUP(
B52,#REF!,#REF!
),
_xlfn.XLOOKUP(
A52,#REF!,#REF!
)
)</f>
        <v>#REF!</v>
      </c>
      <c r="F52" s="88" t="str">
        <f>IFERROR(
VLOOKUP(
B52,#REF!,
6,
FALSE
),
""
)</f>
        <v/>
      </c>
      <c r="G52" s="88">
        <v>0</v>
      </c>
      <c r="H52" s="88">
        <v>24</v>
      </c>
      <c r="I52" s="90" t="e">
        <f t="shared" si="4"/>
        <v>#REF!</v>
      </c>
      <c r="J52" s="91" t="e">
        <f t="shared" si="5"/>
        <v>#REF!</v>
      </c>
      <c r="K52" s="91"/>
      <c r="L52" s="88" t="e">
        <f t="shared" si="6"/>
        <v>#REF!</v>
      </c>
      <c r="M52" s="88" t="e">
        <f t="shared" si="7"/>
        <v>#REF!</v>
      </c>
      <c r="N52" s="88" t="e">
        <f t="shared" si="8"/>
        <v>#REF!</v>
      </c>
      <c r="O52" s="88"/>
    </row>
    <row r="53" spans="3:15" ht="15" x14ac:dyDescent="0.25">
      <c r="C53" s="88">
        <v>0</v>
      </c>
      <c r="D53" s="88">
        <v>0.9</v>
      </c>
      <c r="E53" s="89" t="e">
        <f>IFERROR(
_xlfn.XLOOKUP(
B53,#REF!,#REF!
),
_xlfn.XLOOKUP(
A53,#REF!,#REF!
)
)</f>
        <v>#REF!</v>
      </c>
      <c r="F53" s="88" t="str">
        <f>IFERROR(
VLOOKUP(
B53,#REF!,
6,
FALSE
),
""
)</f>
        <v/>
      </c>
      <c r="G53" s="88">
        <v>0</v>
      </c>
      <c r="H53" s="88">
        <v>24</v>
      </c>
      <c r="I53" s="90" t="e">
        <f t="shared" si="4"/>
        <v>#REF!</v>
      </c>
      <c r="J53" s="91" t="e">
        <f t="shared" si="5"/>
        <v>#REF!</v>
      </c>
      <c r="K53" s="91"/>
      <c r="L53" s="88" t="e">
        <f t="shared" si="6"/>
        <v>#REF!</v>
      </c>
      <c r="M53" s="88" t="e">
        <f t="shared" si="7"/>
        <v>#REF!</v>
      </c>
      <c r="N53" s="88" t="e">
        <f t="shared" si="8"/>
        <v>#REF!</v>
      </c>
      <c r="O53" s="88"/>
    </row>
    <row r="54" spans="3:15" ht="15" x14ac:dyDescent="0.25">
      <c r="C54" s="88">
        <v>0</v>
      </c>
      <c r="D54" s="88">
        <v>0.9</v>
      </c>
      <c r="E54" s="89" t="e">
        <f>IFERROR(
_xlfn.XLOOKUP(
B54,#REF!,#REF!
),
_xlfn.XLOOKUP(
A54,#REF!,#REF!
)
)</f>
        <v>#REF!</v>
      </c>
      <c r="F54" s="88" t="str">
        <f>IFERROR(
VLOOKUP(
B54,#REF!,
6,
FALSE
),
""
)</f>
        <v/>
      </c>
      <c r="G54" s="88">
        <v>0</v>
      </c>
      <c r="H54" s="88">
        <v>24</v>
      </c>
      <c r="I54" s="90" t="e">
        <f t="shared" si="4"/>
        <v>#REF!</v>
      </c>
      <c r="J54" s="91" t="e">
        <f t="shared" si="5"/>
        <v>#REF!</v>
      </c>
      <c r="K54" s="91"/>
      <c r="L54" s="88" t="e">
        <f t="shared" si="6"/>
        <v>#REF!</v>
      </c>
      <c r="M54" s="88" t="e">
        <f t="shared" si="7"/>
        <v>#REF!</v>
      </c>
      <c r="N54" s="88" t="e">
        <f t="shared" si="8"/>
        <v>#REF!</v>
      </c>
      <c r="O54" s="88"/>
    </row>
    <row r="55" spans="3:15" ht="15" x14ac:dyDescent="0.25">
      <c r="C55" s="88">
        <v>0</v>
      </c>
      <c r="D55" s="88">
        <v>0.9</v>
      </c>
      <c r="E55" s="89" t="e">
        <f>IFERROR(
_xlfn.XLOOKUP(
B55,#REF!,#REF!
),
_xlfn.XLOOKUP(
A55,#REF!,#REF!
)
)</f>
        <v>#REF!</v>
      </c>
      <c r="F55" s="88" t="str">
        <f>IFERROR(
VLOOKUP(
B55,#REF!,
6,
FALSE
),
""
)</f>
        <v/>
      </c>
      <c r="G55" s="88">
        <v>0</v>
      </c>
      <c r="H55" s="88">
        <v>24</v>
      </c>
      <c r="I55" s="90" t="e">
        <f t="shared" si="4"/>
        <v>#REF!</v>
      </c>
      <c r="J55" s="91" t="e">
        <f t="shared" si="5"/>
        <v>#REF!</v>
      </c>
      <c r="K55" s="91"/>
      <c r="L55" s="88" t="e">
        <f t="shared" si="6"/>
        <v>#REF!</v>
      </c>
      <c r="M55" s="88" t="e">
        <f t="shared" si="7"/>
        <v>#REF!</v>
      </c>
      <c r="N55" s="88" t="e">
        <f t="shared" si="8"/>
        <v>#REF!</v>
      </c>
      <c r="O55" s="88"/>
    </row>
    <row r="56" spans="3:15" ht="15" x14ac:dyDescent="0.25">
      <c r="C56" s="88">
        <v>0</v>
      </c>
      <c r="D56" s="88">
        <v>0.9</v>
      </c>
      <c r="E56" s="89" t="e">
        <f>IFERROR(
_xlfn.XLOOKUP(
B56,#REF!,#REF!
),
_xlfn.XLOOKUP(
A56,#REF!,#REF!
)
)</f>
        <v>#REF!</v>
      </c>
      <c r="F56" s="88" t="str">
        <f>IFERROR(
VLOOKUP(
B56,#REF!,
6,
FALSE
),
""
)</f>
        <v/>
      </c>
      <c r="G56" s="88">
        <v>0</v>
      </c>
      <c r="H56" s="88">
        <v>24</v>
      </c>
      <c r="I56" s="90" t="e">
        <f t="shared" si="4"/>
        <v>#REF!</v>
      </c>
      <c r="J56" s="91" t="e">
        <f t="shared" si="5"/>
        <v>#REF!</v>
      </c>
      <c r="K56" s="91"/>
      <c r="L56" s="88" t="e">
        <f t="shared" si="6"/>
        <v>#REF!</v>
      </c>
      <c r="M56" s="88" t="e">
        <f t="shared" si="7"/>
        <v>#REF!</v>
      </c>
      <c r="N56" s="88" t="e">
        <f t="shared" si="8"/>
        <v>#REF!</v>
      </c>
      <c r="O56" s="88"/>
    </row>
    <row r="57" spans="3:15" ht="15" x14ac:dyDescent="0.25">
      <c r="C57" s="88">
        <v>0</v>
      </c>
      <c r="D57" s="88">
        <v>0.9</v>
      </c>
      <c r="E57" s="89" t="e">
        <f>IFERROR(
_xlfn.XLOOKUP(
B57,#REF!,#REF!
),
_xlfn.XLOOKUP(
A57,#REF!,#REF!
)
)</f>
        <v>#REF!</v>
      </c>
      <c r="F57" s="88" t="str">
        <f>IFERROR(
VLOOKUP(
B57,#REF!,
6,
FALSE
),
""
)</f>
        <v/>
      </c>
      <c r="G57" s="88">
        <v>0</v>
      </c>
      <c r="H57" s="88">
        <v>24</v>
      </c>
      <c r="I57" s="90" t="e">
        <f t="shared" si="4"/>
        <v>#REF!</v>
      </c>
      <c r="J57" s="91" t="e">
        <f t="shared" si="5"/>
        <v>#REF!</v>
      </c>
      <c r="K57" s="91"/>
      <c r="L57" s="88" t="e">
        <f t="shared" si="6"/>
        <v>#REF!</v>
      </c>
      <c r="M57" s="88" t="e">
        <f t="shared" si="7"/>
        <v>#REF!</v>
      </c>
      <c r="N57" s="88" t="e">
        <f t="shared" si="8"/>
        <v>#REF!</v>
      </c>
      <c r="O57" s="88"/>
    </row>
    <row r="58" spans="3:15" ht="15" x14ac:dyDescent="0.25">
      <c r="C58" s="88">
        <v>0</v>
      </c>
      <c r="D58" s="88">
        <v>0.9</v>
      </c>
      <c r="E58" s="89" t="e">
        <f>IFERROR(
_xlfn.XLOOKUP(
B58,#REF!,#REF!
),
_xlfn.XLOOKUP(
A58,#REF!,#REF!
)
)</f>
        <v>#REF!</v>
      </c>
      <c r="F58" s="88" t="str">
        <f>IFERROR(
VLOOKUP(
B58,#REF!,
6,
FALSE
),
""
)</f>
        <v/>
      </c>
      <c r="G58" s="88">
        <v>0</v>
      </c>
      <c r="H58" s="88">
        <v>24</v>
      </c>
      <c r="I58" s="90" t="e">
        <f t="shared" si="4"/>
        <v>#REF!</v>
      </c>
      <c r="J58" s="91" t="e">
        <f t="shared" si="5"/>
        <v>#REF!</v>
      </c>
      <c r="K58" s="91"/>
      <c r="L58" s="88" t="e">
        <f t="shared" si="6"/>
        <v>#REF!</v>
      </c>
      <c r="M58" s="88" t="e">
        <f t="shared" si="7"/>
        <v>#REF!</v>
      </c>
      <c r="N58" s="88" t="e">
        <f t="shared" si="8"/>
        <v>#REF!</v>
      </c>
      <c r="O58" s="88"/>
    </row>
    <row r="59" spans="3:15" ht="15" x14ac:dyDescent="0.25">
      <c r="C59" s="88">
        <v>0</v>
      </c>
      <c r="D59" s="88">
        <v>0.9</v>
      </c>
      <c r="E59" s="89" t="e">
        <f>IFERROR(
_xlfn.XLOOKUP(
B59,#REF!,#REF!
),
_xlfn.XLOOKUP(
A59,#REF!,#REF!
)
)</f>
        <v>#REF!</v>
      </c>
      <c r="F59" s="88" t="str">
        <f>IFERROR(
VLOOKUP(
B59,#REF!,
6,
FALSE
),
""
)</f>
        <v/>
      </c>
      <c r="G59" s="88">
        <v>0</v>
      </c>
      <c r="H59" s="88">
        <v>24</v>
      </c>
      <c r="I59" s="90" t="e">
        <f t="shared" si="4"/>
        <v>#REF!</v>
      </c>
      <c r="J59" s="91" t="e">
        <f t="shared" si="5"/>
        <v>#REF!</v>
      </c>
      <c r="K59" s="91"/>
      <c r="L59" s="88" t="e">
        <f t="shared" si="6"/>
        <v>#REF!</v>
      </c>
      <c r="M59" s="88" t="e">
        <f t="shared" si="7"/>
        <v>#REF!</v>
      </c>
      <c r="N59" s="88" t="e">
        <f t="shared" si="8"/>
        <v>#REF!</v>
      </c>
      <c r="O59" s="88"/>
    </row>
    <row r="60" spans="3:15" ht="15" x14ac:dyDescent="0.25">
      <c r="C60" s="88">
        <v>0</v>
      </c>
      <c r="D60" s="88">
        <v>0.9</v>
      </c>
      <c r="E60" s="89" t="e">
        <f>IFERROR(
_xlfn.XLOOKUP(
B60,#REF!,#REF!
),
_xlfn.XLOOKUP(
A60,#REF!,#REF!
)
)</f>
        <v>#REF!</v>
      </c>
      <c r="F60" s="88" t="str">
        <f>IFERROR(
VLOOKUP(
B60,#REF!,
6,
FALSE
),
""
)</f>
        <v/>
      </c>
      <c r="G60" s="88">
        <v>0</v>
      </c>
      <c r="H60" s="88">
        <v>24</v>
      </c>
      <c r="I60" s="90" t="e">
        <f t="shared" si="4"/>
        <v>#REF!</v>
      </c>
      <c r="J60" s="91" t="e">
        <f t="shared" si="5"/>
        <v>#REF!</v>
      </c>
      <c r="K60" s="91"/>
      <c r="L60" s="88" t="e">
        <f t="shared" si="6"/>
        <v>#REF!</v>
      </c>
      <c r="M60" s="88" t="e">
        <f t="shared" si="7"/>
        <v>#REF!</v>
      </c>
      <c r="N60" s="88" t="e">
        <f t="shared" si="8"/>
        <v>#REF!</v>
      </c>
      <c r="O60" s="88"/>
    </row>
    <row r="61" spans="3:15" ht="15" x14ac:dyDescent="0.25">
      <c r="C61" s="88">
        <v>0</v>
      </c>
      <c r="D61" s="88">
        <v>0.9</v>
      </c>
      <c r="E61" s="89" t="e">
        <f>IFERROR(
_xlfn.XLOOKUP(
B61,#REF!,#REF!
),
_xlfn.XLOOKUP(
A61,#REF!,#REF!
)
)</f>
        <v>#REF!</v>
      </c>
      <c r="F61" s="88" t="str">
        <f>IFERROR(
VLOOKUP(
B61,#REF!,
6,
FALSE
),
""
)</f>
        <v/>
      </c>
      <c r="G61" s="88">
        <v>0</v>
      </c>
      <c r="H61" s="88">
        <v>24</v>
      </c>
      <c r="I61" s="90" t="e">
        <f t="shared" si="4"/>
        <v>#REF!</v>
      </c>
      <c r="J61" s="91" t="e">
        <f t="shared" si="5"/>
        <v>#REF!</v>
      </c>
      <c r="K61" s="91"/>
      <c r="L61" s="88" t="e">
        <f t="shared" si="6"/>
        <v>#REF!</v>
      </c>
      <c r="M61" s="88" t="e">
        <f t="shared" si="7"/>
        <v>#REF!</v>
      </c>
      <c r="N61" s="88" t="e">
        <f t="shared" si="8"/>
        <v>#REF!</v>
      </c>
      <c r="O61" s="88"/>
    </row>
    <row r="62" spans="3:15" ht="15" x14ac:dyDescent="0.25">
      <c r="C62" s="88">
        <v>0</v>
      </c>
      <c r="D62" s="88">
        <v>0.9</v>
      </c>
      <c r="E62" s="89" t="e">
        <f>IFERROR(
_xlfn.XLOOKUP(
B62,#REF!,#REF!
),
_xlfn.XLOOKUP(
A62,#REF!,#REF!
)
)</f>
        <v>#REF!</v>
      </c>
      <c r="F62" s="88" t="str">
        <f>IFERROR(
VLOOKUP(
B62,#REF!,
6,
FALSE
),
""
)</f>
        <v/>
      </c>
      <c r="G62" s="88">
        <v>0</v>
      </c>
      <c r="H62" s="88">
        <v>24</v>
      </c>
      <c r="I62" s="90" t="e">
        <f t="shared" si="4"/>
        <v>#REF!</v>
      </c>
      <c r="J62" s="91" t="e">
        <f t="shared" si="5"/>
        <v>#REF!</v>
      </c>
      <c r="K62" s="91"/>
      <c r="L62" s="88" t="e">
        <f t="shared" si="6"/>
        <v>#REF!</v>
      </c>
      <c r="M62" s="88" t="e">
        <f t="shared" si="7"/>
        <v>#REF!</v>
      </c>
      <c r="N62" s="88" t="e">
        <f t="shared" si="8"/>
        <v>#REF!</v>
      </c>
      <c r="O62" s="88"/>
    </row>
    <row r="63" spans="3:15" ht="15" x14ac:dyDescent="0.25">
      <c r="C63" s="88">
        <v>0</v>
      </c>
      <c r="D63" s="88">
        <v>0.9</v>
      </c>
      <c r="E63" s="89" t="e">
        <f>IFERROR(
_xlfn.XLOOKUP(
B63,#REF!,#REF!
),
_xlfn.XLOOKUP(
A63,#REF!,#REF!
)
)</f>
        <v>#REF!</v>
      </c>
      <c r="F63" s="88" t="str">
        <f>IFERROR(
VLOOKUP(
B63,#REF!,
6,
FALSE
),
""
)</f>
        <v/>
      </c>
      <c r="G63" s="88">
        <v>0</v>
      </c>
      <c r="H63" s="88">
        <v>24</v>
      </c>
      <c r="I63" s="90" t="e">
        <f t="shared" si="4"/>
        <v>#REF!</v>
      </c>
      <c r="J63" s="91" t="e">
        <f t="shared" si="5"/>
        <v>#REF!</v>
      </c>
      <c r="K63" s="91"/>
      <c r="L63" s="88" t="e">
        <f t="shared" si="6"/>
        <v>#REF!</v>
      </c>
      <c r="M63" s="88" t="e">
        <f t="shared" si="7"/>
        <v>#REF!</v>
      </c>
      <c r="N63" s="88" t="e">
        <f t="shared" si="8"/>
        <v>#REF!</v>
      </c>
      <c r="O63" s="88"/>
    </row>
    <row r="64" spans="3:15" ht="15" x14ac:dyDescent="0.25">
      <c r="C64" s="88">
        <v>0</v>
      </c>
      <c r="D64" s="88">
        <v>0.9</v>
      </c>
      <c r="E64" s="89" t="e">
        <f>IFERROR(
_xlfn.XLOOKUP(
B64,#REF!,#REF!
),
_xlfn.XLOOKUP(
A64,#REF!,#REF!
)
)</f>
        <v>#REF!</v>
      </c>
      <c r="F64" s="88" t="str">
        <f>IFERROR(
VLOOKUP(
B64,#REF!,
6,
FALSE
),
""
)</f>
        <v/>
      </c>
      <c r="G64" s="88">
        <v>0</v>
      </c>
      <c r="H64" s="88">
        <v>24</v>
      </c>
      <c r="I64" s="90" t="e">
        <f t="shared" si="4"/>
        <v>#REF!</v>
      </c>
      <c r="J64" s="91" t="e">
        <f t="shared" si="5"/>
        <v>#REF!</v>
      </c>
      <c r="K64" s="91"/>
      <c r="L64" s="88" t="e">
        <f t="shared" si="6"/>
        <v>#REF!</v>
      </c>
      <c r="M64" s="88" t="e">
        <f t="shared" si="7"/>
        <v>#REF!</v>
      </c>
      <c r="N64" s="88" t="e">
        <f t="shared" si="8"/>
        <v>#REF!</v>
      </c>
      <c r="O64" s="88"/>
    </row>
    <row r="65" spans="3:15" ht="15" x14ac:dyDescent="0.25">
      <c r="C65" s="88">
        <v>0</v>
      </c>
      <c r="D65" s="88">
        <v>0.9</v>
      </c>
      <c r="E65" s="89" t="e">
        <f>IFERROR(
_xlfn.XLOOKUP(
B65,#REF!,#REF!
),
_xlfn.XLOOKUP(
A65,#REF!,#REF!
)
)</f>
        <v>#REF!</v>
      </c>
      <c r="F65" s="88" t="str">
        <f>IFERROR(
VLOOKUP(
B65,#REF!,
6,
FALSE
),
""
)</f>
        <v/>
      </c>
      <c r="G65" s="88">
        <v>0</v>
      </c>
      <c r="H65" s="88">
        <v>24</v>
      </c>
      <c r="I65" s="90" t="e">
        <f t="shared" si="4"/>
        <v>#REF!</v>
      </c>
      <c r="J65" s="91" t="e">
        <f t="shared" si="5"/>
        <v>#REF!</v>
      </c>
      <c r="K65" s="91"/>
      <c r="L65" s="88" t="e">
        <f t="shared" si="6"/>
        <v>#REF!</v>
      </c>
      <c r="M65" s="88" t="e">
        <f t="shared" si="7"/>
        <v>#REF!</v>
      </c>
      <c r="N65" s="88" t="e">
        <f t="shared" si="8"/>
        <v>#REF!</v>
      </c>
      <c r="O65" s="88"/>
    </row>
    <row r="66" spans="3:15" ht="15" x14ac:dyDescent="0.25">
      <c r="C66" s="88">
        <v>0</v>
      </c>
      <c r="D66" s="88">
        <v>0.9</v>
      </c>
      <c r="E66" s="89" t="e">
        <f>IFERROR(
_xlfn.XLOOKUP(
B66,#REF!,#REF!
),
_xlfn.XLOOKUP(
A66,#REF!,#REF!
)
)</f>
        <v>#REF!</v>
      </c>
      <c r="F66" s="88" t="str">
        <f>IFERROR(
VLOOKUP(
B66,#REF!,
6,
FALSE
),
""
)</f>
        <v/>
      </c>
      <c r="G66" s="88">
        <v>0</v>
      </c>
      <c r="H66" s="88">
        <v>24</v>
      </c>
      <c r="I66" s="90" t="e">
        <f t="shared" si="4"/>
        <v>#REF!</v>
      </c>
      <c r="J66" s="91" t="e">
        <f t="shared" si="5"/>
        <v>#REF!</v>
      </c>
      <c r="K66" s="91"/>
      <c r="L66" s="88" t="e">
        <f t="shared" si="6"/>
        <v>#REF!</v>
      </c>
      <c r="M66" s="88" t="e">
        <f t="shared" si="7"/>
        <v>#REF!</v>
      </c>
      <c r="N66" s="88" t="e">
        <f t="shared" si="8"/>
        <v>#REF!</v>
      </c>
      <c r="O66" s="88"/>
    </row>
    <row r="67" spans="3:15" ht="15" x14ac:dyDescent="0.25">
      <c r="C67" s="88">
        <v>0</v>
      </c>
      <c r="D67" s="88">
        <v>0.9</v>
      </c>
      <c r="E67" s="89" t="e">
        <f>IFERROR(
_xlfn.XLOOKUP(
B67,#REF!,#REF!
),
_xlfn.XLOOKUP(
A67,#REF!,#REF!
)
)</f>
        <v>#REF!</v>
      </c>
      <c r="F67" s="88" t="str">
        <f>IFERROR(
VLOOKUP(
B67,#REF!,
6,
FALSE
),
""
)</f>
        <v/>
      </c>
      <c r="G67" s="88">
        <v>0</v>
      </c>
      <c r="H67" s="88">
        <v>24</v>
      </c>
      <c r="I67" s="90" t="e">
        <f t="shared" ref="I67:I69" si="9">C67+D67+E67</f>
        <v>#REF!</v>
      </c>
      <c r="J67" s="91" t="e">
        <f t="shared" ref="J67:J69" si="10">(I67+G67) / (1 - F67/100 - (1 - 1/(1 + H67/100)))</f>
        <v>#REF!</v>
      </c>
      <c r="K67" s="91"/>
      <c r="L67" s="88" t="e">
        <f t="shared" ref="L67:L69" si="11">J67 * F67 / 100</f>
        <v>#REF!</v>
      </c>
      <c r="M67" s="88" t="e">
        <f t="shared" ref="M67:M69" si="12">J67 - (J67 / (1 + H67/100))</f>
        <v>#REF!</v>
      </c>
      <c r="N67" s="88" t="e">
        <f t="shared" ref="N67:N69" si="13">J67 - L67 - M67</f>
        <v>#REF!</v>
      </c>
      <c r="O67" s="88"/>
    </row>
    <row r="68" spans="3:15" ht="15" x14ac:dyDescent="0.25">
      <c r="C68" s="88">
        <v>0</v>
      </c>
      <c r="D68" s="88">
        <v>0.9</v>
      </c>
      <c r="E68" s="89" t="e">
        <f>IFERROR(
_xlfn.XLOOKUP(
B68,#REF!,#REF!
),
_xlfn.XLOOKUP(
A68,#REF!,#REF!
)
)</f>
        <v>#REF!</v>
      </c>
      <c r="F68" s="88" t="str">
        <f>IFERROR(
VLOOKUP(
B68,#REF!,
6,
FALSE
),
""
)</f>
        <v/>
      </c>
      <c r="G68" s="88">
        <v>0</v>
      </c>
      <c r="H68" s="88">
        <v>24</v>
      </c>
      <c r="I68" s="90" t="e">
        <f t="shared" si="9"/>
        <v>#REF!</v>
      </c>
      <c r="J68" s="91" t="e">
        <f t="shared" si="10"/>
        <v>#REF!</v>
      </c>
      <c r="K68" s="91"/>
      <c r="L68" s="88" t="e">
        <f t="shared" si="11"/>
        <v>#REF!</v>
      </c>
      <c r="M68" s="88" t="e">
        <f t="shared" si="12"/>
        <v>#REF!</v>
      </c>
      <c r="N68" s="88" t="e">
        <f t="shared" si="13"/>
        <v>#REF!</v>
      </c>
      <c r="O68" s="88"/>
    </row>
    <row r="69" spans="3:15" ht="15" x14ac:dyDescent="0.25">
      <c r="C69" s="88">
        <v>0</v>
      </c>
      <c r="D69" s="88">
        <v>0.9</v>
      </c>
      <c r="E69" s="89" t="e">
        <f>IFERROR(
_xlfn.XLOOKUP(
B69,#REF!,#REF!
),
_xlfn.XLOOKUP(
A69,#REF!,#REF!
)
)</f>
        <v>#REF!</v>
      </c>
      <c r="F69" s="88" t="str">
        <f>IFERROR(
VLOOKUP(
B69,#REF!,
6,
FALSE
),
""
)</f>
        <v/>
      </c>
      <c r="G69" s="88">
        <v>0</v>
      </c>
      <c r="H69" s="88">
        <v>24</v>
      </c>
      <c r="I69" s="90" t="e">
        <f t="shared" si="9"/>
        <v>#REF!</v>
      </c>
      <c r="J69" s="91" t="e">
        <f t="shared" si="10"/>
        <v>#REF!</v>
      </c>
      <c r="K69" s="91"/>
      <c r="L69" s="88" t="e">
        <f t="shared" si="11"/>
        <v>#REF!</v>
      </c>
      <c r="M69" s="88" t="e">
        <f t="shared" si="12"/>
        <v>#REF!</v>
      </c>
      <c r="N69" s="88" t="e">
        <f t="shared" si="13"/>
        <v>#REF!</v>
      </c>
      <c r="O69" s="88"/>
    </row>
  </sheetData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2:AC27"/>
  <sheetViews>
    <sheetView topLeftCell="A4" workbookViewId="0">
      <selection activeCell="C14" sqref="C14"/>
    </sheetView>
  </sheetViews>
  <sheetFormatPr defaultColWidth="12.5703125" defaultRowHeight="15.75" customHeight="1" x14ac:dyDescent="0.2"/>
  <cols>
    <col min="1" max="1" width="28.140625" customWidth="1"/>
  </cols>
  <sheetData>
    <row r="2" spans="1:29" x14ac:dyDescent="0.2">
      <c r="A2" s="13" t="s">
        <v>2043</v>
      </c>
      <c r="B2" s="14">
        <v>5206938000227</v>
      </c>
      <c r="C2" s="15">
        <v>9.92</v>
      </c>
      <c r="D2" s="15">
        <v>0.9</v>
      </c>
      <c r="E2" s="15">
        <f t="shared" ref="E2:E27" si="0">SUM(C2)+D2</f>
        <v>10.82</v>
      </c>
      <c r="F2" s="15">
        <v>1.24</v>
      </c>
      <c r="G2" s="15">
        <f t="shared" ref="G2:G27" si="1">SUM(E2)*F2</f>
        <v>13.4168</v>
      </c>
      <c r="H2" s="15">
        <v>1.1214999999999999</v>
      </c>
      <c r="I2" s="15">
        <f t="shared" ref="I2:I27" si="2">SUM(G2)*H2</f>
        <v>15.046941199999999</v>
      </c>
      <c r="J2" s="15">
        <v>0.74</v>
      </c>
      <c r="K2" s="15">
        <f t="shared" ref="K2:K27" si="3">SUM(I2)+J2</f>
        <v>15.786941199999999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1:29" x14ac:dyDescent="0.2">
      <c r="A3" s="13" t="s">
        <v>2044</v>
      </c>
      <c r="B3" s="14">
        <v>5206938221400</v>
      </c>
      <c r="C3" s="15">
        <v>5.31</v>
      </c>
      <c r="D3" s="15">
        <v>0.9</v>
      </c>
      <c r="E3" s="15">
        <f t="shared" si="0"/>
        <v>6.21</v>
      </c>
      <c r="F3" s="15">
        <v>1.24</v>
      </c>
      <c r="G3" s="15">
        <f t="shared" si="1"/>
        <v>7.7004000000000001</v>
      </c>
      <c r="H3" s="15">
        <v>1.1214999999999999</v>
      </c>
      <c r="I3" s="15">
        <f t="shared" si="2"/>
        <v>8.6359985999999989</v>
      </c>
      <c r="J3" s="15">
        <v>0.74</v>
      </c>
      <c r="K3" s="15">
        <f t="shared" si="3"/>
        <v>9.3759985999999991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29" x14ac:dyDescent="0.2">
      <c r="A4" s="13" t="s">
        <v>2045</v>
      </c>
      <c r="B4" s="14">
        <v>5206938000272</v>
      </c>
      <c r="C4" s="15">
        <v>4.08</v>
      </c>
      <c r="D4" s="15">
        <v>0.9</v>
      </c>
      <c r="E4" s="15">
        <f t="shared" si="0"/>
        <v>4.9800000000000004</v>
      </c>
      <c r="F4" s="15">
        <v>1.24</v>
      </c>
      <c r="G4" s="15">
        <f t="shared" si="1"/>
        <v>6.1752000000000002</v>
      </c>
      <c r="H4" s="15">
        <v>1.1214999999999999</v>
      </c>
      <c r="I4" s="15">
        <f t="shared" si="2"/>
        <v>6.9254867999999998</v>
      </c>
      <c r="J4" s="15">
        <v>0.25</v>
      </c>
      <c r="K4" s="15">
        <f t="shared" si="3"/>
        <v>7.1754867999999998</v>
      </c>
      <c r="L4" s="15">
        <v>6.91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29" x14ac:dyDescent="0.2">
      <c r="A5" s="13" t="s">
        <v>2046</v>
      </c>
      <c r="B5" s="14">
        <v>5206938000364</v>
      </c>
      <c r="C5" s="15">
        <v>4.8</v>
      </c>
      <c r="D5" s="15">
        <v>0.9</v>
      </c>
      <c r="E5" s="15">
        <f t="shared" si="0"/>
        <v>5.7</v>
      </c>
      <c r="F5" s="15">
        <v>1.24</v>
      </c>
      <c r="G5" s="15">
        <f t="shared" si="1"/>
        <v>7.0680000000000005</v>
      </c>
      <c r="H5" s="15">
        <v>1.1214999999999999</v>
      </c>
      <c r="I5" s="15">
        <f t="shared" si="2"/>
        <v>7.9267620000000001</v>
      </c>
      <c r="J5" s="15">
        <v>0.74</v>
      </c>
      <c r="K5" s="15">
        <f t="shared" si="3"/>
        <v>8.6667620000000003</v>
      </c>
      <c r="L5" s="13"/>
      <c r="M5" s="13"/>
      <c r="N5" s="13"/>
      <c r="O5" s="15">
        <v>6588474899468</v>
      </c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1:29" x14ac:dyDescent="0.2">
      <c r="A6" s="13" t="s">
        <v>2047</v>
      </c>
      <c r="B6" s="14">
        <v>5206938002481</v>
      </c>
      <c r="C6" s="15">
        <v>6.91</v>
      </c>
      <c r="D6" s="15">
        <v>0.9</v>
      </c>
      <c r="E6" s="15">
        <f t="shared" si="0"/>
        <v>7.8100000000000005</v>
      </c>
      <c r="F6" s="15">
        <v>1.24</v>
      </c>
      <c r="G6" s="15">
        <f t="shared" si="1"/>
        <v>9.6844000000000001</v>
      </c>
      <c r="H6" s="15">
        <v>1.1214999999999999</v>
      </c>
      <c r="I6" s="15">
        <f t="shared" si="2"/>
        <v>10.861054599999999</v>
      </c>
      <c r="J6" s="15">
        <v>0.74</v>
      </c>
      <c r="K6" s="15">
        <f t="shared" si="3"/>
        <v>11.601054599999999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spans="1:29" x14ac:dyDescent="0.2">
      <c r="A7" s="13" t="s">
        <v>2048</v>
      </c>
      <c r="B7" s="14">
        <v>5206938000333</v>
      </c>
      <c r="C7" s="15">
        <v>7.34</v>
      </c>
      <c r="D7" s="15">
        <v>0.9</v>
      </c>
      <c r="E7" s="15">
        <f t="shared" si="0"/>
        <v>8.24</v>
      </c>
      <c r="F7" s="15">
        <v>1.24</v>
      </c>
      <c r="G7" s="15">
        <f t="shared" si="1"/>
        <v>10.217600000000001</v>
      </c>
      <c r="H7" s="15">
        <v>1.1214999999999999</v>
      </c>
      <c r="I7" s="15">
        <f t="shared" si="2"/>
        <v>11.459038400000001</v>
      </c>
      <c r="J7" s="15">
        <v>1.49</v>
      </c>
      <c r="K7" s="15">
        <f t="shared" si="3"/>
        <v>12.949038400000001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29" x14ac:dyDescent="0.2">
      <c r="A8" s="13" t="s">
        <v>2049</v>
      </c>
      <c r="B8" s="14">
        <v>5206938002474</v>
      </c>
      <c r="C8" s="15">
        <v>5.47</v>
      </c>
      <c r="D8" s="15">
        <v>0.9</v>
      </c>
      <c r="E8" s="15">
        <f t="shared" si="0"/>
        <v>6.37</v>
      </c>
      <c r="F8" s="15">
        <v>1.24</v>
      </c>
      <c r="G8" s="15">
        <f t="shared" si="1"/>
        <v>7.8988000000000005</v>
      </c>
      <c r="H8" s="15">
        <v>1.1214999999999999</v>
      </c>
      <c r="I8" s="15">
        <f t="shared" si="2"/>
        <v>8.8585042000000005</v>
      </c>
      <c r="J8" s="15">
        <v>0.74</v>
      </c>
      <c r="K8" s="15">
        <f t="shared" si="3"/>
        <v>9.5985042000000007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29" x14ac:dyDescent="0.2">
      <c r="A9" s="13" t="s">
        <v>2050</v>
      </c>
      <c r="B9" s="14">
        <v>5206938221509</v>
      </c>
      <c r="C9" s="15">
        <v>6.99</v>
      </c>
      <c r="D9" s="15">
        <v>0.9</v>
      </c>
      <c r="E9" s="15">
        <f t="shared" si="0"/>
        <v>7.8900000000000006</v>
      </c>
      <c r="F9" s="15">
        <v>1.24</v>
      </c>
      <c r="G9" s="15">
        <f t="shared" si="1"/>
        <v>9.7835999999999999</v>
      </c>
      <c r="H9" s="15">
        <v>1.1214999999999999</v>
      </c>
      <c r="I9" s="15">
        <f t="shared" si="2"/>
        <v>10.9723074</v>
      </c>
      <c r="J9" s="15">
        <v>0.74</v>
      </c>
      <c r="K9" s="15">
        <f t="shared" si="3"/>
        <v>11.7123074</v>
      </c>
      <c r="L9" s="15">
        <v>12.57</v>
      </c>
      <c r="M9" s="15">
        <f>SUM(L9)-K9</f>
        <v>0.85769260000000003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29" x14ac:dyDescent="0.2">
      <c r="A10" s="13" t="s">
        <v>2051</v>
      </c>
      <c r="B10" s="14">
        <v>5206938002498</v>
      </c>
      <c r="C10" s="15">
        <v>9.6300000000000008</v>
      </c>
      <c r="D10" s="15">
        <v>0.9</v>
      </c>
      <c r="E10" s="15">
        <f t="shared" si="0"/>
        <v>10.530000000000001</v>
      </c>
      <c r="F10" s="15">
        <v>1.24</v>
      </c>
      <c r="G10" s="15">
        <f t="shared" si="1"/>
        <v>13.057200000000002</v>
      </c>
      <c r="H10" s="15">
        <v>1.1214999999999999</v>
      </c>
      <c r="I10" s="15">
        <f t="shared" si="2"/>
        <v>14.6436498</v>
      </c>
      <c r="J10" s="15">
        <v>0.74</v>
      </c>
      <c r="K10" s="15">
        <f t="shared" si="3"/>
        <v>15.383649800000001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spans="1:29" x14ac:dyDescent="0.2">
      <c r="A11" s="13" t="s">
        <v>2052</v>
      </c>
      <c r="B11" s="14">
        <v>5206938418909</v>
      </c>
      <c r="C11" s="15">
        <v>2.48</v>
      </c>
      <c r="D11" s="15">
        <v>0.9</v>
      </c>
      <c r="E11" s="15">
        <f t="shared" si="0"/>
        <v>3.38</v>
      </c>
      <c r="F11" s="15">
        <v>1.24</v>
      </c>
      <c r="G11" s="15">
        <f t="shared" si="1"/>
        <v>4.1912000000000003</v>
      </c>
      <c r="H11" s="15">
        <v>1.1214999999999999</v>
      </c>
      <c r="I11" s="15">
        <f t="shared" si="2"/>
        <v>4.7004308000000004</v>
      </c>
      <c r="J11" s="15">
        <v>0.25</v>
      </c>
      <c r="K11" s="15">
        <f t="shared" si="3"/>
        <v>4.9504308000000004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29" x14ac:dyDescent="0.2">
      <c r="A12" s="13" t="s">
        <v>2053</v>
      </c>
      <c r="B12" s="14">
        <v>5205152233800</v>
      </c>
      <c r="C12" s="15">
        <v>3.57</v>
      </c>
      <c r="D12" s="15">
        <v>0.9</v>
      </c>
      <c r="E12" s="15">
        <f t="shared" si="0"/>
        <v>4.47</v>
      </c>
      <c r="F12" s="15">
        <v>1.24</v>
      </c>
      <c r="G12" s="15">
        <f t="shared" si="1"/>
        <v>5.5427999999999997</v>
      </c>
      <c r="H12" s="15">
        <v>1.1214999999999999</v>
      </c>
      <c r="I12" s="15">
        <f t="shared" si="2"/>
        <v>6.2162501999999993</v>
      </c>
      <c r="J12" s="15">
        <v>0.25</v>
      </c>
      <c r="K12" s="15">
        <f t="shared" si="3"/>
        <v>6.4662501999999993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29" x14ac:dyDescent="0.2">
      <c r="A13" s="13" t="s">
        <v>2054</v>
      </c>
      <c r="B13" s="14">
        <v>5206938000531</v>
      </c>
      <c r="C13" s="15">
        <v>5.19</v>
      </c>
      <c r="D13" s="15">
        <v>0.9</v>
      </c>
      <c r="E13" s="15">
        <f t="shared" si="0"/>
        <v>6.0900000000000007</v>
      </c>
      <c r="F13" s="15">
        <v>1.24</v>
      </c>
      <c r="G13" s="15">
        <f t="shared" si="1"/>
        <v>7.5516000000000005</v>
      </c>
      <c r="H13" s="15">
        <v>1.1214999999999999</v>
      </c>
      <c r="I13" s="15">
        <f t="shared" si="2"/>
        <v>8.4691194000000003</v>
      </c>
      <c r="J13" s="15">
        <v>0.74</v>
      </c>
      <c r="K13" s="15">
        <f t="shared" si="3"/>
        <v>9.2091194000000005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spans="1:29" x14ac:dyDescent="0.2">
      <c r="A14" s="13" t="s">
        <v>2055</v>
      </c>
      <c r="B14" s="14">
        <v>5206938002917</v>
      </c>
      <c r="C14" s="15">
        <v>13.13</v>
      </c>
      <c r="D14" s="15">
        <v>0.9</v>
      </c>
      <c r="E14" s="15">
        <f t="shared" si="0"/>
        <v>14.030000000000001</v>
      </c>
      <c r="F14" s="15">
        <v>1.24</v>
      </c>
      <c r="G14" s="15">
        <f t="shared" si="1"/>
        <v>17.397200000000002</v>
      </c>
      <c r="H14" s="15">
        <v>1.1214999999999999</v>
      </c>
      <c r="I14" s="15">
        <f t="shared" si="2"/>
        <v>19.510959800000002</v>
      </c>
      <c r="J14" s="15">
        <v>0.74</v>
      </c>
      <c r="K14" s="15">
        <f t="shared" si="3"/>
        <v>20.2509598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spans="1:29" x14ac:dyDescent="0.2">
      <c r="A15" s="13" t="s">
        <v>2056</v>
      </c>
      <c r="B15" s="14">
        <v>5206938002597</v>
      </c>
      <c r="C15" s="15">
        <v>6.98</v>
      </c>
      <c r="D15" s="15">
        <v>0.9</v>
      </c>
      <c r="E15" s="15">
        <f t="shared" si="0"/>
        <v>7.8800000000000008</v>
      </c>
      <c r="F15" s="15">
        <v>1.24</v>
      </c>
      <c r="G15" s="15">
        <f t="shared" si="1"/>
        <v>9.7712000000000003</v>
      </c>
      <c r="H15" s="15">
        <v>1.1214999999999999</v>
      </c>
      <c r="I15" s="15">
        <f t="shared" si="2"/>
        <v>10.9584008</v>
      </c>
      <c r="J15" s="15">
        <v>0.74</v>
      </c>
      <c r="K15" s="15">
        <f t="shared" si="3"/>
        <v>11.6984008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spans="1:29" x14ac:dyDescent="0.2">
      <c r="A16" s="6" t="s">
        <v>2057</v>
      </c>
      <c r="B16" s="14" t="s">
        <v>2058</v>
      </c>
      <c r="C16" s="15">
        <v>7</v>
      </c>
      <c r="D16" s="15">
        <v>0.9</v>
      </c>
      <c r="E16" s="15">
        <f t="shared" si="0"/>
        <v>7.9</v>
      </c>
      <c r="F16" s="15">
        <v>1.24</v>
      </c>
      <c r="G16" s="15">
        <f t="shared" si="1"/>
        <v>9.7960000000000012</v>
      </c>
      <c r="H16" s="15">
        <v>1.1214999999999999</v>
      </c>
      <c r="I16" s="15">
        <f t="shared" si="2"/>
        <v>10.986214</v>
      </c>
      <c r="J16" s="15">
        <v>0.74</v>
      </c>
      <c r="K16" s="15">
        <f t="shared" si="3"/>
        <v>11.726214000000001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spans="1:29" x14ac:dyDescent="0.2">
      <c r="A17" s="6" t="s">
        <v>2059</v>
      </c>
      <c r="B17" s="14" t="s">
        <v>2060</v>
      </c>
      <c r="C17" s="15">
        <v>7.62</v>
      </c>
      <c r="D17" s="15">
        <v>0.9</v>
      </c>
      <c r="E17" s="15">
        <f t="shared" si="0"/>
        <v>8.52</v>
      </c>
      <c r="F17" s="15">
        <v>1.24</v>
      </c>
      <c r="G17" s="15">
        <f t="shared" si="1"/>
        <v>10.5648</v>
      </c>
      <c r="H17" s="15">
        <v>1.1214999999999999</v>
      </c>
      <c r="I17" s="15">
        <f t="shared" si="2"/>
        <v>11.848423199999999</v>
      </c>
      <c r="J17" s="15">
        <v>0.74</v>
      </c>
      <c r="K17" s="15">
        <f t="shared" si="3"/>
        <v>12.588423199999999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spans="1:29" x14ac:dyDescent="0.2">
      <c r="A18" s="6" t="s">
        <v>2061</v>
      </c>
      <c r="B18" s="14" t="s">
        <v>2062</v>
      </c>
      <c r="C18" s="15">
        <v>12.55</v>
      </c>
      <c r="D18" s="15">
        <v>0.9</v>
      </c>
      <c r="E18" s="15">
        <f t="shared" si="0"/>
        <v>13.450000000000001</v>
      </c>
      <c r="F18" s="15">
        <v>1.24</v>
      </c>
      <c r="G18" s="15">
        <f t="shared" si="1"/>
        <v>16.678000000000001</v>
      </c>
      <c r="H18" s="15">
        <v>1.1214999999999999</v>
      </c>
      <c r="I18" s="15">
        <f t="shared" si="2"/>
        <v>18.704377000000001</v>
      </c>
      <c r="J18" s="15">
        <v>0.74</v>
      </c>
      <c r="K18" s="15">
        <f t="shared" si="3"/>
        <v>19.444376999999999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spans="1:29" x14ac:dyDescent="0.2">
      <c r="A19" s="6" t="s">
        <v>2063</v>
      </c>
      <c r="B19" s="14" t="s">
        <v>2064</v>
      </c>
      <c r="C19" s="15">
        <v>7.17</v>
      </c>
      <c r="D19" s="15">
        <v>0.9</v>
      </c>
      <c r="E19" s="15">
        <f t="shared" si="0"/>
        <v>8.07</v>
      </c>
      <c r="F19" s="15">
        <v>1.24</v>
      </c>
      <c r="G19" s="15">
        <f t="shared" si="1"/>
        <v>10.0068</v>
      </c>
      <c r="H19" s="15">
        <v>1.1214999999999999</v>
      </c>
      <c r="I19" s="15">
        <f t="shared" si="2"/>
        <v>11.222626199999999</v>
      </c>
      <c r="J19" s="15">
        <v>1.49</v>
      </c>
      <c r="K19" s="15">
        <f t="shared" si="3"/>
        <v>12.712626199999999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spans="1:29" x14ac:dyDescent="0.2">
      <c r="A20" s="13" t="s">
        <v>2065</v>
      </c>
      <c r="B20" s="14">
        <v>5206938002405</v>
      </c>
      <c r="C20" s="15">
        <v>10.77</v>
      </c>
      <c r="D20" s="15">
        <v>0.9</v>
      </c>
      <c r="E20" s="15">
        <f t="shared" si="0"/>
        <v>11.67</v>
      </c>
      <c r="F20" s="15">
        <v>1.24</v>
      </c>
      <c r="G20" s="15">
        <f t="shared" si="1"/>
        <v>14.470800000000001</v>
      </c>
      <c r="H20" s="15">
        <v>1.1214999999999999</v>
      </c>
      <c r="I20" s="15">
        <f t="shared" si="2"/>
        <v>16.2290022</v>
      </c>
      <c r="J20" s="15">
        <v>0.73999999999999899</v>
      </c>
      <c r="K20" s="15">
        <f t="shared" si="3"/>
        <v>16.969002199999998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spans="1:29" x14ac:dyDescent="0.2">
      <c r="A21" s="13" t="s">
        <v>2066</v>
      </c>
      <c r="B21" s="14">
        <v>5206938002399</v>
      </c>
      <c r="C21" s="15">
        <v>8.06</v>
      </c>
      <c r="D21" s="15">
        <v>0.9</v>
      </c>
      <c r="E21" s="15">
        <f t="shared" si="0"/>
        <v>8.9600000000000009</v>
      </c>
      <c r="F21" s="15">
        <v>1.24</v>
      </c>
      <c r="G21" s="15">
        <f t="shared" si="1"/>
        <v>11.1104</v>
      </c>
      <c r="H21" s="15">
        <v>1.1214999999999999</v>
      </c>
      <c r="I21" s="15">
        <f t="shared" si="2"/>
        <v>12.460313599999999</v>
      </c>
      <c r="J21" s="15">
        <v>0.73999999999999899</v>
      </c>
      <c r="K21" s="15">
        <f t="shared" si="3"/>
        <v>13.200313599999998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 x14ac:dyDescent="0.2">
      <c r="A22" s="13" t="s">
        <v>2067</v>
      </c>
      <c r="B22" s="14">
        <v>5206938002382</v>
      </c>
      <c r="C22" s="15">
        <v>6.63</v>
      </c>
      <c r="D22" s="15">
        <v>0.9</v>
      </c>
      <c r="E22" s="15">
        <f t="shared" si="0"/>
        <v>7.53</v>
      </c>
      <c r="F22" s="15">
        <v>1.24</v>
      </c>
      <c r="G22" s="15">
        <f t="shared" si="1"/>
        <v>9.3372000000000011</v>
      </c>
      <c r="H22" s="15">
        <v>1.1214999999999999</v>
      </c>
      <c r="I22" s="15">
        <f t="shared" si="2"/>
        <v>10.471669800000001</v>
      </c>
      <c r="J22" s="15">
        <v>0.73999999999999899</v>
      </c>
      <c r="K22" s="15">
        <f t="shared" si="3"/>
        <v>11.211669799999999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1:29" x14ac:dyDescent="0.2">
      <c r="A23" s="13" t="s">
        <v>2068</v>
      </c>
      <c r="B23" s="14">
        <v>5206938000920</v>
      </c>
      <c r="C23" s="15">
        <v>9.6300000000000008</v>
      </c>
      <c r="D23" s="15">
        <v>0.4</v>
      </c>
      <c r="E23" s="15">
        <f t="shared" si="0"/>
        <v>10.030000000000001</v>
      </c>
      <c r="F23" s="15">
        <v>1.24</v>
      </c>
      <c r="G23" s="15">
        <f t="shared" si="1"/>
        <v>12.437200000000001</v>
      </c>
      <c r="H23" s="15">
        <v>1.1214999999999999</v>
      </c>
      <c r="I23" s="15">
        <f t="shared" si="2"/>
        <v>13.9483198</v>
      </c>
      <c r="J23" s="15">
        <v>0.73999999999999899</v>
      </c>
      <c r="K23" s="15">
        <f t="shared" si="3"/>
        <v>14.688319799999999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:29" x14ac:dyDescent="0.2">
      <c r="A24" s="12" t="s">
        <v>2069</v>
      </c>
      <c r="B24" s="12">
        <v>5206938000852</v>
      </c>
      <c r="C24" s="15">
        <v>0</v>
      </c>
      <c r="D24" s="15">
        <v>0.9</v>
      </c>
      <c r="E24" s="15">
        <f t="shared" si="0"/>
        <v>0.9</v>
      </c>
      <c r="F24" s="15">
        <v>1.24</v>
      </c>
      <c r="G24" s="15">
        <f t="shared" si="1"/>
        <v>1.1160000000000001</v>
      </c>
      <c r="H24" s="15">
        <v>1.1214999999999999</v>
      </c>
      <c r="I24" s="15">
        <f t="shared" si="2"/>
        <v>1.2515940000000001</v>
      </c>
      <c r="J24" s="15">
        <v>0.25</v>
      </c>
      <c r="K24" s="15">
        <f t="shared" si="3"/>
        <v>1.5015940000000001</v>
      </c>
    </row>
    <row r="25" spans="1:29" x14ac:dyDescent="0.2">
      <c r="C25" s="15">
        <v>0</v>
      </c>
      <c r="D25" s="15">
        <v>0.9</v>
      </c>
      <c r="E25" s="15">
        <f t="shared" si="0"/>
        <v>0.9</v>
      </c>
      <c r="F25" s="15">
        <v>1.24</v>
      </c>
      <c r="G25" s="15">
        <f t="shared" si="1"/>
        <v>1.1160000000000001</v>
      </c>
      <c r="H25" s="15">
        <v>1.1214999999999999</v>
      </c>
      <c r="I25" s="15">
        <f t="shared" si="2"/>
        <v>1.2515940000000001</v>
      </c>
      <c r="J25" s="15">
        <v>0.73999999999999899</v>
      </c>
      <c r="K25" s="15">
        <f t="shared" si="3"/>
        <v>1.9915939999999992</v>
      </c>
    </row>
    <row r="26" spans="1:29" x14ac:dyDescent="0.2">
      <c r="C26" s="15">
        <v>0</v>
      </c>
      <c r="D26" s="15">
        <v>0.9</v>
      </c>
      <c r="E26" s="15">
        <f t="shared" si="0"/>
        <v>0.9</v>
      </c>
      <c r="F26" s="15">
        <v>1.24</v>
      </c>
      <c r="G26" s="15">
        <f t="shared" si="1"/>
        <v>1.1160000000000001</v>
      </c>
      <c r="H26" s="15">
        <v>1.1214999999999999</v>
      </c>
      <c r="I26" s="15">
        <f t="shared" si="2"/>
        <v>1.2515940000000001</v>
      </c>
      <c r="J26" s="15">
        <v>0.73999999999999899</v>
      </c>
      <c r="K26" s="15">
        <f t="shared" si="3"/>
        <v>1.9915939999999992</v>
      </c>
    </row>
    <row r="27" spans="1:29" x14ac:dyDescent="0.2">
      <c r="C27" s="15">
        <v>0</v>
      </c>
      <c r="D27" s="15">
        <v>0.9</v>
      </c>
      <c r="E27" s="15">
        <f t="shared" si="0"/>
        <v>0.9</v>
      </c>
      <c r="F27" s="15">
        <v>1.24</v>
      </c>
      <c r="G27" s="15">
        <f t="shared" si="1"/>
        <v>1.1160000000000001</v>
      </c>
      <c r="H27" s="15">
        <v>1.1214999999999999</v>
      </c>
      <c r="I27" s="15">
        <f t="shared" si="2"/>
        <v>1.2515940000000001</v>
      </c>
      <c r="J27" s="15">
        <v>0.73999999999999899</v>
      </c>
      <c r="K27" s="15">
        <f t="shared" si="3"/>
        <v>1.9915939999999992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2:AC11"/>
  <sheetViews>
    <sheetView workbookViewId="0">
      <selection activeCell="J9" sqref="J9"/>
    </sheetView>
  </sheetViews>
  <sheetFormatPr defaultColWidth="12.5703125" defaultRowHeight="15.75" customHeight="1" x14ac:dyDescent="0.2"/>
  <cols>
    <col min="1" max="1" width="32.140625" customWidth="1"/>
    <col min="2" max="2" width="22" style="73" customWidth="1"/>
  </cols>
  <sheetData>
    <row r="2" spans="1:29" x14ac:dyDescent="0.2">
      <c r="A2" s="6" t="s">
        <v>2072</v>
      </c>
      <c r="B2" s="98" t="s">
        <v>2073</v>
      </c>
      <c r="C2" s="15">
        <v>7.24</v>
      </c>
      <c r="D2" s="15">
        <v>0.9</v>
      </c>
      <c r="E2" s="15">
        <f t="shared" ref="E2:E11" si="0">SUM(C2)+D2</f>
        <v>8.14</v>
      </c>
      <c r="F2" s="15">
        <v>1.24</v>
      </c>
      <c r="G2" s="15">
        <f t="shared" ref="G2:G11" si="1">SUM(E2)*F2</f>
        <v>10.0936</v>
      </c>
      <c r="H2" s="15">
        <v>1.1214999999999999</v>
      </c>
      <c r="I2" s="15">
        <f t="shared" ref="I2:I11" si="2">SUM(G2)*H2</f>
        <v>11.319972399999999</v>
      </c>
      <c r="J2" s="15">
        <v>0.73999999999999899</v>
      </c>
      <c r="K2" s="15">
        <f t="shared" ref="K2:K11" si="3">SUM(I2)+J2</f>
        <v>12.059972399999998</v>
      </c>
      <c r="L2" s="15">
        <v>10.88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1:29" x14ac:dyDescent="0.2">
      <c r="A3" s="13" t="s">
        <v>2074</v>
      </c>
      <c r="B3" s="99" t="s">
        <v>2166</v>
      </c>
      <c r="C3" s="15">
        <v>7.05</v>
      </c>
      <c r="D3" s="15">
        <v>0.3</v>
      </c>
      <c r="E3" s="15">
        <f t="shared" si="0"/>
        <v>7.35</v>
      </c>
      <c r="F3" s="15">
        <v>1.24</v>
      </c>
      <c r="G3" s="15">
        <f t="shared" si="1"/>
        <v>9.113999999999999</v>
      </c>
      <c r="H3" s="15">
        <v>1.1214999999999999</v>
      </c>
      <c r="I3" s="15">
        <f t="shared" si="2"/>
        <v>10.221350999999999</v>
      </c>
      <c r="J3" s="15">
        <v>0.73999999999999899</v>
      </c>
      <c r="K3" s="15">
        <f t="shared" si="3"/>
        <v>10.961350999999997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29" x14ac:dyDescent="0.2">
      <c r="A4" s="6" t="s">
        <v>2075</v>
      </c>
      <c r="B4" s="71" t="s">
        <v>2076</v>
      </c>
      <c r="C4" s="15">
        <v>11.11</v>
      </c>
      <c r="D4" s="15">
        <v>0.9</v>
      </c>
      <c r="E4" s="15">
        <f t="shared" si="0"/>
        <v>12.01</v>
      </c>
      <c r="F4" s="15">
        <v>1.24</v>
      </c>
      <c r="G4" s="15">
        <f t="shared" si="1"/>
        <v>14.8924</v>
      </c>
      <c r="H4" s="15">
        <v>1.1214999999999999</v>
      </c>
      <c r="I4" s="15">
        <f t="shared" si="2"/>
        <v>16.7018266</v>
      </c>
      <c r="J4" s="15">
        <v>0.73999999999999899</v>
      </c>
      <c r="K4" s="15">
        <f t="shared" si="3"/>
        <v>17.441826599999999</v>
      </c>
      <c r="L4" s="15">
        <v>16.5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29" x14ac:dyDescent="0.2">
      <c r="A5" s="12" t="s">
        <v>2077</v>
      </c>
      <c r="B5" s="100" t="s">
        <v>2167</v>
      </c>
      <c r="C5" s="12">
        <v>8.19</v>
      </c>
      <c r="D5" s="12">
        <v>0.9</v>
      </c>
      <c r="E5" s="12">
        <f t="shared" si="0"/>
        <v>9.09</v>
      </c>
      <c r="F5" s="12">
        <v>1.24</v>
      </c>
      <c r="G5" s="12">
        <f t="shared" si="1"/>
        <v>11.271599999999999</v>
      </c>
      <c r="H5" s="12">
        <v>1.1214999999999999</v>
      </c>
      <c r="I5" s="12">
        <f t="shared" si="2"/>
        <v>12.641099399999998</v>
      </c>
      <c r="J5" s="12">
        <v>0.73999999999999899</v>
      </c>
      <c r="K5" s="12">
        <f t="shared" si="3"/>
        <v>13.381099399999997</v>
      </c>
      <c r="L5" s="12">
        <v>15.9</v>
      </c>
    </row>
    <row r="6" spans="1:29" x14ac:dyDescent="0.2">
      <c r="A6" s="12" t="s">
        <v>2078</v>
      </c>
      <c r="B6" s="100" t="s">
        <v>2168</v>
      </c>
      <c r="C6" s="12">
        <v>8.19</v>
      </c>
      <c r="D6" s="12">
        <v>0.9</v>
      </c>
      <c r="E6" s="12">
        <f t="shared" si="0"/>
        <v>9.09</v>
      </c>
      <c r="F6" s="12">
        <v>1.24</v>
      </c>
      <c r="G6" s="12">
        <f t="shared" si="1"/>
        <v>11.271599999999999</v>
      </c>
      <c r="H6" s="12">
        <v>1.1214999999999999</v>
      </c>
      <c r="I6" s="12">
        <f t="shared" si="2"/>
        <v>12.641099399999998</v>
      </c>
      <c r="J6" s="12">
        <v>0.73999999999999899</v>
      </c>
      <c r="K6" s="12">
        <f t="shared" si="3"/>
        <v>13.381099399999997</v>
      </c>
      <c r="L6" s="12">
        <v>16.899999999999999</v>
      </c>
    </row>
    <row r="7" spans="1:29" x14ac:dyDescent="0.2">
      <c r="A7" s="6" t="s">
        <v>2070</v>
      </c>
      <c r="B7" s="71" t="s">
        <v>2071</v>
      </c>
      <c r="C7" s="12">
        <v>11.34</v>
      </c>
      <c r="D7" s="12">
        <v>0.9</v>
      </c>
      <c r="E7" s="12">
        <f t="shared" si="0"/>
        <v>12.24</v>
      </c>
      <c r="F7" s="12">
        <v>1.24</v>
      </c>
      <c r="G7" s="12">
        <f t="shared" si="1"/>
        <v>15.1776</v>
      </c>
      <c r="H7" s="12">
        <v>1.1214999999999999</v>
      </c>
      <c r="I7" s="12">
        <f t="shared" si="2"/>
        <v>17.021678399999999</v>
      </c>
      <c r="J7" s="12">
        <v>0.73999999999999899</v>
      </c>
      <c r="K7" s="12">
        <f t="shared" si="3"/>
        <v>17.761678399999997</v>
      </c>
      <c r="L7" s="12">
        <v>18.2</v>
      </c>
    </row>
    <row r="8" spans="1:29" x14ac:dyDescent="0.2">
      <c r="B8" s="73" t="s">
        <v>2169</v>
      </c>
      <c r="C8" s="12">
        <v>11.34</v>
      </c>
      <c r="D8" s="12">
        <v>0.9</v>
      </c>
      <c r="E8" s="12">
        <f t="shared" si="0"/>
        <v>12.24</v>
      </c>
      <c r="F8" s="12">
        <v>1.24</v>
      </c>
      <c r="G8" s="12">
        <f t="shared" si="1"/>
        <v>15.1776</v>
      </c>
      <c r="H8" s="12">
        <v>1.1214999999999999</v>
      </c>
      <c r="I8" s="12">
        <f t="shared" si="2"/>
        <v>17.021678399999999</v>
      </c>
      <c r="J8" s="12">
        <v>0.73999999999999899</v>
      </c>
      <c r="K8" s="12">
        <f t="shared" si="3"/>
        <v>17.761678399999997</v>
      </c>
      <c r="L8" s="101">
        <v>17.46</v>
      </c>
    </row>
    <row r="9" spans="1:29" x14ac:dyDescent="0.2">
      <c r="A9" t="s">
        <v>2170</v>
      </c>
      <c r="B9" s="73" t="s">
        <v>2171</v>
      </c>
      <c r="C9" s="12">
        <v>5.04</v>
      </c>
      <c r="D9" s="12">
        <v>0.9</v>
      </c>
      <c r="E9" s="12">
        <f t="shared" si="0"/>
        <v>5.94</v>
      </c>
      <c r="F9" s="12">
        <v>1.1299999999999999</v>
      </c>
      <c r="G9" s="12">
        <f t="shared" si="1"/>
        <v>6.7122000000000002</v>
      </c>
      <c r="H9" s="12">
        <v>1.1214999999999999</v>
      </c>
      <c r="I9" s="12">
        <f t="shared" si="2"/>
        <v>7.5277322999999994</v>
      </c>
      <c r="J9" s="12">
        <v>0.5</v>
      </c>
      <c r="K9" s="12">
        <f t="shared" si="3"/>
        <v>8.0277323000000003</v>
      </c>
    </row>
    <row r="10" spans="1:29" x14ac:dyDescent="0.2">
      <c r="C10" s="12">
        <v>0</v>
      </c>
      <c r="D10" s="12">
        <v>0.9</v>
      </c>
      <c r="E10" s="12">
        <f t="shared" si="0"/>
        <v>0.9</v>
      </c>
      <c r="F10" s="12">
        <v>1.24</v>
      </c>
      <c r="G10" s="12">
        <f t="shared" si="1"/>
        <v>1.1160000000000001</v>
      </c>
      <c r="H10" s="12">
        <v>1.1214999999999999</v>
      </c>
      <c r="I10" s="12">
        <f t="shared" si="2"/>
        <v>1.2515940000000001</v>
      </c>
      <c r="J10" s="12">
        <v>0.73999999999999899</v>
      </c>
      <c r="K10" s="12">
        <f t="shared" si="3"/>
        <v>1.9915939999999992</v>
      </c>
    </row>
    <row r="11" spans="1:29" x14ac:dyDescent="0.2">
      <c r="C11" s="12">
        <v>0</v>
      </c>
      <c r="D11" s="12">
        <v>0.9</v>
      </c>
      <c r="E11" s="12">
        <f t="shared" si="0"/>
        <v>0.9</v>
      </c>
      <c r="F11" s="12">
        <v>1.24</v>
      </c>
      <c r="G11" s="12">
        <f t="shared" si="1"/>
        <v>1.1160000000000001</v>
      </c>
      <c r="H11" s="12">
        <v>1.1214999999999999</v>
      </c>
      <c r="I11" s="12">
        <f t="shared" si="2"/>
        <v>1.2515940000000001</v>
      </c>
      <c r="J11" s="12">
        <v>0.73999999999999899</v>
      </c>
      <c r="K11" s="12">
        <f t="shared" si="3"/>
        <v>1.9915939999999992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C4B21-5F95-42E9-BA4C-B88F71843D29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56</vt:i4>
      </vt:variant>
    </vt:vector>
  </HeadingPairs>
  <TitlesOfParts>
    <vt:vector size="56" baseType="lpstr">
      <vt:lpstr>ΦΥΛΛΟ 1</vt:lpstr>
      <vt:lpstr>AMINO ANIMO</vt:lpstr>
      <vt:lpstr>ΒΙΟΛΟΓΟΣ</vt:lpstr>
      <vt:lpstr>ACTIVO</vt:lpstr>
      <vt:lpstr>ALOE</vt:lpstr>
      <vt:lpstr>AM HEALTH SMILE</vt:lpstr>
      <vt:lpstr>AVGERINOS</vt:lpstr>
      <vt:lpstr>BAYER</vt:lpstr>
      <vt:lpstr>BEAUTY OF JOSEON</vt:lpstr>
      <vt:lpstr>ΒΕΝΝΕΤΤ</vt:lpstr>
      <vt:lpstr>BIFOLAC EIFRON</vt:lpstr>
      <vt:lpstr>BIOTECH</vt:lpstr>
      <vt:lpstr>ΒΙΟΝΑΤ</vt:lpstr>
      <vt:lpstr>CAMOMILLA</vt:lpstr>
      <vt:lpstr>CARROTEN</vt:lpstr>
      <vt:lpstr>CENTRUM</vt:lpstr>
      <vt:lpstr>CLINEA</vt:lpstr>
      <vt:lpstr>COMPEED</vt:lpstr>
      <vt:lpstr>COSRX</vt:lpstr>
      <vt:lpstr>DYMATIZE</vt:lpstr>
      <vt:lpstr>EPSILON HEALTH</vt:lpstr>
      <vt:lpstr>EVIOL</vt:lpstr>
      <vt:lpstr>FERTICEUTICALS</vt:lpstr>
      <vt:lpstr>FREZYDERM</vt:lpstr>
      <vt:lpstr>FROIKA</vt:lpstr>
      <vt:lpstr>GALENICA</vt:lpstr>
      <vt:lpstr>GEHWOL</vt:lpstr>
      <vt:lpstr>HEALTH PRO</vt:lpstr>
      <vt:lpstr>HEALTH SIGN</vt:lpstr>
      <vt:lpstr>INTERMED</vt:lpstr>
      <vt:lpstr>ITALFARMACO</vt:lpstr>
      <vt:lpstr>LAMBERTS</vt:lpstr>
      <vt:lpstr>MARVIS</vt:lpstr>
      <vt:lpstr>MEDICHROM</vt:lpstr>
      <vt:lpstr>MEETAB</vt:lpstr>
      <vt:lpstr>MOLLERS</vt:lpstr>
      <vt:lpstr>NATURAL DOCTOR</vt:lpstr>
      <vt:lpstr>NATURA SIBERICA</vt:lpstr>
      <vt:lpstr>NATURAL VITAMINS</vt:lpstr>
      <vt:lpstr>NATURES PLUS</vt:lpstr>
      <vt:lpstr>NOW</vt:lpstr>
      <vt:lpstr>OLONEA</vt:lpstr>
      <vt:lpstr>PHARMASEPT</vt:lpstr>
      <vt:lpstr>Φύλλο2</vt:lpstr>
      <vt:lpstr>SAMCOS</vt:lpstr>
      <vt:lpstr>SCHOLL</vt:lpstr>
      <vt:lpstr>SOLGAR</vt:lpstr>
      <vt:lpstr>SUPERFOODS</vt:lpstr>
      <vt:lpstr>MENARINI</vt:lpstr>
      <vt:lpstr>THANK YOU FARMER</vt:lpstr>
      <vt:lpstr>YADA</vt:lpstr>
      <vt:lpstr>VICAN</vt:lpstr>
      <vt:lpstr>VIOGENESIS</vt:lpstr>
      <vt:lpstr>UNI-PHARMA</vt:lpstr>
      <vt:lpstr>WINMEDICA</vt:lpstr>
      <vt:lpstr>Φύλλο1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Λευτέρης</cp:lastModifiedBy>
  <dcterms:modified xsi:type="dcterms:W3CDTF">2026-02-27T21:04:42Z</dcterms:modified>
</cp:coreProperties>
</file>